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Users\POOYA\Dropbox\Work\Hydrotech\Landscape_Evapotranspiration\assets\report\"/>
    </mc:Choice>
  </mc:AlternateContent>
  <xr:revisionPtr revIDLastSave="0" documentId="13_ncr:1_{068F2654-DF87-48DD-833E-C7C4332EEA36}" xr6:coauthVersionLast="46" xr6:coauthVersionMax="46" xr10:uidLastSave="{00000000-0000-0000-0000-000000000000}"/>
  <bookViews>
    <workbookView xWindow="-28920" yWindow="-120" windowWidth="29040" windowHeight="15840" xr2:uid="{00000000-000D-0000-FFFF-FFFF00000000}"/>
  </bookViews>
  <sheets>
    <sheet name="پارک ها" sheetId="2" r:id="rId1"/>
    <sheet name="غیر پارک ها" sheetId="3" r:id="rId2"/>
  </sheets>
  <calcPr calcId="191029"/>
</workbook>
</file>

<file path=xl/calcChain.xml><?xml version="1.0" encoding="utf-8"?>
<calcChain xmlns="http://schemas.openxmlformats.org/spreadsheetml/2006/main">
  <c r="J591" i="3" l="1"/>
  <c r="J623" i="3"/>
  <c r="J655" i="3"/>
  <c r="J673" i="3"/>
  <c r="J685" i="3"/>
  <c r="J693" i="3"/>
  <c r="J709" i="3"/>
  <c r="J717" i="3"/>
  <c r="J725" i="3"/>
  <c r="J733" i="3"/>
  <c r="J741" i="3"/>
  <c r="J749" i="3"/>
  <c r="J757" i="3"/>
  <c r="J765" i="3"/>
  <c r="J773" i="3"/>
  <c r="J781" i="3"/>
  <c r="J797" i="3"/>
  <c r="J805" i="3"/>
  <c r="J821" i="3"/>
  <c r="J829" i="3"/>
  <c r="J853" i="3"/>
  <c r="J861" i="3"/>
  <c r="J869" i="3"/>
  <c r="J877" i="3"/>
  <c r="J885" i="3"/>
  <c r="J893" i="3"/>
  <c r="J901" i="3"/>
  <c r="J909" i="3"/>
  <c r="J917" i="3"/>
  <c r="J925" i="3"/>
  <c r="J933" i="3"/>
  <c r="J941" i="3"/>
  <c r="J957" i="3"/>
  <c r="J965" i="3"/>
  <c r="J973" i="3"/>
  <c r="J989" i="3"/>
  <c r="J997" i="3"/>
  <c r="J1013" i="3"/>
  <c r="J1029" i="3"/>
  <c r="J18" i="2"/>
  <c r="J82" i="2"/>
  <c r="J226" i="2"/>
  <c r="J306" i="2"/>
  <c r="J402" i="2"/>
  <c r="I192" i="2"/>
  <c r="J192" i="2" s="1"/>
  <c r="I247" i="2"/>
  <c r="J247" i="2" s="1"/>
  <c r="I498" i="2"/>
  <c r="J498" i="2" s="1"/>
  <c r="I105" i="2"/>
  <c r="J105" i="2" s="1"/>
  <c r="I295" i="2"/>
  <c r="J295" i="2" s="1"/>
  <c r="I408" i="2"/>
  <c r="J408" i="2" s="1"/>
  <c r="I791" i="3"/>
  <c r="J791" i="3" s="1"/>
  <c r="I759" i="3"/>
  <c r="J759" i="3" s="1"/>
  <c r="I758" i="3"/>
  <c r="J758" i="3" s="1"/>
  <c r="I760" i="3"/>
  <c r="J760" i="3" s="1"/>
  <c r="I761" i="3"/>
  <c r="J761" i="3" s="1"/>
  <c r="I767" i="3"/>
  <c r="J767" i="3" s="1"/>
  <c r="I766" i="3"/>
  <c r="J766" i="3" s="1"/>
  <c r="I768" i="3"/>
  <c r="J768" i="3" s="1"/>
  <c r="I765" i="3"/>
  <c r="I501" i="3"/>
  <c r="J501" i="3" s="1"/>
  <c r="I262" i="3"/>
  <c r="J262" i="3" s="1"/>
  <c r="I252" i="3"/>
  <c r="J252" i="3" s="1"/>
  <c r="I269" i="3"/>
  <c r="J269" i="3" s="1"/>
  <c r="I503" i="3"/>
  <c r="J503" i="3" s="1"/>
  <c r="I352" i="3"/>
  <c r="J352" i="3" s="1"/>
  <c r="I430" i="3"/>
  <c r="J430" i="3" s="1"/>
  <c r="I279" i="3"/>
  <c r="J279" i="3" s="1"/>
  <c r="I502" i="3"/>
  <c r="J502" i="3" s="1"/>
  <c r="I1035" i="3"/>
  <c r="J1035" i="3" s="1"/>
  <c r="I582" i="3"/>
  <c r="J582" i="3" s="1"/>
  <c r="I667" i="3"/>
  <c r="J667" i="3" s="1"/>
  <c r="I787" i="3"/>
  <c r="J787" i="3" s="1"/>
  <c r="I253" i="3"/>
  <c r="J253" i="3" s="1"/>
  <c r="I926" i="3"/>
  <c r="J926" i="3" s="1"/>
  <c r="I736" i="3"/>
  <c r="J736" i="3" s="1"/>
  <c r="I319" i="3"/>
  <c r="J319" i="3" s="1"/>
  <c r="I367" i="3"/>
  <c r="J367" i="3" s="1"/>
  <c r="I330" i="3"/>
  <c r="J330" i="3" s="1"/>
  <c r="I318" i="3"/>
  <c r="J318" i="3" s="1"/>
  <c r="I981" i="3"/>
  <c r="J981" i="3" s="1"/>
  <c r="I429" i="3"/>
  <c r="J429" i="3" s="1"/>
  <c r="I754" i="3"/>
  <c r="J754" i="3" s="1"/>
  <c r="I905" i="3"/>
  <c r="J905" i="3" s="1"/>
  <c r="I904" i="3"/>
  <c r="J904" i="3" s="1"/>
  <c r="I193" i="3"/>
  <c r="J193" i="3" s="1"/>
  <c r="I1015" i="3"/>
  <c r="J1015" i="3" s="1"/>
  <c r="I431" i="3"/>
  <c r="J431" i="3" s="1"/>
  <c r="I48" i="3"/>
  <c r="J48" i="3" s="1"/>
  <c r="I180" i="3"/>
  <c r="J180" i="3" s="1"/>
  <c r="I181" i="3"/>
  <c r="J181" i="3" s="1"/>
  <c r="I251" i="3"/>
  <c r="J251" i="3" s="1"/>
  <c r="I225" i="3"/>
  <c r="J225" i="3" s="1"/>
  <c r="I980" i="3"/>
  <c r="J980" i="3" s="1"/>
  <c r="I432" i="3"/>
  <c r="J432" i="3" s="1"/>
  <c r="I306" i="3"/>
  <c r="J306" i="3" s="1"/>
  <c r="I95" i="3"/>
  <c r="J95" i="3" s="1"/>
  <c r="I179" i="3"/>
  <c r="J179" i="3" s="1"/>
  <c r="I927" i="3"/>
  <c r="J927" i="3" s="1"/>
  <c r="I607" i="3"/>
  <c r="J607" i="3" s="1"/>
  <c r="I433" i="3"/>
  <c r="J433" i="3" s="1"/>
  <c r="I261" i="3"/>
  <c r="J261" i="3" s="1"/>
  <c r="I250" i="3"/>
  <c r="J250" i="3" s="1"/>
  <c r="I825" i="3"/>
  <c r="J825" i="3" s="1"/>
  <c r="I1012" i="3"/>
  <c r="J1012" i="3" s="1"/>
  <c r="I764" i="3"/>
  <c r="J764" i="3" s="1"/>
  <c r="I581" i="3"/>
  <c r="J581" i="3" s="1"/>
  <c r="I790" i="3"/>
  <c r="J790" i="3" s="1"/>
  <c r="I320" i="3"/>
  <c r="J320" i="3" s="1"/>
  <c r="I450" i="3"/>
  <c r="J450" i="3" s="1"/>
  <c r="I784" i="3"/>
  <c r="J784" i="3" s="1"/>
  <c r="I400" i="3"/>
  <c r="J400" i="3" s="1"/>
  <c r="I444" i="3"/>
  <c r="J444" i="3" s="1"/>
  <c r="I448" i="3"/>
  <c r="J448" i="3" s="1"/>
  <c r="I753" i="3"/>
  <c r="J753" i="3" s="1"/>
  <c r="I879" i="3"/>
  <c r="J879" i="3" s="1"/>
  <c r="I894" i="3"/>
  <c r="J894" i="3" s="1"/>
  <c r="I867" i="3"/>
  <c r="J867" i="3" s="1"/>
  <c r="I828" i="3"/>
  <c r="J828" i="3" s="1"/>
  <c r="I802" i="3"/>
  <c r="J802" i="3" s="1"/>
  <c r="I651" i="3"/>
  <c r="J651" i="3" s="1"/>
  <c r="I803" i="3"/>
  <c r="J803" i="3" s="1"/>
  <c r="I1006" i="3"/>
  <c r="J1006" i="3" s="1"/>
  <c r="I537" i="3"/>
  <c r="J537" i="3" s="1"/>
  <c r="I212" i="3"/>
  <c r="J212" i="3" s="1"/>
  <c r="I880" i="3"/>
  <c r="J880" i="3" s="1"/>
  <c r="I222" i="3"/>
  <c r="J222" i="3" s="1"/>
  <c r="I329" i="3"/>
  <c r="J329" i="3" s="1"/>
  <c r="I207" i="3"/>
  <c r="J207" i="3" s="1"/>
  <c r="I499" i="3"/>
  <c r="J499" i="3" s="1"/>
  <c r="I757" i="3"/>
  <c r="I847" i="3"/>
  <c r="J847" i="3" s="1"/>
  <c r="I843" i="3"/>
  <c r="J843" i="3" s="1"/>
  <c r="I804" i="3"/>
  <c r="J804" i="3" s="1"/>
  <c r="I539" i="3"/>
  <c r="J539" i="3" s="1"/>
  <c r="I844" i="3"/>
  <c r="J844" i="3" s="1"/>
  <c r="I449" i="3"/>
  <c r="J449" i="3" s="1"/>
  <c r="I864" i="3"/>
  <c r="J864" i="3" s="1"/>
  <c r="I919" i="3"/>
  <c r="J919" i="3" s="1"/>
  <c r="I829" i="3"/>
  <c r="I763" i="3"/>
  <c r="J763" i="3" s="1"/>
  <c r="I865" i="3"/>
  <c r="J865" i="3" s="1"/>
  <c r="I923" i="3"/>
  <c r="J923" i="3" s="1"/>
  <c r="I351" i="3"/>
  <c r="J351" i="3" s="1"/>
  <c r="I783" i="3"/>
  <c r="J783" i="3" s="1"/>
  <c r="I805" i="3"/>
  <c r="I457" i="3"/>
  <c r="J457" i="3" s="1"/>
  <c r="I650" i="3"/>
  <c r="J650" i="3" s="1"/>
  <c r="I1020" i="3"/>
  <c r="J1020" i="3" s="1"/>
  <c r="I399" i="3"/>
  <c r="J399" i="3" s="1"/>
  <c r="I877" i="3"/>
  <c r="I46" i="3"/>
  <c r="J46" i="3" s="1"/>
  <c r="I845" i="3"/>
  <c r="J845" i="3" s="1"/>
  <c r="I762" i="3"/>
  <c r="J762" i="3" s="1"/>
  <c r="I653" i="3"/>
  <c r="J653" i="3" s="1"/>
  <c r="I128" i="3"/>
  <c r="J128" i="3" s="1"/>
  <c r="I826" i="3"/>
  <c r="J826" i="3" s="1"/>
  <c r="I1010" i="3"/>
  <c r="J1010" i="3" s="1"/>
  <c r="I223" i="3"/>
  <c r="J223" i="3" s="1"/>
  <c r="I978" i="3"/>
  <c r="J978" i="3" s="1"/>
  <c r="I288" i="3"/>
  <c r="J288" i="3" s="1"/>
  <c r="I267" i="3"/>
  <c r="J267" i="3" s="1"/>
  <c r="I305" i="3"/>
  <c r="J305" i="3" s="1"/>
  <c r="I801" i="3"/>
  <c r="J801" i="3" s="1"/>
  <c r="I206" i="3"/>
  <c r="J206" i="3" s="1"/>
  <c r="I771" i="3"/>
  <c r="J771" i="3" s="1"/>
  <c r="I1013" i="3"/>
  <c r="I287" i="3"/>
  <c r="J287" i="3" s="1"/>
  <c r="I1009" i="3"/>
  <c r="J1009" i="3" s="1"/>
  <c r="I540" i="3"/>
  <c r="J540" i="3" s="1"/>
  <c r="I498" i="3"/>
  <c r="J498" i="3" s="1"/>
  <c r="I289" i="3"/>
  <c r="J289" i="3" s="1"/>
  <c r="I249" i="3"/>
  <c r="J249" i="3" s="1"/>
  <c r="I921" i="3"/>
  <c r="J921" i="3" s="1"/>
  <c r="I878" i="3"/>
  <c r="J878" i="3" s="1"/>
  <c r="I903" i="3"/>
  <c r="J903" i="3" s="1"/>
  <c r="I130" i="3"/>
  <c r="J130" i="3" s="1"/>
  <c r="I290" i="3"/>
  <c r="J290" i="3" s="1"/>
  <c r="I846" i="3"/>
  <c r="J846" i="3" s="1"/>
  <c r="I665" i="3"/>
  <c r="J665" i="3" s="1"/>
  <c r="I666" i="3"/>
  <c r="J666" i="3" s="1"/>
  <c r="I473" i="3"/>
  <c r="J473" i="3" s="1"/>
  <c r="I977" i="3"/>
  <c r="J977" i="3" s="1"/>
  <c r="I751" i="3"/>
  <c r="J751" i="3" s="1"/>
  <c r="I1021" i="3"/>
  <c r="J1021" i="3" s="1"/>
  <c r="I924" i="3"/>
  <c r="J924" i="3" s="1"/>
  <c r="I209" i="3"/>
  <c r="J209" i="3" s="1"/>
  <c r="I442" i="3"/>
  <c r="J442" i="3" s="1"/>
  <c r="I920" i="3"/>
  <c r="J920" i="3" s="1"/>
  <c r="I786" i="3"/>
  <c r="J786" i="3" s="1"/>
  <c r="I654" i="3"/>
  <c r="J654" i="3" s="1"/>
  <c r="I827" i="3"/>
  <c r="J827" i="3" s="1"/>
  <c r="I806" i="3"/>
  <c r="J806" i="3" s="1"/>
  <c r="I674" i="3"/>
  <c r="J674" i="3" s="1"/>
  <c r="I210" i="3"/>
  <c r="J210" i="3" s="1"/>
  <c r="I866" i="3"/>
  <c r="J866" i="3" s="1"/>
  <c r="I208" i="3"/>
  <c r="J208" i="3" s="1"/>
  <c r="I226" i="3"/>
  <c r="J226" i="3" s="1"/>
  <c r="I1007" i="3"/>
  <c r="J1007" i="3" s="1"/>
  <c r="I842" i="3"/>
  <c r="J842" i="3" s="1"/>
  <c r="I91" i="3"/>
  <c r="J91" i="3" s="1"/>
  <c r="I92" i="3"/>
  <c r="J92" i="3" s="1"/>
  <c r="I47" i="3"/>
  <c r="J47" i="3" s="1"/>
  <c r="I45" i="3"/>
  <c r="J45" i="3" s="1"/>
  <c r="I174" i="3"/>
  <c r="J174" i="3" s="1"/>
  <c r="I268" i="3"/>
  <c r="J268" i="3" s="1"/>
  <c r="I425" i="3"/>
  <c r="J425" i="3" s="1"/>
  <c r="I93" i="3"/>
  <c r="J93" i="3" s="1"/>
  <c r="I246" i="3"/>
  <c r="J246" i="3" s="1"/>
  <c r="I1011" i="3"/>
  <c r="J1011" i="3" s="1"/>
  <c r="I922" i="3"/>
  <c r="J922" i="3" s="1"/>
  <c r="I781" i="3"/>
  <c r="I422" i="3"/>
  <c r="J422" i="3" s="1"/>
  <c r="I538" i="3"/>
  <c r="J538" i="3" s="1"/>
  <c r="I398" i="3"/>
  <c r="J398" i="3" s="1"/>
  <c r="I785" i="3"/>
  <c r="J785" i="3" s="1"/>
  <c r="I652" i="3"/>
  <c r="J652" i="3" s="1"/>
  <c r="I536" i="3"/>
  <c r="J536" i="3" s="1"/>
  <c r="I426" i="3"/>
  <c r="J426" i="3" s="1"/>
  <c r="I403" i="3"/>
  <c r="J403" i="3" s="1"/>
  <c r="I172" i="3"/>
  <c r="J172" i="3" s="1"/>
  <c r="I500" i="3"/>
  <c r="J500" i="3" s="1"/>
  <c r="I224" i="3"/>
  <c r="J224" i="3" s="1"/>
  <c r="I1014" i="3"/>
  <c r="J1014" i="3" s="1"/>
  <c r="I782" i="3"/>
  <c r="J782" i="3" s="1"/>
  <c r="I175" i="3"/>
  <c r="J175" i="3" s="1"/>
  <c r="I312" i="3"/>
  <c r="J312" i="3" s="1"/>
  <c r="I902" i="3"/>
  <c r="J902" i="3" s="1"/>
  <c r="I629" i="3"/>
  <c r="J629" i="3" s="1"/>
  <c r="I341" i="3"/>
  <c r="J341" i="3" s="1"/>
  <c r="I1028" i="3"/>
  <c r="J1028" i="3" s="1"/>
  <c r="I176" i="3"/>
  <c r="J176" i="3" s="1"/>
  <c r="I171" i="3"/>
  <c r="J171" i="3" s="1"/>
  <c r="I90" i="3"/>
  <c r="J90" i="3" s="1"/>
  <c r="I925" i="3"/>
  <c r="I1008" i="3"/>
  <c r="J1008" i="3" s="1"/>
  <c r="I752" i="3"/>
  <c r="J752" i="3" s="1"/>
  <c r="I131" i="3"/>
  <c r="J131" i="3" s="1"/>
  <c r="I541" i="3"/>
  <c r="J541" i="3" s="1"/>
  <c r="I427" i="3"/>
  <c r="J427" i="3" s="1"/>
  <c r="I177" i="3"/>
  <c r="J177" i="3" s="1"/>
  <c r="I780" i="3"/>
  <c r="J780" i="3" s="1"/>
  <c r="I211" i="3"/>
  <c r="J211" i="3" s="1"/>
  <c r="I129" i="3"/>
  <c r="J129" i="3" s="1"/>
  <c r="I127" i="3"/>
  <c r="J127" i="3" s="1"/>
  <c r="I1034" i="3"/>
  <c r="J1034" i="3" s="1"/>
  <c r="I901" i="3"/>
  <c r="I606" i="3"/>
  <c r="J606" i="3" s="1"/>
  <c r="I535" i="3"/>
  <c r="J535" i="3" s="1"/>
  <c r="I423" i="3"/>
  <c r="J423" i="3" s="1"/>
  <c r="I402" i="3"/>
  <c r="J402" i="3" s="1"/>
  <c r="I401" i="3"/>
  <c r="J401" i="3" s="1"/>
  <c r="I534" i="3"/>
  <c r="J534" i="3" s="1"/>
  <c r="I173" i="3"/>
  <c r="J173" i="3" s="1"/>
  <c r="I94" i="3"/>
  <c r="J94" i="3" s="1"/>
  <c r="I424" i="3"/>
  <c r="J424" i="3" s="1"/>
  <c r="I428" i="3"/>
  <c r="J428" i="3" s="1"/>
  <c r="I350" i="3"/>
  <c r="J350" i="3" s="1"/>
  <c r="I260" i="3"/>
  <c r="J260" i="3" s="1"/>
  <c r="I170" i="3"/>
  <c r="J170" i="3" s="1"/>
  <c r="I563" i="3"/>
  <c r="J563" i="3" s="1"/>
  <c r="I562" i="3"/>
  <c r="J562" i="3" s="1"/>
  <c r="I310" i="3"/>
  <c r="J310" i="3" s="1"/>
  <c r="I610" i="3"/>
  <c r="J610" i="3" s="1"/>
  <c r="I949" i="3"/>
  <c r="J949" i="3" s="1"/>
  <c r="I558" i="3"/>
  <c r="J558" i="3" s="1"/>
  <c r="I634" i="3"/>
  <c r="J634" i="3" s="1"/>
  <c r="I735" i="3"/>
  <c r="J735" i="3" s="1"/>
  <c r="I848" i="3"/>
  <c r="J848" i="3" s="1"/>
  <c r="I853" i="3"/>
  <c r="I852" i="3"/>
  <c r="J852" i="3" s="1"/>
  <c r="I254" i="3"/>
  <c r="J254" i="3" s="1"/>
  <c r="I789" i="3"/>
  <c r="J789" i="3" s="1"/>
  <c r="I344" i="3"/>
  <c r="J344" i="3" s="1"/>
  <c r="I236" i="3"/>
  <c r="J236" i="3" s="1"/>
  <c r="I497" i="3"/>
  <c r="J497" i="3" s="1"/>
  <c r="I255" i="3"/>
  <c r="J255" i="3" s="1"/>
  <c r="I244" i="3"/>
  <c r="J244" i="3" s="1"/>
  <c r="I811" i="3"/>
  <c r="J811" i="3" s="1"/>
  <c r="I243" i="3"/>
  <c r="J243" i="3" s="1"/>
  <c r="I851" i="3"/>
  <c r="J851" i="3" s="1"/>
  <c r="I660" i="3"/>
  <c r="J660" i="3" s="1"/>
  <c r="I993" i="3"/>
  <c r="J993" i="3" s="1"/>
  <c r="I459" i="3"/>
  <c r="J459" i="3" s="1"/>
  <c r="I854" i="3"/>
  <c r="J854" i="3" s="1"/>
  <c r="I485" i="3"/>
  <c r="J485" i="3" s="1"/>
  <c r="I458" i="3"/>
  <c r="J458" i="3" s="1"/>
  <c r="I900" i="3"/>
  <c r="J900" i="3" s="1"/>
  <c r="I855" i="3"/>
  <c r="J855" i="3" s="1"/>
  <c r="I409" i="3"/>
  <c r="J409" i="3" s="1"/>
  <c r="I661" i="3"/>
  <c r="J661" i="3" s="1"/>
  <c r="I635" i="3"/>
  <c r="J635" i="3" s="1"/>
  <c r="I259" i="3"/>
  <c r="J259" i="3" s="1"/>
  <c r="I412" i="3"/>
  <c r="J412" i="3" s="1"/>
  <c r="I361" i="3"/>
  <c r="J361" i="3" s="1"/>
  <c r="I248" i="3"/>
  <c r="J248" i="3" s="1"/>
  <c r="I247" i="3"/>
  <c r="J247" i="3" s="1"/>
  <c r="I258" i="3"/>
  <c r="J258" i="3" s="1"/>
  <c r="I940" i="3"/>
  <c r="J940" i="3" s="1"/>
  <c r="I723" i="3"/>
  <c r="J723" i="3" s="1"/>
  <c r="I546" i="3"/>
  <c r="J546" i="3" s="1"/>
  <c r="I564" i="3"/>
  <c r="J564" i="3" s="1"/>
  <c r="I988" i="3"/>
  <c r="J988" i="3" s="1"/>
  <c r="I655" i="3"/>
  <c r="I639" i="3"/>
  <c r="J639" i="3" s="1"/>
  <c r="I730" i="3"/>
  <c r="J730" i="3" s="1"/>
  <c r="I1018" i="3"/>
  <c r="J1018" i="3" s="1"/>
  <c r="I885" i="3"/>
  <c r="I1004" i="3"/>
  <c r="J1004" i="3" s="1"/>
  <c r="I1019" i="3"/>
  <c r="J1019" i="3" s="1"/>
  <c r="I996" i="3"/>
  <c r="J996" i="3" s="1"/>
  <c r="I611" i="3"/>
  <c r="J611" i="3" s="1"/>
  <c r="I837" i="3"/>
  <c r="J837" i="3" s="1"/>
  <c r="I659" i="3"/>
  <c r="J659" i="3" s="1"/>
  <c r="I991" i="3"/>
  <c r="J991" i="3" s="1"/>
  <c r="I989" i="3"/>
  <c r="I990" i="3"/>
  <c r="J990" i="3" s="1"/>
  <c r="I366" i="3"/>
  <c r="J366" i="3" s="1"/>
  <c r="I958" i="3"/>
  <c r="J958" i="3" s="1"/>
  <c r="I504" i="3"/>
  <c r="J504" i="3" s="1"/>
  <c r="I895" i="3"/>
  <c r="J895" i="3" s="1"/>
  <c r="I580" i="3"/>
  <c r="J580" i="3" s="1"/>
  <c r="I697" i="3"/>
  <c r="J697" i="3" s="1"/>
  <c r="I547" i="3"/>
  <c r="J547" i="3" s="1"/>
  <c r="I946" i="3"/>
  <c r="J946" i="3" s="1"/>
  <c r="I886" i="3"/>
  <c r="J886" i="3" s="1"/>
  <c r="I729" i="3"/>
  <c r="J729" i="3" s="1"/>
  <c r="I797" i="3"/>
  <c r="I421" i="3"/>
  <c r="J421" i="3" s="1"/>
  <c r="I359" i="3"/>
  <c r="J359" i="3" s="1"/>
  <c r="I941" i="3"/>
  <c r="I951" i="3"/>
  <c r="J951" i="3" s="1"/>
  <c r="I1003" i="3"/>
  <c r="J1003" i="3" s="1"/>
  <c r="I214" i="3"/>
  <c r="J214" i="3" s="1"/>
  <c r="I572" i="3"/>
  <c r="J572" i="3" s="1"/>
  <c r="I205" i="3"/>
  <c r="J205" i="3" s="1"/>
  <c r="I743" i="3"/>
  <c r="J743" i="3" s="1"/>
  <c r="I278" i="3"/>
  <c r="J278" i="3" s="1"/>
  <c r="I746" i="3"/>
  <c r="J746" i="3" s="1"/>
  <c r="I551" i="3"/>
  <c r="J551" i="3" s="1"/>
  <c r="I647" i="3"/>
  <c r="J647" i="3" s="1"/>
  <c r="I221" i="3"/>
  <c r="J221" i="3" s="1"/>
  <c r="I732" i="3"/>
  <c r="J732" i="3" s="1"/>
  <c r="I532" i="3"/>
  <c r="J532" i="3" s="1"/>
  <c r="I493" i="3"/>
  <c r="J493" i="3" s="1"/>
  <c r="I733" i="3"/>
  <c r="I528" i="3"/>
  <c r="J528" i="3" s="1"/>
  <c r="I896" i="3"/>
  <c r="J896" i="3" s="1"/>
  <c r="I492" i="3"/>
  <c r="J492" i="3" s="1"/>
  <c r="I670" i="3"/>
  <c r="J670" i="3" s="1"/>
  <c r="I332" i="3"/>
  <c r="J332" i="3" s="1"/>
  <c r="I724" i="3"/>
  <c r="J724" i="3" s="1"/>
  <c r="I698" i="3"/>
  <c r="J698" i="3" s="1"/>
  <c r="I482" i="3"/>
  <c r="J482" i="3" s="1"/>
  <c r="I774" i="3"/>
  <c r="J774" i="3" s="1"/>
  <c r="I197" i="3"/>
  <c r="J197" i="3" s="1"/>
  <c r="I375" i="3"/>
  <c r="J375" i="3" s="1"/>
  <c r="I362" i="3"/>
  <c r="J362" i="3" s="1"/>
  <c r="I818" i="3"/>
  <c r="J818" i="3" s="1"/>
  <c r="I470" i="3"/>
  <c r="J470" i="3" s="1"/>
  <c r="I899" i="3"/>
  <c r="J899" i="3" s="1"/>
  <c r="I942" i="3"/>
  <c r="J942" i="3" s="1"/>
  <c r="I203" i="3"/>
  <c r="J203" i="3" s="1"/>
  <c r="I891" i="3"/>
  <c r="J891" i="3" s="1"/>
  <c r="I200" i="3"/>
  <c r="J200" i="3" s="1"/>
  <c r="I917" i="3"/>
  <c r="I363" i="3"/>
  <c r="J363" i="3" s="1"/>
  <c r="I775" i="3"/>
  <c r="J775" i="3" s="1"/>
  <c r="I621" i="3"/>
  <c r="J621" i="3" s="1"/>
  <c r="I196" i="3"/>
  <c r="J196" i="3" s="1"/>
  <c r="I742" i="3"/>
  <c r="J742" i="3" s="1"/>
  <c r="I1002" i="3"/>
  <c r="J1002" i="3" s="1"/>
  <c r="I995" i="3"/>
  <c r="J995" i="3" s="1"/>
  <c r="I883" i="3"/>
  <c r="J883" i="3" s="1"/>
  <c r="I484" i="3"/>
  <c r="J484" i="3" s="1"/>
  <c r="I325" i="3"/>
  <c r="J325" i="3" s="1"/>
  <c r="I584" i="3"/>
  <c r="J584" i="3" s="1"/>
  <c r="I641" i="3"/>
  <c r="J641" i="3" s="1"/>
  <c r="I664" i="3"/>
  <c r="J664" i="3" s="1"/>
  <c r="I778" i="3"/>
  <c r="J778" i="3" s="1"/>
  <c r="I360" i="3"/>
  <c r="J360" i="3" s="1"/>
  <c r="I700" i="3"/>
  <c r="J700" i="3" s="1"/>
  <c r="I836" i="3"/>
  <c r="J836" i="3" s="1"/>
  <c r="I838" i="3"/>
  <c r="J838" i="3" s="1"/>
  <c r="I960" i="3"/>
  <c r="J960" i="3" s="1"/>
  <c r="I166" i="3"/>
  <c r="J166" i="3" s="1"/>
  <c r="I873" i="3"/>
  <c r="J873" i="3" s="1"/>
  <c r="I520" i="3"/>
  <c r="J520" i="3" s="1"/>
  <c r="I477" i="3"/>
  <c r="J477" i="3" s="1"/>
  <c r="I518" i="3"/>
  <c r="J518" i="3" s="1"/>
  <c r="I680" i="3"/>
  <c r="J680" i="3" s="1"/>
  <c r="I298" i="3"/>
  <c r="J298" i="3" s="1"/>
  <c r="I731" i="3"/>
  <c r="J731" i="3" s="1"/>
  <c r="I884" i="3"/>
  <c r="J884" i="3" s="1"/>
  <c r="I316" i="3"/>
  <c r="J316" i="3" s="1"/>
  <c r="I741" i="3"/>
  <c r="I944" i="3"/>
  <c r="J944" i="3" s="1"/>
  <c r="I349" i="3"/>
  <c r="J349" i="3" s="1"/>
  <c r="I887" i="3"/>
  <c r="J887" i="3" s="1"/>
  <c r="I773" i="3"/>
  <c r="I486" i="3"/>
  <c r="J486" i="3" s="1"/>
  <c r="I468" i="3"/>
  <c r="J468" i="3" s="1"/>
  <c r="I275" i="3"/>
  <c r="J275" i="3" s="1"/>
  <c r="I158" i="3"/>
  <c r="J158" i="3" s="1"/>
  <c r="I218" i="3"/>
  <c r="J218" i="3" s="1"/>
  <c r="I994" i="3"/>
  <c r="J994" i="3" s="1"/>
  <c r="I273" i="3"/>
  <c r="J273" i="3" s="1"/>
  <c r="I217" i="3"/>
  <c r="J217" i="3" s="1"/>
  <c r="I445" i="3"/>
  <c r="J445" i="3" s="1"/>
  <c r="I299" i="3"/>
  <c r="J299" i="3" s="1"/>
  <c r="I447" i="3"/>
  <c r="J447" i="3" s="1"/>
  <c r="I309" i="3"/>
  <c r="J309" i="3" s="1"/>
  <c r="I672" i="3"/>
  <c r="J672" i="3" s="1"/>
  <c r="I890" i="3"/>
  <c r="J890" i="3" s="1"/>
  <c r="I550" i="3"/>
  <c r="J550" i="3" s="1"/>
  <c r="I358" i="3"/>
  <c r="J358" i="3" s="1"/>
  <c r="I663" i="3"/>
  <c r="J663" i="3" s="1"/>
  <c r="I337" i="3"/>
  <c r="J337" i="3" s="1"/>
  <c r="I592" i="3"/>
  <c r="J592" i="3" s="1"/>
  <c r="I658" i="3"/>
  <c r="J658" i="3" s="1"/>
  <c r="I183" i="3"/>
  <c r="J183" i="3" s="1"/>
  <c r="I530" i="3"/>
  <c r="J530" i="3" s="1"/>
  <c r="I560" i="3"/>
  <c r="J560" i="3" s="1"/>
  <c r="I979" i="3"/>
  <c r="J979" i="3" s="1"/>
  <c r="I348" i="3"/>
  <c r="J348" i="3" s="1"/>
  <c r="I301" i="3"/>
  <c r="J301" i="3" s="1"/>
  <c r="I440" i="3"/>
  <c r="J440" i="3" s="1"/>
  <c r="I744" i="3"/>
  <c r="J744" i="3" s="1"/>
  <c r="I300" i="3"/>
  <c r="J300" i="3" s="1"/>
  <c r="I690" i="3"/>
  <c r="J690" i="3" s="1"/>
  <c r="I50" i="3"/>
  <c r="J50" i="3" s="1"/>
  <c r="I957" i="3"/>
  <c r="I911" i="3"/>
  <c r="J911" i="3" s="1"/>
  <c r="I669" i="3"/>
  <c r="J669" i="3" s="1"/>
  <c r="I992" i="3"/>
  <c r="J992" i="3" s="1"/>
  <c r="I776" i="3"/>
  <c r="J776" i="3" s="1"/>
  <c r="I682" i="3"/>
  <c r="J682" i="3" s="1"/>
  <c r="I494" i="3"/>
  <c r="J494" i="3" s="1"/>
  <c r="I689" i="3"/>
  <c r="J689" i="3" s="1"/>
  <c r="I948" i="3"/>
  <c r="J948" i="3" s="1"/>
  <c r="I701" i="3"/>
  <c r="J701" i="3" s="1"/>
  <c r="I814" i="3"/>
  <c r="J814" i="3" s="1"/>
  <c r="I164" i="3"/>
  <c r="J164" i="3" s="1"/>
  <c r="I1027" i="3"/>
  <c r="J1027" i="3" s="1"/>
  <c r="I722" i="3"/>
  <c r="J722" i="3" s="1"/>
  <c r="I570" i="3"/>
  <c r="J570" i="3" s="1"/>
  <c r="I286" i="3"/>
  <c r="J286" i="3" s="1"/>
  <c r="I478" i="3"/>
  <c r="J478" i="3" s="1"/>
  <c r="I215" i="3"/>
  <c r="J215" i="3" s="1"/>
  <c r="I483" i="3"/>
  <c r="J483" i="3" s="1"/>
  <c r="I533" i="3"/>
  <c r="J533" i="3" s="1"/>
  <c r="I705" i="3"/>
  <c r="J705" i="3" s="1"/>
  <c r="I943" i="3"/>
  <c r="J943" i="3" s="1"/>
  <c r="I472" i="3"/>
  <c r="J472" i="3" s="1"/>
  <c r="I945" i="3"/>
  <c r="J945" i="3" s="1"/>
  <c r="I266" i="3"/>
  <c r="J266" i="3" s="1"/>
  <c r="I495" i="3"/>
  <c r="J495" i="3" s="1"/>
  <c r="I974" i="3"/>
  <c r="J974" i="3" s="1"/>
  <c r="I807" i="3"/>
  <c r="J807" i="3" s="1"/>
  <c r="I914" i="3"/>
  <c r="J914" i="3" s="1"/>
  <c r="I749" i="3"/>
  <c r="I727" i="3"/>
  <c r="J727" i="3" s="1"/>
  <c r="I198" i="3"/>
  <c r="J198" i="3" s="1"/>
  <c r="I832" i="3"/>
  <c r="J832" i="3" s="1"/>
  <c r="I813" i="3"/>
  <c r="J813" i="3" s="1"/>
  <c r="I1031" i="3"/>
  <c r="J1031" i="3" s="1"/>
  <c r="I467" i="3"/>
  <c r="J467" i="3" s="1"/>
  <c r="I165" i="3"/>
  <c r="J165" i="3" s="1"/>
  <c r="I817" i="3"/>
  <c r="J817" i="3" s="1"/>
  <c r="I795" i="3"/>
  <c r="J795" i="3" s="1"/>
  <c r="I628" i="3"/>
  <c r="J628" i="3" s="1"/>
  <c r="I364" i="3"/>
  <c r="J364" i="3" s="1"/>
  <c r="I568" i="3"/>
  <c r="J568" i="3" s="1"/>
  <c r="I524" i="3"/>
  <c r="J524" i="3" s="1"/>
  <c r="I745" i="3"/>
  <c r="J745" i="3" s="1"/>
  <c r="I346" i="3"/>
  <c r="J346" i="3" s="1"/>
  <c r="I201" i="3"/>
  <c r="J201" i="3" s="1"/>
  <c r="I419" i="3"/>
  <c r="J419" i="3" s="1"/>
  <c r="I523" i="3"/>
  <c r="J523" i="3" s="1"/>
  <c r="I519" i="3"/>
  <c r="J519" i="3" s="1"/>
  <c r="I6" i="3"/>
  <c r="J6" i="3" s="1"/>
  <c r="I671" i="3"/>
  <c r="J671" i="3" s="1"/>
  <c r="I142" i="3"/>
  <c r="J142" i="3" s="1"/>
  <c r="I304" i="3"/>
  <c r="J304" i="3" s="1"/>
  <c r="I521" i="3"/>
  <c r="J521" i="3" s="1"/>
  <c r="I976" i="3"/>
  <c r="J976" i="3" s="1"/>
  <c r="I357" i="3"/>
  <c r="J357" i="3" s="1"/>
  <c r="I685" i="3"/>
  <c r="I527" i="3"/>
  <c r="J527" i="3" s="1"/>
  <c r="I167" i="3"/>
  <c r="J167" i="3" s="1"/>
  <c r="I451" i="3"/>
  <c r="J451" i="3" s="1"/>
  <c r="I220" i="3"/>
  <c r="J220" i="3" s="1"/>
  <c r="I487" i="3"/>
  <c r="J487" i="3" s="1"/>
  <c r="I875" i="3"/>
  <c r="J875" i="3" s="1"/>
  <c r="I794" i="3"/>
  <c r="J794" i="3" s="1"/>
  <c r="I770" i="3"/>
  <c r="J770" i="3" s="1"/>
  <c r="I747" i="3"/>
  <c r="J747" i="3" s="1"/>
  <c r="I691" i="3"/>
  <c r="J691" i="3" s="1"/>
  <c r="I549" i="3"/>
  <c r="J549" i="3" s="1"/>
  <c r="I302" i="3"/>
  <c r="J302" i="3" s="1"/>
  <c r="I162" i="3"/>
  <c r="J162" i="3" s="1"/>
  <c r="I1000" i="3"/>
  <c r="J1000" i="3" s="1"/>
  <c r="I858" i="3"/>
  <c r="J858" i="3" s="1"/>
  <c r="I857" i="3"/>
  <c r="J857" i="3" s="1"/>
  <c r="I153" i="3"/>
  <c r="J153" i="3" s="1"/>
  <c r="I296" i="3"/>
  <c r="J296" i="3" s="1"/>
  <c r="I578" i="3"/>
  <c r="J578" i="3" s="1"/>
  <c r="I644" i="3"/>
  <c r="J644" i="3" s="1"/>
  <c r="I627" i="3"/>
  <c r="J627" i="3" s="1"/>
  <c r="I695" i="3"/>
  <c r="J695" i="3" s="1"/>
  <c r="I800" i="3"/>
  <c r="J800" i="3" s="1"/>
  <c r="I699" i="3"/>
  <c r="J699" i="3" s="1"/>
  <c r="I41" i="3"/>
  <c r="J41" i="3" s="1"/>
  <c r="I889" i="3"/>
  <c r="J889" i="3" s="1"/>
  <c r="I204" i="3"/>
  <c r="J204" i="3" s="1"/>
  <c r="I531" i="3"/>
  <c r="J531" i="3" s="1"/>
  <c r="I156" i="3"/>
  <c r="J156" i="3" s="1"/>
  <c r="I395" i="3"/>
  <c r="J395" i="3" s="1"/>
  <c r="I145" i="3"/>
  <c r="J145" i="3" s="1"/>
  <c r="I997" i="3"/>
  <c r="I264" i="3"/>
  <c r="J264" i="3" s="1"/>
  <c r="I88" i="3"/>
  <c r="J88" i="3" s="1"/>
  <c r="I819" i="3"/>
  <c r="J819" i="3" s="1"/>
  <c r="I888" i="3"/>
  <c r="J888" i="3" s="1"/>
  <c r="I726" i="3"/>
  <c r="J726" i="3" s="1"/>
  <c r="I338" i="3"/>
  <c r="J338" i="3" s="1"/>
  <c r="I489" i="3"/>
  <c r="J489" i="3" s="1"/>
  <c r="I390" i="3"/>
  <c r="J390" i="3" s="1"/>
  <c r="I238" i="3"/>
  <c r="J238" i="3" s="1"/>
  <c r="I821" i="3"/>
  <c r="I748" i="3"/>
  <c r="J748" i="3" s="1"/>
  <c r="I295" i="3"/>
  <c r="J295" i="3" s="1"/>
  <c r="I149" i="3"/>
  <c r="J149" i="3" s="1"/>
  <c r="I335" i="3"/>
  <c r="J335" i="3" s="1"/>
  <c r="I915" i="3"/>
  <c r="J915" i="3" s="1"/>
  <c r="I1001" i="3"/>
  <c r="J1001" i="3" s="1"/>
  <c r="I612" i="3"/>
  <c r="J612" i="3" s="1"/>
  <c r="I862" i="3"/>
  <c r="J862" i="3" s="1"/>
  <c r="I709" i="3"/>
  <c r="I769" i="3"/>
  <c r="J769" i="3" s="1"/>
  <c r="I603" i="3"/>
  <c r="J603" i="3" s="1"/>
  <c r="I963" i="3"/>
  <c r="J963" i="3" s="1"/>
  <c r="I481" i="3"/>
  <c r="J481" i="3" s="1"/>
  <c r="I441" i="3"/>
  <c r="J441" i="3" s="1"/>
  <c r="I1005" i="3"/>
  <c r="J1005" i="3" s="1"/>
  <c r="I962" i="3"/>
  <c r="J962" i="3" s="1"/>
  <c r="I147" i="3"/>
  <c r="J147" i="3" s="1"/>
  <c r="I624" i="3"/>
  <c r="J624" i="3" s="1"/>
  <c r="I947" i="3"/>
  <c r="J947" i="3" s="1"/>
  <c r="I241" i="3"/>
  <c r="J241" i="3" s="1"/>
  <c r="I186" i="3"/>
  <c r="J186" i="3" s="1"/>
  <c r="I148" i="3"/>
  <c r="J148" i="3" s="1"/>
  <c r="I834" i="3"/>
  <c r="J834" i="3" s="1"/>
  <c r="I970" i="3"/>
  <c r="J970" i="3" s="1"/>
  <c r="I625" i="3"/>
  <c r="J625" i="3" s="1"/>
  <c r="I897" i="3"/>
  <c r="J897" i="3" s="1"/>
  <c r="I385" i="3"/>
  <c r="J385" i="3" s="1"/>
  <c r="I601" i="3"/>
  <c r="J601" i="3" s="1"/>
  <c r="I191" i="3"/>
  <c r="J191" i="3" s="1"/>
  <c r="I999" i="3"/>
  <c r="J999" i="3" s="1"/>
  <c r="I157" i="3"/>
  <c r="J157" i="3" s="1"/>
  <c r="I529" i="3"/>
  <c r="J529" i="3" s="1"/>
  <c r="I623" i="3"/>
  <c r="I416" i="3"/>
  <c r="J416" i="3" s="1"/>
  <c r="I73" i="3"/>
  <c r="J73" i="3" s="1"/>
  <c r="I1032" i="3"/>
  <c r="J1032" i="3" s="1"/>
  <c r="I725" i="3"/>
  <c r="I83" i="3"/>
  <c r="J83" i="3" s="1"/>
  <c r="I574" i="3"/>
  <c r="J574" i="3" s="1"/>
  <c r="I23" i="3"/>
  <c r="J23" i="3" s="1"/>
  <c r="I892" i="3"/>
  <c r="J892" i="3" s="1"/>
  <c r="I861" i="3"/>
  <c r="I793" i="3"/>
  <c r="J793" i="3" s="1"/>
  <c r="I488" i="3"/>
  <c r="J488" i="3" s="1"/>
  <c r="I798" i="3"/>
  <c r="J798" i="3" s="1"/>
  <c r="I710" i="3"/>
  <c r="J710" i="3" s="1"/>
  <c r="I583" i="3"/>
  <c r="J583" i="3" s="1"/>
  <c r="I74" i="3"/>
  <c r="J74" i="3" s="1"/>
  <c r="I138" i="3"/>
  <c r="J138" i="3" s="1"/>
  <c r="I599" i="3"/>
  <c r="J599" i="3" s="1"/>
  <c r="I5" i="3"/>
  <c r="J5" i="3" s="1"/>
  <c r="I959" i="3"/>
  <c r="J959" i="3" s="1"/>
  <c r="I636" i="3"/>
  <c r="J636" i="3" s="1"/>
  <c r="I972" i="3"/>
  <c r="J972" i="3" s="1"/>
  <c r="I199" i="3"/>
  <c r="J199" i="3" s="1"/>
  <c r="I967" i="3"/>
  <c r="J967" i="3" s="1"/>
  <c r="I163" i="3"/>
  <c r="J163" i="3" s="1"/>
  <c r="I912" i="3"/>
  <c r="J912" i="3" s="1"/>
  <c r="I696" i="3"/>
  <c r="J696" i="3" s="1"/>
  <c r="I559" i="3"/>
  <c r="J559" i="3" s="1"/>
  <c r="I471" i="3"/>
  <c r="J471" i="3" s="1"/>
  <c r="I463" i="3"/>
  <c r="J463" i="3" s="1"/>
  <c r="I410" i="3"/>
  <c r="J410" i="3" s="1"/>
  <c r="I561" i="3"/>
  <c r="J561" i="3" s="1"/>
  <c r="I216" i="3"/>
  <c r="J216" i="3" s="1"/>
  <c r="I89" i="3"/>
  <c r="J89" i="3" s="1"/>
  <c r="I871" i="3"/>
  <c r="J871" i="3" s="1"/>
  <c r="I840" i="3"/>
  <c r="J840" i="3" s="1"/>
  <c r="I711" i="3"/>
  <c r="J711" i="3" s="1"/>
  <c r="I706" i="3"/>
  <c r="J706" i="3" s="1"/>
  <c r="I750" i="3"/>
  <c r="J750" i="3" s="1"/>
  <c r="I571" i="3"/>
  <c r="J571" i="3" s="1"/>
  <c r="I28" i="3"/>
  <c r="J28" i="3" s="1"/>
  <c r="I683" i="3"/>
  <c r="J683" i="3" s="1"/>
  <c r="I160" i="3"/>
  <c r="J160" i="3" s="1"/>
  <c r="I417" i="3"/>
  <c r="J417" i="3" s="1"/>
  <c r="I188" i="3"/>
  <c r="J188" i="3" s="1"/>
  <c r="I479" i="3"/>
  <c r="J479" i="3" s="1"/>
  <c r="I139" i="3"/>
  <c r="J139" i="3" s="1"/>
  <c r="I909" i="3"/>
  <c r="I686" i="3"/>
  <c r="J686" i="3" s="1"/>
  <c r="I297" i="3"/>
  <c r="J297" i="3" s="1"/>
  <c r="I728" i="3"/>
  <c r="J728" i="3" s="1"/>
  <c r="I12" i="3"/>
  <c r="J12" i="3" s="1"/>
  <c r="I388" i="3"/>
  <c r="J388" i="3" s="1"/>
  <c r="I384" i="3"/>
  <c r="J384" i="3" s="1"/>
  <c r="I155" i="3"/>
  <c r="J155" i="3" s="1"/>
  <c r="I80" i="3"/>
  <c r="J80" i="3" s="1"/>
  <c r="I68" i="3"/>
  <c r="J68" i="3" s="1"/>
  <c r="I576" i="3"/>
  <c r="J576" i="3" s="1"/>
  <c r="I633" i="3"/>
  <c r="J633" i="3" s="1"/>
  <c r="I575" i="3"/>
  <c r="J575" i="3" s="1"/>
  <c r="I916" i="3"/>
  <c r="J916" i="3" s="1"/>
  <c r="I391" i="3"/>
  <c r="J391" i="3" s="1"/>
  <c r="I110" i="3"/>
  <c r="J110" i="3" s="1"/>
  <c r="I26" i="3"/>
  <c r="J26" i="3" s="1"/>
  <c r="I859" i="3"/>
  <c r="J859" i="3" s="1"/>
  <c r="I365" i="3"/>
  <c r="J365" i="3" s="1"/>
  <c r="I965" i="3"/>
  <c r="I569" i="3"/>
  <c r="J569" i="3" s="1"/>
  <c r="I953" i="3"/>
  <c r="J953" i="3" s="1"/>
  <c r="I185" i="3"/>
  <c r="J185" i="3" s="1"/>
  <c r="I684" i="3"/>
  <c r="J684" i="3" s="1"/>
  <c r="I590" i="3"/>
  <c r="J590" i="3" s="1"/>
  <c r="I577" i="3"/>
  <c r="J577" i="3" s="1"/>
  <c r="I339" i="3"/>
  <c r="J339" i="3" s="1"/>
  <c r="I619" i="3"/>
  <c r="J619" i="3" s="1"/>
  <c r="I860" i="3"/>
  <c r="J860" i="3" s="1"/>
  <c r="I282" i="3"/>
  <c r="J282" i="3" s="1"/>
  <c r="I202" i="3"/>
  <c r="J202" i="3" s="1"/>
  <c r="I579" i="3"/>
  <c r="J579" i="3" s="1"/>
  <c r="I702" i="3"/>
  <c r="J702" i="3" s="1"/>
  <c r="I490" i="3"/>
  <c r="J490" i="3" s="1"/>
  <c r="I374" i="3"/>
  <c r="J374" i="3" s="1"/>
  <c r="I345" i="3"/>
  <c r="J345" i="3" s="1"/>
  <c r="I161" i="3"/>
  <c r="J161" i="3" s="1"/>
  <c r="I59" i="3"/>
  <c r="J59" i="3" s="1"/>
  <c r="I681" i="3"/>
  <c r="J681" i="3" s="1"/>
  <c r="I620" i="3"/>
  <c r="J620" i="3" s="1"/>
  <c r="I396" i="3"/>
  <c r="J396" i="3" s="1"/>
  <c r="I376" i="3"/>
  <c r="J376" i="3" s="1"/>
  <c r="I49" i="3"/>
  <c r="J49" i="3" s="1"/>
  <c r="I336" i="3"/>
  <c r="J336" i="3" s="1"/>
  <c r="I968" i="3"/>
  <c r="J968" i="3" s="1"/>
  <c r="I956" i="3"/>
  <c r="J956" i="3" s="1"/>
  <c r="I548" i="3"/>
  <c r="J548" i="3" s="1"/>
  <c r="I75" i="3"/>
  <c r="J75" i="3" s="1"/>
  <c r="I63" i="3"/>
  <c r="J63" i="3" s="1"/>
  <c r="I645" i="3"/>
  <c r="J645" i="3" s="1"/>
  <c r="I184" i="3"/>
  <c r="J184" i="3" s="1"/>
  <c r="I86" i="3"/>
  <c r="J86" i="3" s="1"/>
  <c r="I707" i="3"/>
  <c r="J707" i="3" s="1"/>
  <c r="I168" i="3"/>
  <c r="J168" i="3" s="1"/>
  <c r="I76" i="3"/>
  <c r="J76" i="3" s="1"/>
  <c r="I51" i="3"/>
  <c r="J51" i="3" s="1"/>
  <c r="I646" i="3"/>
  <c r="J646" i="3" s="1"/>
  <c r="I34" i="3"/>
  <c r="J34" i="3" s="1"/>
  <c r="I833" i="3"/>
  <c r="J833" i="3" s="1"/>
  <c r="I38" i="3"/>
  <c r="J38" i="3" s="1"/>
  <c r="I841" i="3"/>
  <c r="J841" i="3" s="1"/>
  <c r="I830" i="3"/>
  <c r="J830" i="3" s="1"/>
  <c r="I637" i="3"/>
  <c r="J637" i="3" s="1"/>
  <c r="I58" i="3"/>
  <c r="J58" i="3" s="1"/>
  <c r="I600" i="3"/>
  <c r="J600" i="3" s="1"/>
  <c r="I614" i="3"/>
  <c r="J614" i="3" s="1"/>
  <c r="I67" i="3"/>
  <c r="J67" i="3" s="1"/>
  <c r="I372" i="3"/>
  <c r="J372" i="3" s="1"/>
  <c r="I66" i="3"/>
  <c r="J66" i="3" s="1"/>
  <c r="I9" i="3"/>
  <c r="J9" i="3" s="1"/>
  <c r="I648" i="3"/>
  <c r="J648" i="3" s="1"/>
  <c r="I615" i="3"/>
  <c r="J615" i="3" s="1"/>
  <c r="I146" i="3"/>
  <c r="J146" i="3" s="1"/>
  <c r="I971" i="3"/>
  <c r="J971" i="3" s="1"/>
  <c r="I835" i="3"/>
  <c r="J835" i="3" s="1"/>
  <c r="I62" i="3"/>
  <c r="J62" i="3" s="1"/>
  <c r="I277" i="3"/>
  <c r="J277" i="3" s="1"/>
  <c r="I998" i="3"/>
  <c r="J998" i="3" s="1"/>
  <c r="I872" i="3"/>
  <c r="J872" i="3" s="1"/>
  <c r="I340" i="3"/>
  <c r="J340" i="3" s="1"/>
  <c r="I137" i="3"/>
  <c r="J137" i="3" s="1"/>
  <c r="I14" i="3"/>
  <c r="J14" i="3" s="1"/>
  <c r="I347" i="3"/>
  <c r="J347" i="3" s="1"/>
  <c r="I704" i="3"/>
  <c r="J704" i="3" s="1"/>
  <c r="I31" i="3"/>
  <c r="J31" i="3" s="1"/>
  <c r="I893" i="3"/>
  <c r="I594" i="3"/>
  <c r="J594" i="3" s="1"/>
  <c r="I394" i="3"/>
  <c r="J394" i="3" s="1"/>
  <c r="I816" i="3"/>
  <c r="J816" i="3" s="1"/>
  <c r="I863" i="3"/>
  <c r="J863" i="3" s="1"/>
  <c r="I820" i="3"/>
  <c r="J820" i="3" s="1"/>
  <c r="I799" i="3"/>
  <c r="J799" i="3" s="1"/>
  <c r="I708" i="3"/>
  <c r="J708" i="3" s="1"/>
  <c r="I446" i="3"/>
  <c r="J446" i="3" s="1"/>
  <c r="I195" i="3"/>
  <c r="J195" i="3" s="1"/>
  <c r="I420" i="3"/>
  <c r="J420" i="3" s="1"/>
  <c r="I411" i="3"/>
  <c r="J411" i="3" s="1"/>
  <c r="I84" i="3"/>
  <c r="J84" i="3" s="1"/>
  <c r="I414" i="3"/>
  <c r="J414" i="3" s="1"/>
  <c r="I954" i="3"/>
  <c r="J954" i="3" s="1"/>
  <c r="I812" i="3"/>
  <c r="J812" i="3" s="1"/>
  <c r="I71" i="3"/>
  <c r="J71" i="3" s="1"/>
  <c r="I950" i="3"/>
  <c r="J950" i="3" s="1"/>
  <c r="I662" i="3"/>
  <c r="J662" i="3" s="1"/>
  <c r="I284" i="3"/>
  <c r="J284" i="3" s="1"/>
  <c r="I792" i="3"/>
  <c r="J792" i="3" s="1"/>
  <c r="I597" i="3"/>
  <c r="J597" i="3" s="1"/>
  <c r="I626" i="3"/>
  <c r="J626" i="3" s="1"/>
  <c r="I964" i="3"/>
  <c r="J964" i="3" s="1"/>
  <c r="I480" i="3"/>
  <c r="J480" i="3" s="1"/>
  <c r="I190" i="3"/>
  <c r="J190" i="3" s="1"/>
  <c r="I418" i="3"/>
  <c r="J418" i="3" s="1"/>
  <c r="I327" i="3"/>
  <c r="J327" i="3" s="1"/>
  <c r="I283" i="3"/>
  <c r="J283" i="3" s="1"/>
  <c r="I30" i="3"/>
  <c r="J30" i="3" s="1"/>
  <c r="I618" i="3"/>
  <c r="J618" i="3" s="1"/>
  <c r="I617" i="3"/>
  <c r="J617" i="3" s="1"/>
  <c r="I383" i="3"/>
  <c r="J383" i="3" s="1"/>
  <c r="I140" i="3"/>
  <c r="J140" i="3" s="1"/>
  <c r="I114" i="3"/>
  <c r="J114" i="3" s="1"/>
  <c r="I81" i="3"/>
  <c r="J81" i="3" s="1"/>
  <c r="I65" i="3"/>
  <c r="J65" i="3" s="1"/>
  <c r="I918" i="3"/>
  <c r="J918" i="3" s="1"/>
  <c r="I136" i="3"/>
  <c r="J136" i="3" s="1"/>
  <c r="I939" i="3"/>
  <c r="J939" i="3" s="1"/>
  <c r="I20" i="3"/>
  <c r="J20" i="3" s="1"/>
  <c r="I876" i="3"/>
  <c r="J876" i="3" s="1"/>
  <c r="I437" i="3"/>
  <c r="J437" i="3" s="1"/>
  <c r="I233" i="3"/>
  <c r="J233" i="3" s="1"/>
  <c r="I703" i="3"/>
  <c r="J703" i="3" s="1"/>
  <c r="I265" i="3"/>
  <c r="J265" i="3" s="1"/>
  <c r="I234" i="3"/>
  <c r="J234" i="3" s="1"/>
  <c r="I955" i="3"/>
  <c r="J955" i="3" s="1"/>
  <c r="I72" i="3"/>
  <c r="J72" i="3" s="1"/>
  <c r="I24" i="3"/>
  <c r="J24" i="3" s="1"/>
  <c r="I333" i="3"/>
  <c r="J333" i="3" s="1"/>
  <c r="I910" i="3"/>
  <c r="J910" i="3" s="1"/>
  <c r="I839" i="3"/>
  <c r="J839" i="3" s="1"/>
  <c r="I573" i="3"/>
  <c r="J573" i="3" s="1"/>
  <c r="I465" i="3"/>
  <c r="J465" i="3" s="1"/>
  <c r="I393" i="3"/>
  <c r="J393" i="3" s="1"/>
  <c r="I235" i="3"/>
  <c r="J235" i="3" s="1"/>
  <c r="I169" i="3"/>
  <c r="J169" i="3" s="1"/>
  <c r="I69" i="3"/>
  <c r="J69" i="3" s="1"/>
  <c r="I152" i="3"/>
  <c r="J152" i="3" s="1"/>
  <c r="I870" i="3"/>
  <c r="J870" i="3" s="1"/>
  <c r="I496" i="3"/>
  <c r="J496" i="3" s="1"/>
  <c r="I961" i="3"/>
  <c r="J961" i="3" s="1"/>
  <c r="I952" i="3"/>
  <c r="J952" i="3" s="1"/>
  <c r="I439" i="3"/>
  <c r="J439" i="3" s="1"/>
  <c r="I245" i="3"/>
  <c r="J245" i="3" s="1"/>
  <c r="I815" i="3"/>
  <c r="J815" i="3" s="1"/>
  <c r="I908" i="3"/>
  <c r="J908" i="3" s="1"/>
  <c r="I326" i="3"/>
  <c r="J326" i="3" s="1"/>
  <c r="I373" i="3"/>
  <c r="J373" i="3" s="1"/>
  <c r="I257" i="3"/>
  <c r="J257" i="3" s="1"/>
  <c r="I182" i="3"/>
  <c r="J182" i="3" s="1"/>
  <c r="I187" i="3"/>
  <c r="J187" i="3" s="1"/>
  <c r="I966" i="3"/>
  <c r="J966" i="3" s="1"/>
  <c r="I907" i="3"/>
  <c r="J907" i="3" s="1"/>
  <c r="I596" i="3"/>
  <c r="J596" i="3" s="1"/>
  <c r="I151" i="3"/>
  <c r="J151" i="3" s="1"/>
  <c r="I15" i="3"/>
  <c r="J15" i="3" s="1"/>
  <c r="I415" i="3"/>
  <c r="J415" i="3" s="1"/>
  <c r="I413" i="3"/>
  <c r="J413" i="3" s="1"/>
  <c r="I135" i="3"/>
  <c r="J135" i="3" s="1"/>
  <c r="I378" i="3"/>
  <c r="J378" i="3" s="1"/>
  <c r="I189" i="3"/>
  <c r="J189" i="3" s="1"/>
  <c r="I18" i="3"/>
  <c r="J18" i="3" s="1"/>
  <c r="I973" i="3"/>
  <c r="I969" i="3"/>
  <c r="J969" i="3" s="1"/>
  <c r="I491" i="3"/>
  <c r="J491" i="3" s="1"/>
  <c r="I61" i="3"/>
  <c r="J61" i="3" s="1"/>
  <c r="I673" i="3"/>
  <c r="I526" i="3"/>
  <c r="J526" i="3" s="1"/>
  <c r="I387" i="3"/>
  <c r="J387" i="3" s="1"/>
  <c r="I622" i="3"/>
  <c r="J622" i="3" s="1"/>
  <c r="I392" i="3"/>
  <c r="J392" i="3" s="1"/>
  <c r="I159" i="3"/>
  <c r="J159" i="3" s="1"/>
  <c r="I16" i="3"/>
  <c r="J16" i="3" s="1"/>
  <c r="I10" i="3"/>
  <c r="J10" i="3" s="1"/>
  <c r="I70" i="3"/>
  <c r="J70" i="3" s="1"/>
  <c r="I64" i="3"/>
  <c r="J64" i="3" s="1"/>
  <c r="I57" i="3"/>
  <c r="J57" i="3" s="1"/>
  <c r="I40" i="3"/>
  <c r="J40" i="3" s="1"/>
  <c r="I975" i="3"/>
  <c r="J975" i="3" s="1"/>
  <c r="I777" i="3"/>
  <c r="J777" i="3" s="1"/>
  <c r="I328" i="3"/>
  <c r="J328" i="3" s="1"/>
  <c r="I150" i="3"/>
  <c r="J150" i="3" s="1"/>
  <c r="I35" i="3"/>
  <c r="J35" i="3" s="1"/>
  <c r="I22" i="3"/>
  <c r="J22" i="3" s="1"/>
  <c r="I525" i="3"/>
  <c r="J525" i="3" s="1"/>
  <c r="I242" i="3"/>
  <c r="J242" i="3" s="1"/>
  <c r="I522" i="3"/>
  <c r="J522" i="3" s="1"/>
  <c r="I274" i="3"/>
  <c r="J274" i="3" s="1"/>
  <c r="I913" i="3"/>
  <c r="J913" i="3" s="1"/>
  <c r="I377" i="3"/>
  <c r="J377" i="3" s="1"/>
  <c r="I101" i="3"/>
  <c r="J101" i="3" s="1"/>
  <c r="I389" i="3"/>
  <c r="J389" i="3" s="1"/>
  <c r="I85" i="3"/>
  <c r="J85" i="3" s="1"/>
  <c r="I874" i="3"/>
  <c r="J874" i="3" s="1"/>
  <c r="I823" i="3"/>
  <c r="J823" i="3" s="1"/>
  <c r="I52" i="3"/>
  <c r="J52" i="3" s="1"/>
  <c r="I237" i="3"/>
  <c r="J237" i="3" s="1"/>
  <c r="I29" i="3"/>
  <c r="J29" i="3" s="1"/>
  <c r="I56" i="3"/>
  <c r="J56" i="3" s="1"/>
  <c r="I656" i="3"/>
  <c r="J656" i="3" s="1"/>
  <c r="I613" i="3"/>
  <c r="J613" i="3" s="1"/>
  <c r="I605" i="3"/>
  <c r="J605" i="3" s="1"/>
  <c r="I44" i="3"/>
  <c r="J44" i="3" s="1"/>
  <c r="I638" i="3"/>
  <c r="J638" i="3" s="1"/>
  <c r="I87" i="3"/>
  <c r="J87" i="3" s="1"/>
  <c r="I643" i="3"/>
  <c r="J643" i="3" s="1"/>
  <c r="I642" i="3"/>
  <c r="J642" i="3" s="1"/>
  <c r="I595" i="3"/>
  <c r="J595" i="3" s="1"/>
  <c r="I379" i="3"/>
  <c r="J379" i="3" s="1"/>
  <c r="I25" i="3"/>
  <c r="J25" i="3" s="1"/>
  <c r="I938" i="3"/>
  <c r="J938" i="3" s="1"/>
  <c r="I239" i="3"/>
  <c r="J239" i="3" s="1"/>
  <c r="I17" i="3"/>
  <c r="J17" i="3" s="1"/>
  <c r="I126" i="3"/>
  <c r="J126" i="3" s="1"/>
  <c r="I116" i="3"/>
  <c r="J116" i="3" s="1"/>
  <c r="I39" i="3"/>
  <c r="J39" i="3" s="1"/>
  <c r="I240" i="3"/>
  <c r="J240" i="3" s="1"/>
  <c r="I1022" i="3"/>
  <c r="J1022" i="3" s="1"/>
  <c r="I386" i="3"/>
  <c r="J386" i="3" s="1"/>
  <c r="I37" i="3"/>
  <c r="J37" i="3" s="1"/>
  <c r="I33" i="3"/>
  <c r="J33" i="3" s="1"/>
  <c r="I32" i="3"/>
  <c r="J32" i="3" s="1"/>
  <c r="I7" i="3"/>
  <c r="J7" i="3" s="1"/>
  <c r="I602" i="3"/>
  <c r="J602" i="3" s="1"/>
  <c r="I276" i="3"/>
  <c r="J276" i="3" s="1"/>
  <c r="I125" i="3"/>
  <c r="J125" i="3" s="1"/>
  <c r="I27" i="3"/>
  <c r="J27" i="3" s="1"/>
  <c r="I937" i="3"/>
  <c r="J937" i="3" s="1"/>
  <c r="I824" i="3"/>
  <c r="J824" i="3" s="1"/>
  <c r="I382" i="3"/>
  <c r="J382" i="3" s="1"/>
  <c r="I113" i="3"/>
  <c r="J113" i="3" s="1"/>
  <c r="I79" i="3"/>
  <c r="J79" i="3" s="1"/>
  <c r="I898" i="3"/>
  <c r="J898" i="3" s="1"/>
  <c r="I111" i="3"/>
  <c r="J111" i="3" s="1"/>
  <c r="I381" i="3"/>
  <c r="J381" i="3" s="1"/>
  <c r="I19" i="3"/>
  <c r="J19" i="3" s="1"/>
  <c r="I593" i="3"/>
  <c r="J593" i="3" s="1"/>
  <c r="I82" i="3"/>
  <c r="J82" i="3" s="1"/>
  <c r="I311" i="3"/>
  <c r="J311" i="3" s="1"/>
  <c r="I124" i="3"/>
  <c r="J124" i="3" s="1"/>
  <c r="I285" i="3"/>
  <c r="J285" i="3" s="1"/>
  <c r="I141" i="3"/>
  <c r="J141" i="3" s="1"/>
  <c r="I77" i="3"/>
  <c r="J77" i="3" s="1"/>
  <c r="I822" i="3"/>
  <c r="J822" i="3" s="1"/>
  <c r="I21" i="3"/>
  <c r="J21" i="3" s="1"/>
  <c r="I856" i="3"/>
  <c r="J856" i="3" s="1"/>
  <c r="I438" i="3"/>
  <c r="J438" i="3" s="1"/>
  <c r="I121" i="3"/>
  <c r="J121" i="3" s="1"/>
  <c r="I598" i="3"/>
  <c r="J598" i="3" s="1"/>
  <c r="I649" i="3"/>
  <c r="J649" i="3" s="1"/>
  <c r="I98" i="3"/>
  <c r="J98" i="3" s="1"/>
  <c r="I380" i="3"/>
  <c r="J380" i="3" s="1"/>
  <c r="I178" i="3"/>
  <c r="J178" i="3" s="1"/>
  <c r="I144" i="3"/>
  <c r="J144" i="3" s="1"/>
  <c r="I108" i="3"/>
  <c r="J108" i="3" s="1"/>
  <c r="I107" i="3"/>
  <c r="J107" i="3" s="1"/>
  <c r="I1024" i="3"/>
  <c r="J1024" i="3" s="1"/>
  <c r="I397" i="3"/>
  <c r="J397" i="3" s="1"/>
  <c r="I334" i="3"/>
  <c r="J334" i="3" s="1"/>
  <c r="I115" i="3"/>
  <c r="J115" i="3" s="1"/>
  <c r="I1030" i="3"/>
  <c r="J1030" i="3" s="1"/>
  <c r="I36" i="3"/>
  <c r="J36" i="3" s="1"/>
  <c r="I192" i="3"/>
  <c r="J192" i="3" s="1"/>
  <c r="I616" i="3"/>
  <c r="J616" i="3" s="1"/>
  <c r="I143" i="3"/>
  <c r="J143" i="3" s="1"/>
  <c r="I123" i="3"/>
  <c r="J123" i="3" s="1"/>
  <c r="I106" i="3"/>
  <c r="J106" i="3" s="1"/>
  <c r="I105" i="3"/>
  <c r="J105" i="3" s="1"/>
  <c r="I100" i="3"/>
  <c r="J100" i="3" s="1"/>
  <c r="I104" i="3"/>
  <c r="J104" i="3" s="1"/>
  <c r="I1025" i="3"/>
  <c r="J1025" i="3" s="1"/>
  <c r="I604" i="3"/>
  <c r="J604" i="3" s="1"/>
  <c r="I112" i="3"/>
  <c r="J112" i="3" s="1"/>
  <c r="I119" i="3"/>
  <c r="J119" i="3" s="1"/>
  <c r="I11" i="3"/>
  <c r="J11" i="3" s="1"/>
  <c r="I1026" i="3"/>
  <c r="J1026" i="3" s="1"/>
  <c r="I154" i="3"/>
  <c r="J154" i="3" s="1"/>
  <c r="I118" i="3"/>
  <c r="J118" i="3" s="1"/>
  <c r="I103" i="3"/>
  <c r="J103" i="3" s="1"/>
  <c r="I99" i="3"/>
  <c r="J99" i="3" s="1"/>
  <c r="I43" i="3"/>
  <c r="J43" i="3" s="1"/>
  <c r="I779" i="3"/>
  <c r="J779" i="3" s="1"/>
  <c r="I640" i="3"/>
  <c r="J640" i="3" s="1"/>
  <c r="I13" i="3"/>
  <c r="J13" i="3" s="1"/>
  <c r="I54" i="3"/>
  <c r="J54" i="3" s="1"/>
  <c r="I97" i="3"/>
  <c r="J97" i="3" s="1"/>
  <c r="I796" i="3"/>
  <c r="J796" i="3" s="1"/>
  <c r="I219" i="3"/>
  <c r="J219" i="3" s="1"/>
  <c r="I120" i="3"/>
  <c r="J120" i="3" s="1"/>
  <c r="I53" i="3"/>
  <c r="J53" i="3" s="1"/>
  <c r="I589" i="3"/>
  <c r="J589" i="3" s="1"/>
  <c r="I42" i="3"/>
  <c r="J42" i="3" s="1"/>
  <c r="I588" i="3"/>
  <c r="J588" i="3" s="1"/>
  <c r="I368" i="3"/>
  <c r="J368" i="3" s="1"/>
  <c r="I303" i="3"/>
  <c r="J303" i="3" s="1"/>
  <c r="I60" i="3"/>
  <c r="J60" i="3" s="1"/>
  <c r="I464" i="3"/>
  <c r="J464" i="3" s="1"/>
  <c r="I109" i="3"/>
  <c r="J109" i="3" s="1"/>
  <c r="I102" i="3"/>
  <c r="J102" i="3" s="1"/>
  <c r="I1023" i="3"/>
  <c r="J1023" i="3" s="1"/>
  <c r="I591" i="3"/>
  <c r="I8" i="3"/>
  <c r="J8" i="3" s="1"/>
  <c r="I122" i="3"/>
  <c r="J122" i="3" s="1"/>
  <c r="I117" i="3"/>
  <c r="J117" i="3" s="1"/>
  <c r="I78" i="3"/>
  <c r="J78" i="3" s="1"/>
  <c r="I55" i="3"/>
  <c r="J55" i="3" s="1"/>
  <c r="I408" i="3"/>
  <c r="J408" i="3" s="1"/>
  <c r="I404" i="3"/>
  <c r="J404" i="3" s="1"/>
  <c r="I734" i="3"/>
  <c r="J734" i="3" s="1"/>
  <c r="I452" i="3"/>
  <c r="J452" i="3" s="1"/>
  <c r="I987" i="3"/>
  <c r="J987" i="3" s="1"/>
  <c r="I232" i="3"/>
  <c r="J232" i="3" s="1"/>
  <c r="I231" i="3"/>
  <c r="J231" i="3" s="1"/>
  <c r="I928" i="3"/>
  <c r="J928" i="3" s="1"/>
  <c r="I476" i="3"/>
  <c r="J476" i="3" s="1"/>
  <c r="I453" i="3"/>
  <c r="J453" i="3" s="1"/>
  <c r="I557" i="3"/>
  <c r="J557" i="3" s="1"/>
  <c r="I808" i="3"/>
  <c r="J808" i="3" s="1"/>
  <c r="I516" i="3"/>
  <c r="J516" i="3" s="1"/>
  <c r="I657" i="3"/>
  <c r="J657" i="3" s="1"/>
  <c r="I517" i="3"/>
  <c r="J517" i="3" s="1"/>
  <c r="I342" i="3"/>
  <c r="J342" i="3" s="1"/>
  <c r="I307" i="3"/>
  <c r="J307" i="3" s="1"/>
  <c r="I455" i="3"/>
  <c r="J455" i="3" s="1"/>
  <c r="I514" i="3"/>
  <c r="J514" i="3" s="1"/>
  <c r="I545" i="3"/>
  <c r="J545" i="3" s="1"/>
  <c r="I513" i="3"/>
  <c r="J513" i="3" s="1"/>
  <c r="I321" i="3"/>
  <c r="J321" i="3" s="1"/>
  <c r="I788" i="3"/>
  <c r="J788" i="3" s="1"/>
  <c r="I882" i="3"/>
  <c r="J882" i="3" s="1"/>
  <c r="I515" i="3"/>
  <c r="J515" i="3" s="1"/>
  <c r="I256" i="3"/>
  <c r="J256" i="3" s="1"/>
  <c r="I755" i="3"/>
  <c r="J755" i="3" s="1"/>
  <c r="I756" i="3"/>
  <c r="J756" i="3" s="1"/>
  <c r="I1016" i="3"/>
  <c r="J1016" i="3" s="1"/>
  <c r="I678" i="3"/>
  <c r="J678" i="3" s="1"/>
  <c r="I1017" i="3"/>
  <c r="J1017" i="3" s="1"/>
  <c r="I714" i="3"/>
  <c r="J714" i="3" s="1"/>
  <c r="I213" i="3"/>
  <c r="J213" i="3" s="1"/>
  <c r="I567" i="3"/>
  <c r="J567" i="3" s="1"/>
  <c r="I454" i="3"/>
  <c r="J454" i="3" s="1"/>
  <c r="I194" i="3"/>
  <c r="J194" i="3" s="1"/>
  <c r="I314" i="3"/>
  <c r="J314" i="3" s="1"/>
  <c r="I982" i="3"/>
  <c r="J982" i="3" s="1"/>
  <c r="I509" i="3"/>
  <c r="J509" i="3" s="1"/>
  <c r="I716" i="3"/>
  <c r="J716" i="3" s="1"/>
  <c r="I405" i="3"/>
  <c r="J405" i="3" s="1"/>
  <c r="I929" i="3"/>
  <c r="J929" i="3" s="1"/>
  <c r="I687" i="3"/>
  <c r="J687" i="3" s="1"/>
  <c r="I324" i="3"/>
  <c r="J324" i="3" s="1"/>
  <c r="I270" i="3"/>
  <c r="J270" i="3" s="1"/>
  <c r="I983" i="3"/>
  <c r="J983" i="3" s="1"/>
  <c r="I630" i="3"/>
  <c r="J630" i="3" s="1"/>
  <c r="I544" i="3"/>
  <c r="J544" i="3" s="1"/>
  <c r="I739" i="3"/>
  <c r="J739" i="3" s="1"/>
  <c r="I354" i="3"/>
  <c r="J354" i="3" s="1"/>
  <c r="I932" i="3"/>
  <c r="J932" i="3" s="1"/>
  <c r="I668" i="3"/>
  <c r="J668" i="3" s="1"/>
  <c r="I720" i="3"/>
  <c r="J720" i="3" s="1"/>
  <c r="I322" i="3"/>
  <c r="J322" i="3" s="1"/>
  <c r="I466" i="3"/>
  <c r="J466" i="3" s="1"/>
  <c r="I508" i="3"/>
  <c r="J508" i="3" s="1"/>
  <c r="I809" i="3"/>
  <c r="J809" i="3" s="1"/>
  <c r="I355" i="3"/>
  <c r="J355" i="3" s="1"/>
  <c r="I675" i="3"/>
  <c r="J675" i="3" s="1"/>
  <c r="I934" i="3"/>
  <c r="J934" i="3" s="1"/>
  <c r="I676" i="3"/>
  <c r="J676" i="3" s="1"/>
  <c r="I608" i="3"/>
  <c r="J608" i="3" s="1"/>
  <c r="I935" i="3"/>
  <c r="J935" i="3" s="1"/>
  <c r="I721" i="3"/>
  <c r="J721" i="3" s="1"/>
  <c r="I565" i="3"/>
  <c r="J565" i="3" s="1"/>
  <c r="I831" i="3"/>
  <c r="J831" i="3" s="1"/>
  <c r="I462" i="3"/>
  <c r="J462" i="3" s="1"/>
  <c r="I371" i="3"/>
  <c r="J371" i="3" s="1"/>
  <c r="I677" i="3"/>
  <c r="J677" i="3" s="1"/>
  <c r="I406" i="3"/>
  <c r="J406" i="3" s="1"/>
  <c r="I542" i="3"/>
  <c r="J542" i="3" s="1"/>
  <c r="I280" i="3"/>
  <c r="J280" i="3" s="1"/>
  <c r="I323" i="3"/>
  <c r="J323" i="3" s="1"/>
  <c r="I712" i="3"/>
  <c r="J712" i="3" s="1"/>
  <c r="I475" i="3"/>
  <c r="J475" i="3" s="1"/>
  <c r="I737" i="3"/>
  <c r="J737" i="3" s="1"/>
  <c r="I134" i="3"/>
  <c r="J134" i="3" s="1"/>
  <c r="I930" i="3"/>
  <c r="J930" i="3" s="1"/>
  <c r="I315" i="3"/>
  <c r="J315" i="3" s="1"/>
  <c r="I474" i="3"/>
  <c r="J474" i="3" s="1"/>
  <c r="I715" i="3"/>
  <c r="J715" i="3" s="1"/>
  <c r="I443" i="3"/>
  <c r="J443" i="3" s="1"/>
  <c r="I434" i="3"/>
  <c r="J434" i="3" s="1"/>
  <c r="I553" i="3"/>
  <c r="J553" i="3" s="1"/>
  <c r="I631" i="3"/>
  <c r="J631" i="3" s="1"/>
  <c r="I511" i="3"/>
  <c r="J511" i="3" s="1"/>
  <c r="I308" i="3"/>
  <c r="J308" i="3" s="1"/>
  <c r="I693" i="3"/>
  <c r="I679" i="3"/>
  <c r="J679" i="3" s="1"/>
  <c r="I3" i="3"/>
  <c r="J3" i="3" s="1"/>
  <c r="I507" i="3"/>
  <c r="J507" i="3" s="1"/>
  <c r="I933" i="3"/>
  <c r="I692" i="3"/>
  <c r="J692" i="3" s="1"/>
  <c r="I609" i="3"/>
  <c r="J609" i="3" s="1"/>
  <c r="I407" i="3"/>
  <c r="J407" i="3" s="1"/>
  <c r="I738" i="3"/>
  <c r="J738" i="3" s="1"/>
  <c r="I984" i="3"/>
  <c r="J984" i="3" s="1"/>
  <c r="I435" i="3"/>
  <c r="J435" i="3" s="1"/>
  <c r="I688" i="3"/>
  <c r="J688" i="3" s="1"/>
  <c r="I512" i="3"/>
  <c r="J512" i="3" s="1"/>
  <c r="I469" i="3"/>
  <c r="J469" i="3" s="1"/>
  <c r="I694" i="3"/>
  <c r="J694" i="3" s="1"/>
  <c r="I986" i="3"/>
  <c r="J986" i="3" s="1"/>
  <c r="I271" i="3"/>
  <c r="J271" i="3" s="1"/>
  <c r="I460" i="3"/>
  <c r="J460" i="3" s="1"/>
  <c r="I456" i="3"/>
  <c r="J456" i="3" s="1"/>
  <c r="I370" i="3"/>
  <c r="J370" i="3" s="1"/>
  <c r="I850" i="3"/>
  <c r="J850" i="3" s="1"/>
  <c r="I740" i="3"/>
  <c r="J740" i="3" s="1"/>
  <c r="I227" i="3"/>
  <c r="J227" i="3" s="1"/>
  <c r="I718" i="3"/>
  <c r="J718" i="3" s="1"/>
  <c r="I353" i="3"/>
  <c r="J353" i="3" s="1"/>
  <c r="I868" i="3"/>
  <c r="J868" i="3" s="1"/>
  <c r="I317" i="3"/>
  <c r="J317" i="3" s="1"/>
  <c r="I510" i="3"/>
  <c r="J510" i="3" s="1"/>
  <c r="I506" i="3"/>
  <c r="J506" i="3" s="1"/>
  <c r="I810" i="3"/>
  <c r="J810" i="3" s="1"/>
  <c r="I1033" i="3"/>
  <c r="J1033" i="3" s="1"/>
  <c r="I985" i="3"/>
  <c r="J985" i="3" s="1"/>
  <c r="I1029" i="3"/>
  <c r="I552" i="3"/>
  <c r="J552" i="3" s="1"/>
  <c r="I931" i="3"/>
  <c r="J931" i="3" s="1"/>
  <c r="I281" i="3"/>
  <c r="J281" i="3" s="1"/>
  <c r="I566" i="3"/>
  <c r="J566" i="3" s="1"/>
  <c r="I554" i="3"/>
  <c r="J554" i="3" s="1"/>
  <c r="I230" i="3"/>
  <c r="J230" i="3" s="1"/>
  <c r="I555" i="3"/>
  <c r="J555" i="3" s="1"/>
  <c r="I881" i="3"/>
  <c r="J881" i="3" s="1"/>
  <c r="I505" i="3"/>
  <c r="J505" i="3" s="1"/>
  <c r="I713" i="3"/>
  <c r="J713" i="3" s="1"/>
  <c r="I272" i="3"/>
  <c r="J272" i="3" s="1"/>
  <c r="I717" i="3"/>
  <c r="I632" i="3"/>
  <c r="J632" i="3" s="1"/>
  <c r="I313" i="3"/>
  <c r="J313" i="3" s="1"/>
  <c r="I556" i="3"/>
  <c r="J556" i="3" s="1"/>
  <c r="I343" i="3"/>
  <c r="J343" i="3" s="1"/>
  <c r="I133" i="3"/>
  <c r="J133" i="3" s="1"/>
  <c r="I849" i="3"/>
  <c r="J849" i="3" s="1"/>
  <c r="I293" i="3"/>
  <c r="J293" i="3" s="1"/>
  <c r="I936" i="3"/>
  <c r="J936" i="3" s="1"/>
  <c r="I369" i="3"/>
  <c r="J369" i="3" s="1"/>
  <c r="I294" i="3"/>
  <c r="J294" i="3" s="1"/>
  <c r="I331" i="3"/>
  <c r="J331" i="3" s="1"/>
  <c r="I869" i="3"/>
  <c r="I719" i="3"/>
  <c r="J719" i="3" s="1"/>
  <c r="I906" i="3"/>
  <c r="J906" i="3" s="1"/>
  <c r="I291" i="3"/>
  <c r="J291" i="3" s="1"/>
  <c r="I543" i="3"/>
  <c r="J543" i="3" s="1"/>
  <c r="I229" i="3"/>
  <c r="J229" i="3" s="1"/>
  <c r="I461" i="3"/>
  <c r="J461" i="3" s="1"/>
  <c r="I436" i="3"/>
  <c r="J436" i="3" s="1"/>
  <c r="I586" i="3"/>
  <c r="J586" i="3" s="1"/>
  <c r="I356" i="3"/>
  <c r="J356" i="3" s="1"/>
  <c r="I228" i="3"/>
  <c r="J228" i="3" s="1"/>
  <c r="I132" i="3"/>
  <c r="J132" i="3" s="1"/>
  <c r="I587" i="3"/>
  <c r="J587" i="3" s="1"/>
  <c r="I263" i="3"/>
  <c r="J263" i="3" s="1"/>
  <c r="I772" i="3"/>
  <c r="J772" i="3" s="1"/>
  <c r="I292" i="3"/>
  <c r="J292" i="3" s="1"/>
  <c r="I585" i="3"/>
  <c r="J585" i="3" s="1"/>
  <c r="I96" i="3"/>
  <c r="J96" i="3" s="1"/>
  <c r="I4" i="3"/>
  <c r="J4" i="3" s="1"/>
  <c r="I21" i="2"/>
  <c r="J21" i="2" s="1"/>
  <c r="I59" i="2"/>
  <c r="J59" i="2" s="1"/>
  <c r="I80" i="2"/>
  <c r="J80" i="2" s="1"/>
  <c r="I110" i="2"/>
  <c r="J110" i="2" s="1"/>
  <c r="I111" i="2"/>
  <c r="J111" i="2" s="1"/>
  <c r="I112" i="2"/>
  <c r="J112" i="2" s="1"/>
  <c r="I116" i="2"/>
  <c r="J116" i="2" s="1"/>
  <c r="I118" i="2"/>
  <c r="J118" i="2" s="1"/>
  <c r="I122" i="2"/>
  <c r="J122" i="2" s="1"/>
  <c r="I124" i="2"/>
  <c r="J124" i="2" s="1"/>
  <c r="I130" i="2"/>
  <c r="J130" i="2" s="1"/>
  <c r="I177" i="2"/>
  <c r="J177" i="2" s="1"/>
  <c r="I179" i="2"/>
  <c r="J179" i="2" s="1"/>
  <c r="I221" i="2"/>
  <c r="J221" i="2" s="1"/>
  <c r="I227" i="2"/>
  <c r="J227" i="2" s="1"/>
  <c r="I242" i="2"/>
  <c r="J242" i="2" s="1"/>
  <c r="I243" i="2"/>
  <c r="J243" i="2" s="1"/>
  <c r="I244" i="2"/>
  <c r="J244" i="2" s="1"/>
  <c r="I245" i="2"/>
  <c r="J245" i="2" s="1"/>
  <c r="I246" i="2"/>
  <c r="J246" i="2" s="1"/>
  <c r="I289" i="2"/>
  <c r="J289" i="2" s="1"/>
  <c r="I338" i="2"/>
  <c r="J338" i="2" s="1"/>
  <c r="I339" i="2"/>
  <c r="J339" i="2" s="1"/>
  <c r="I340" i="2"/>
  <c r="J340" i="2" s="1"/>
  <c r="I341" i="2"/>
  <c r="J341" i="2" s="1"/>
  <c r="I342" i="2"/>
  <c r="J342" i="2" s="1"/>
  <c r="I343" i="2"/>
  <c r="J343" i="2" s="1"/>
  <c r="I344" i="2"/>
  <c r="J344" i="2" s="1"/>
  <c r="I345" i="2"/>
  <c r="J345" i="2" s="1"/>
  <c r="I346" i="2"/>
  <c r="J346" i="2" s="1"/>
  <c r="I347" i="2"/>
  <c r="J347" i="2" s="1"/>
  <c r="I431" i="2"/>
  <c r="J431" i="2" s="1"/>
  <c r="I451" i="2"/>
  <c r="J451" i="2" s="1"/>
  <c r="I523" i="2"/>
  <c r="J523" i="2" s="1"/>
  <c r="I58" i="2"/>
  <c r="J58" i="2" s="1"/>
  <c r="I176" i="2"/>
  <c r="J176" i="2" s="1"/>
  <c r="I217" i="2"/>
  <c r="J217" i="2" s="1"/>
  <c r="I218" i="2"/>
  <c r="J218" i="2" s="1"/>
  <c r="I268" i="2"/>
  <c r="J268" i="2" s="1"/>
  <c r="I269" i="2"/>
  <c r="J269" i="2" s="1"/>
  <c r="I522" i="2"/>
  <c r="J522" i="2" s="1"/>
  <c r="I3" i="2"/>
  <c r="J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I19" i="2"/>
  <c r="J19" i="2" s="1"/>
  <c r="I20" i="2"/>
  <c r="J20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I46" i="2"/>
  <c r="J46" i="2" s="1"/>
  <c r="I47" i="2"/>
  <c r="J47" i="2" s="1"/>
  <c r="I60" i="2"/>
  <c r="J60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 s="1"/>
  <c r="I81" i="2"/>
  <c r="J81" i="2" s="1"/>
  <c r="I82" i="2"/>
  <c r="I83" i="2"/>
  <c r="J83" i="2" s="1"/>
  <c r="I84" i="2"/>
  <c r="J84" i="2" s="1"/>
  <c r="I85" i="2"/>
  <c r="J85" i="2" s="1"/>
  <c r="I86" i="2"/>
  <c r="J86" i="2" s="1"/>
  <c r="I87" i="2"/>
  <c r="J87" i="2" s="1"/>
  <c r="I88" i="2"/>
  <c r="J88" i="2" s="1"/>
  <c r="I89" i="2"/>
  <c r="J89" i="2" s="1"/>
  <c r="I90" i="2"/>
  <c r="J90" i="2" s="1"/>
  <c r="I91" i="2"/>
  <c r="J91" i="2" s="1"/>
  <c r="I92" i="2"/>
  <c r="J92" i="2" s="1"/>
  <c r="I95" i="2"/>
  <c r="J95" i="2" s="1"/>
  <c r="I96" i="2"/>
  <c r="J96" i="2" s="1"/>
  <c r="I97" i="2"/>
  <c r="J97" i="2" s="1"/>
  <c r="I98" i="2"/>
  <c r="J98" i="2" s="1"/>
  <c r="I99" i="2"/>
  <c r="J99" i="2" s="1"/>
  <c r="I100" i="2"/>
  <c r="J100" i="2" s="1"/>
  <c r="I101" i="2"/>
  <c r="J101" i="2" s="1"/>
  <c r="I102" i="2"/>
  <c r="J102" i="2" s="1"/>
  <c r="I103" i="2"/>
  <c r="J103" i="2" s="1"/>
  <c r="I104" i="2"/>
  <c r="J104" i="2" s="1"/>
  <c r="I106" i="2"/>
  <c r="J106" i="2" s="1"/>
  <c r="I107" i="2"/>
  <c r="J107" i="2" s="1"/>
  <c r="I108" i="2"/>
  <c r="J108" i="2" s="1"/>
  <c r="I113" i="2"/>
  <c r="J113" i="2" s="1"/>
  <c r="I114" i="2"/>
  <c r="J114" i="2" s="1"/>
  <c r="I115" i="2"/>
  <c r="J115" i="2" s="1"/>
  <c r="I117" i="2"/>
  <c r="J117" i="2" s="1"/>
  <c r="I119" i="2"/>
  <c r="J119" i="2" s="1"/>
  <c r="I120" i="2"/>
  <c r="J120" i="2" s="1"/>
  <c r="I121" i="2"/>
  <c r="J121" i="2" s="1"/>
  <c r="I123" i="2"/>
  <c r="J123" i="2" s="1"/>
  <c r="I125" i="2"/>
  <c r="J125" i="2" s="1"/>
  <c r="I126" i="2"/>
  <c r="J126" i="2" s="1"/>
  <c r="I127" i="2"/>
  <c r="J127" i="2" s="1"/>
  <c r="I128" i="2"/>
  <c r="J128" i="2" s="1"/>
  <c r="I129" i="2"/>
  <c r="J129" i="2" s="1"/>
  <c r="I131" i="2"/>
  <c r="J131" i="2" s="1"/>
  <c r="I132" i="2"/>
  <c r="J132" i="2" s="1"/>
  <c r="I133" i="2"/>
  <c r="J133" i="2" s="1"/>
  <c r="I134" i="2"/>
  <c r="J134" i="2" s="1"/>
  <c r="I135" i="2"/>
  <c r="J135" i="2" s="1"/>
  <c r="I136" i="2"/>
  <c r="J136" i="2" s="1"/>
  <c r="I137" i="2"/>
  <c r="J137" i="2" s="1"/>
  <c r="I138" i="2"/>
  <c r="J138" i="2" s="1"/>
  <c r="I139" i="2"/>
  <c r="J139" i="2" s="1"/>
  <c r="I140" i="2"/>
  <c r="J140" i="2" s="1"/>
  <c r="I141" i="2"/>
  <c r="J141" i="2" s="1"/>
  <c r="I142" i="2"/>
  <c r="J142" i="2" s="1"/>
  <c r="I143" i="2"/>
  <c r="J143" i="2" s="1"/>
  <c r="I144" i="2"/>
  <c r="J144" i="2" s="1"/>
  <c r="I145" i="2"/>
  <c r="J145" i="2" s="1"/>
  <c r="I146" i="2"/>
  <c r="J146" i="2" s="1"/>
  <c r="I147" i="2"/>
  <c r="J147" i="2" s="1"/>
  <c r="I148" i="2"/>
  <c r="J148" i="2" s="1"/>
  <c r="I149" i="2"/>
  <c r="J149" i="2" s="1"/>
  <c r="I150" i="2"/>
  <c r="J150" i="2" s="1"/>
  <c r="I151" i="2"/>
  <c r="J151" i="2" s="1"/>
  <c r="I152" i="2"/>
  <c r="J152" i="2" s="1"/>
  <c r="I153" i="2"/>
  <c r="J153" i="2" s="1"/>
  <c r="I154" i="2"/>
  <c r="J154" i="2" s="1"/>
  <c r="I155" i="2"/>
  <c r="J155" i="2" s="1"/>
  <c r="I156" i="2"/>
  <c r="J156" i="2" s="1"/>
  <c r="I157" i="2"/>
  <c r="J157" i="2" s="1"/>
  <c r="I158" i="2"/>
  <c r="J158" i="2" s="1"/>
  <c r="I159" i="2"/>
  <c r="J159" i="2" s="1"/>
  <c r="I160" i="2"/>
  <c r="J160" i="2" s="1"/>
  <c r="I161" i="2"/>
  <c r="J161" i="2" s="1"/>
  <c r="I162" i="2"/>
  <c r="J162" i="2" s="1"/>
  <c r="I163" i="2"/>
  <c r="J163" i="2" s="1"/>
  <c r="I164" i="2"/>
  <c r="J164" i="2" s="1"/>
  <c r="I165" i="2"/>
  <c r="J165" i="2" s="1"/>
  <c r="I166" i="2"/>
  <c r="J166" i="2" s="1"/>
  <c r="I167" i="2"/>
  <c r="J167" i="2" s="1"/>
  <c r="I168" i="2"/>
  <c r="J168" i="2" s="1"/>
  <c r="I169" i="2"/>
  <c r="J169" i="2" s="1"/>
  <c r="I170" i="2"/>
  <c r="J170" i="2" s="1"/>
  <c r="I171" i="2"/>
  <c r="J171" i="2" s="1"/>
  <c r="I172" i="2"/>
  <c r="J172" i="2" s="1"/>
  <c r="I173" i="2"/>
  <c r="J173" i="2" s="1"/>
  <c r="I174" i="2"/>
  <c r="J174" i="2" s="1"/>
  <c r="I175" i="2"/>
  <c r="J175" i="2" s="1"/>
  <c r="I178" i="2"/>
  <c r="J178" i="2" s="1"/>
  <c r="I180" i="2"/>
  <c r="J180" i="2" s="1"/>
  <c r="I181" i="2"/>
  <c r="J181" i="2" s="1"/>
  <c r="I182" i="2"/>
  <c r="J182" i="2" s="1"/>
  <c r="I183" i="2"/>
  <c r="J183" i="2" s="1"/>
  <c r="I184" i="2"/>
  <c r="J184" i="2" s="1"/>
  <c r="I185" i="2"/>
  <c r="J185" i="2" s="1"/>
  <c r="I186" i="2"/>
  <c r="J186" i="2" s="1"/>
  <c r="I187" i="2"/>
  <c r="J187" i="2" s="1"/>
  <c r="I188" i="2"/>
  <c r="J188" i="2" s="1"/>
  <c r="I189" i="2"/>
  <c r="J189" i="2" s="1"/>
  <c r="I191" i="2"/>
  <c r="J191" i="2" s="1"/>
  <c r="I193" i="2"/>
  <c r="J193" i="2" s="1"/>
  <c r="I194" i="2"/>
  <c r="J194" i="2" s="1"/>
  <c r="I195" i="2"/>
  <c r="J195" i="2" s="1"/>
  <c r="I196" i="2"/>
  <c r="J196" i="2" s="1"/>
  <c r="I197" i="2"/>
  <c r="J197" i="2" s="1"/>
  <c r="I198" i="2"/>
  <c r="J198" i="2" s="1"/>
  <c r="I199" i="2"/>
  <c r="J199" i="2" s="1"/>
  <c r="I200" i="2"/>
  <c r="J200" i="2" s="1"/>
  <c r="I201" i="2"/>
  <c r="J201" i="2" s="1"/>
  <c r="I202" i="2"/>
  <c r="J202" i="2" s="1"/>
  <c r="I203" i="2"/>
  <c r="J203" i="2" s="1"/>
  <c r="I204" i="2"/>
  <c r="J204" i="2" s="1"/>
  <c r="I205" i="2"/>
  <c r="J205" i="2" s="1"/>
  <c r="I207" i="2"/>
  <c r="J207" i="2" s="1"/>
  <c r="I208" i="2"/>
  <c r="J208" i="2" s="1"/>
  <c r="I209" i="2"/>
  <c r="J209" i="2" s="1"/>
  <c r="I210" i="2"/>
  <c r="J210" i="2" s="1"/>
  <c r="I211" i="2"/>
  <c r="J211" i="2" s="1"/>
  <c r="I212" i="2"/>
  <c r="J212" i="2" s="1"/>
  <c r="I213" i="2"/>
  <c r="J213" i="2" s="1"/>
  <c r="I214" i="2"/>
  <c r="J214" i="2" s="1"/>
  <c r="I215" i="2"/>
  <c r="J215" i="2" s="1"/>
  <c r="I216" i="2"/>
  <c r="J216" i="2" s="1"/>
  <c r="I219" i="2"/>
  <c r="J219" i="2" s="1"/>
  <c r="I226" i="2"/>
  <c r="I230" i="2"/>
  <c r="J230" i="2" s="1"/>
  <c r="I231" i="2"/>
  <c r="J231" i="2" s="1"/>
  <c r="I232" i="2"/>
  <c r="J232" i="2" s="1"/>
  <c r="I233" i="2"/>
  <c r="J233" i="2" s="1"/>
  <c r="I234" i="2"/>
  <c r="J234" i="2" s="1"/>
  <c r="I235" i="2"/>
  <c r="J235" i="2" s="1"/>
  <c r="I236" i="2"/>
  <c r="J236" i="2" s="1"/>
  <c r="I237" i="2"/>
  <c r="J237" i="2" s="1"/>
  <c r="I238" i="2"/>
  <c r="J238" i="2" s="1"/>
  <c r="I239" i="2"/>
  <c r="J239" i="2" s="1"/>
  <c r="I240" i="2"/>
  <c r="J240" i="2" s="1"/>
  <c r="I241" i="2"/>
  <c r="J241" i="2" s="1"/>
  <c r="I249" i="2"/>
  <c r="J249" i="2" s="1"/>
  <c r="I250" i="2"/>
  <c r="J250" i="2" s="1"/>
  <c r="I251" i="2"/>
  <c r="J251" i="2" s="1"/>
  <c r="I252" i="2"/>
  <c r="J252" i="2" s="1"/>
  <c r="I253" i="2"/>
  <c r="J253" i="2" s="1"/>
  <c r="I254" i="2"/>
  <c r="J254" i="2" s="1"/>
  <c r="I255" i="2"/>
  <c r="J255" i="2" s="1"/>
  <c r="I256" i="2"/>
  <c r="J256" i="2" s="1"/>
  <c r="I257" i="2"/>
  <c r="J257" i="2" s="1"/>
  <c r="I258" i="2"/>
  <c r="J258" i="2" s="1"/>
  <c r="I259" i="2"/>
  <c r="J259" i="2" s="1"/>
  <c r="I260" i="2"/>
  <c r="J260" i="2" s="1"/>
  <c r="I261" i="2"/>
  <c r="J261" i="2" s="1"/>
  <c r="I262" i="2"/>
  <c r="J262" i="2" s="1"/>
  <c r="I263" i="2"/>
  <c r="J263" i="2" s="1"/>
  <c r="I264" i="2"/>
  <c r="J264" i="2" s="1"/>
  <c r="I265" i="2"/>
  <c r="J265" i="2" s="1"/>
  <c r="I270" i="2"/>
  <c r="J270" i="2" s="1"/>
  <c r="I271" i="2"/>
  <c r="J271" i="2" s="1"/>
  <c r="I272" i="2"/>
  <c r="J272" i="2" s="1"/>
  <c r="I283" i="2"/>
  <c r="J283" i="2" s="1"/>
  <c r="I284" i="2"/>
  <c r="J284" i="2" s="1"/>
  <c r="I285" i="2"/>
  <c r="J285" i="2" s="1"/>
  <c r="I286" i="2"/>
  <c r="J286" i="2" s="1"/>
  <c r="I287" i="2"/>
  <c r="J287" i="2" s="1"/>
  <c r="I288" i="2"/>
  <c r="J288" i="2" s="1"/>
  <c r="I290" i="2"/>
  <c r="J290" i="2" s="1"/>
  <c r="I291" i="2"/>
  <c r="J291" i="2" s="1"/>
  <c r="I292" i="2"/>
  <c r="J292" i="2" s="1"/>
  <c r="I293" i="2"/>
  <c r="J293" i="2" s="1"/>
  <c r="I294" i="2"/>
  <c r="J294" i="2" s="1"/>
  <c r="I296" i="2"/>
  <c r="J296" i="2" s="1"/>
  <c r="I297" i="2"/>
  <c r="J297" i="2" s="1"/>
  <c r="I298" i="2"/>
  <c r="J298" i="2" s="1"/>
  <c r="I299" i="2"/>
  <c r="J299" i="2" s="1"/>
  <c r="I300" i="2"/>
  <c r="J300" i="2" s="1"/>
  <c r="I301" i="2"/>
  <c r="J301" i="2" s="1"/>
  <c r="I306" i="2"/>
  <c r="I307" i="2"/>
  <c r="J307" i="2" s="1"/>
  <c r="I308" i="2"/>
  <c r="J308" i="2" s="1"/>
  <c r="I309" i="2"/>
  <c r="J309" i="2" s="1"/>
  <c r="I310" i="2"/>
  <c r="J310" i="2" s="1"/>
  <c r="I311" i="2"/>
  <c r="J311" i="2" s="1"/>
  <c r="I312" i="2"/>
  <c r="J312" i="2" s="1"/>
  <c r="I313" i="2"/>
  <c r="J313" i="2" s="1"/>
  <c r="I324" i="2"/>
  <c r="J324" i="2" s="1"/>
  <c r="I325" i="2"/>
  <c r="J325" i="2" s="1"/>
  <c r="I326" i="2"/>
  <c r="J326" i="2" s="1"/>
  <c r="I327" i="2"/>
  <c r="J327" i="2" s="1"/>
  <c r="I328" i="2"/>
  <c r="J328" i="2" s="1"/>
  <c r="I329" i="2"/>
  <c r="J329" i="2" s="1"/>
  <c r="I330" i="2"/>
  <c r="J330" i="2" s="1"/>
  <c r="I331" i="2"/>
  <c r="J331" i="2" s="1"/>
  <c r="I332" i="2"/>
  <c r="J332" i="2" s="1"/>
  <c r="I333" i="2"/>
  <c r="J333" i="2" s="1"/>
  <c r="I334" i="2"/>
  <c r="J334" i="2" s="1"/>
  <c r="I348" i="2"/>
  <c r="J348" i="2" s="1"/>
  <c r="I349" i="2"/>
  <c r="J349" i="2" s="1"/>
  <c r="I350" i="2"/>
  <c r="J350" i="2" s="1"/>
  <c r="I351" i="2"/>
  <c r="J351" i="2" s="1"/>
  <c r="I352" i="2"/>
  <c r="J352" i="2" s="1"/>
  <c r="I353" i="2"/>
  <c r="J353" i="2" s="1"/>
  <c r="I354" i="2"/>
  <c r="J354" i="2" s="1"/>
  <c r="I355" i="2"/>
  <c r="J355" i="2" s="1"/>
  <c r="I356" i="2"/>
  <c r="J356" i="2" s="1"/>
  <c r="I357" i="2"/>
  <c r="J357" i="2" s="1"/>
  <c r="I358" i="2"/>
  <c r="J358" i="2" s="1"/>
  <c r="I359" i="2"/>
  <c r="J359" i="2" s="1"/>
  <c r="I360" i="2"/>
  <c r="J360" i="2" s="1"/>
  <c r="I361" i="2"/>
  <c r="J361" i="2" s="1"/>
  <c r="I362" i="2"/>
  <c r="J362" i="2" s="1"/>
  <c r="I363" i="2"/>
  <c r="J363" i="2" s="1"/>
  <c r="I364" i="2"/>
  <c r="J364" i="2" s="1"/>
  <c r="I365" i="2"/>
  <c r="J365" i="2" s="1"/>
  <c r="I366" i="2"/>
  <c r="J366" i="2" s="1"/>
  <c r="I367" i="2"/>
  <c r="J367" i="2" s="1"/>
  <c r="I368" i="2"/>
  <c r="J368" i="2" s="1"/>
  <c r="I369" i="2"/>
  <c r="J369" i="2" s="1"/>
  <c r="I372" i="2"/>
  <c r="J372" i="2" s="1"/>
  <c r="I373" i="2"/>
  <c r="J373" i="2" s="1"/>
  <c r="I374" i="2"/>
  <c r="J374" i="2" s="1"/>
  <c r="I375" i="2"/>
  <c r="J375" i="2" s="1"/>
  <c r="I376" i="2"/>
  <c r="J376" i="2" s="1"/>
  <c r="I377" i="2"/>
  <c r="J377" i="2" s="1"/>
  <c r="I378" i="2"/>
  <c r="J378" i="2" s="1"/>
  <c r="I379" i="2"/>
  <c r="J379" i="2" s="1"/>
  <c r="I380" i="2"/>
  <c r="J380" i="2" s="1"/>
  <c r="I381" i="2"/>
  <c r="J381" i="2" s="1"/>
  <c r="I382" i="2"/>
  <c r="J382" i="2" s="1"/>
  <c r="I383" i="2"/>
  <c r="J383" i="2" s="1"/>
  <c r="I384" i="2"/>
  <c r="J384" i="2" s="1"/>
  <c r="I385" i="2"/>
  <c r="J385" i="2" s="1"/>
  <c r="I386" i="2"/>
  <c r="J386" i="2" s="1"/>
  <c r="I387" i="2"/>
  <c r="J387" i="2" s="1"/>
  <c r="I388" i="2"/>
  <c r="J388" i="2" s="1"/>
  <c r="I389" i="2"/>
  <c r="J389" i="2" s="1"/>
  <c r="I390" i="2"/>
  <c r="J390" i="2" s="1"/>
  <c r="I392" i="2"/>
  <c r="J392" i="2" s="1"/>
  <c r="I393" i="2"/>
  <c r="J393" i="2" s="1"/>
  <c r="I394" i="2"/>
  <c r="J394" i="2" s="1"/>
  <c r="I395" i="2"/>
  <c r="J395" i="2" s="1"/>
  <c r="I396" i="2"/>
  <c r="J396" i="2" s="1"/>
  <c r="I397" i="2"/>
  <c r="J397" i="2" s="1"/>
  <c r="I398" i="2"/>
  <c r="J398" i="2" s="1"/>
  <c r="I399" i="2"/>
  <c r="J399" i="2" s="1"/>
  <c r="I400" i="2"/>
  <c r="J400" i="2" s="1"/>
  <c r="I401" i="2"/>
  <c r="J401" i="2" s="1"/>
  <c r="I402" i="2"/>
  <c r="I403" i="2"/>
  <c r="J403" i="2" s="1"/>
  <c r="I404" i="2"/>
  <c r="J404" i="2" s="1"/>
  <c r="I405" i="2"/>
  <c r="J405" i="2" s="1"/>
  <c r="I406" i="2"/>
  <c r="J406" i="2" s="1"/>
  <c r="I407" i="2"/>
  <c r="J407" i="2" s="1"/>
  <c r="I409" i="2"/>
  <c r="J409" i="2" s="1"/>
  <c r="I410" i="2"/>
  <c r="J410" i="2" s="1"/>
  <c r="I411" i="2"/>
  <c r="J411" i="2" s="1"/>
  <c r="I412" i="2"/>
  <c r="J412" i="2" s="1"/>
  <c r="I413" i="2"/>
  <c r="J413" i="2" s="1"/>
  <c r="I414" i="2"/>
  <c r="J414" i="2" s="1"/>
  <c r="I415" i="2"/>
  <c r="J415" i="2" s="1"/>
  <c r="I416" i="2"/>
  <c r="J416" i="2" s="1"/>
  <c r="I417" i="2"/>
  <c r="J417" i="2" s="1"/>
  <c r="I418" i="2"/>
  <c r="J418" i="2" s="1"/>
  <c r="I419" i="2"/>
  <c r="J419" i="2" s="1"/>
  <c r="I420" i="2"/>
  <c r="J420" i="2" s="1"/>
  <c r="I421" i="2"/>
  <c r="J421" i="2" s="1"/>
  <c r="I422" i="2"/>
  <c r="J422" i="2" s="1"/>
  <c r="I423" i="2"/>
  <c r="J423" i="2" s="1"/>
  <c r="I424" i="2"/>
  <c r="J424" i="2" s="1"/>
  <c r="I425" i="2"/>
  <c r="J425" i="2" s="1"/>
  <c r="I426" i="2"/>
  <c r="J426" i="2" s="1"/>
  <c r="I427" i="2"/>
  <c r="J427" i="2" s="1"/>
  <c r="I428" i="2"/>
  <c r="J428" i="2" s="1"/>
  <c r="I429" i="2"/>
  <c r="J429" i="2" s="1"/>
  <c r="I432" i="2"/>
  <c r="J432" i="2" s="1"/>
  <c r="I433" i="2"/>
  <c r="J433" i="2" s="1"/>
  <c r="I434" i="2"/>
  <c r="J434" i="2" s="1"/>
  <c r="I436" i="2"/>
  <c r="J436" i="2" s="1"/>
  <c r="I437" i="2"/>
  <c r="J437" i="2" s="1"/>
  <c r="I438" i="2"/>
  <c r="J438" i="2" s="1"/>
  <c r="I440" i="2"/>
  <c r="J440" i="2" s="1"/>
  <c r="I441" i="2"/>
  <c r="J441" i="2" s="1"/>
  <c r="I442" i="2"/>
  <c r="J442" i="2" s="1"/>
  <c r="I443" i="2"/>
  <c r="J443" i="2" s="1"/>
  <c r="I444" i="2"/>
  <c r="J444" i="2" s="1"/>
  <c r="I445" i="2"/>
  <c r="J445" i="2" s="1"/>
  <c r="I446" i="2"/>
  <c r="J446" i="2" s="1"/>
  <c r="I447" i="2"/>
  <c r="J447" i="2" s="1"/>
  <c r="I448" i="2"/>
  <c r="J448" i="2" s="1"/>
  <c r="I449" i="2"/>
  <c r="J449" i="2" s="1"/>
  <c r="I453" i="2"/>
  <c r="J453" i="2" s="1"/>
  <c r="I454" i="2"/>
  <c r="J454" i="2" s="1"/>
  <c r="I455" i="2"/>
  <c r="J455" i="2" s="1"/>
  <c r="I467" i="2"/>
  <c r="J467" i="2" s="1"/>
  <c r="I468" i="2"/>
  <c r="J468" i="2" s="1"/>
  <c r="I469" i="2"/>
  <c r="J469" i="2" s="1"/>
  <c r="I470" i="2"/>
  <c r="J470" i="2" s="1"/>
  <c r="I471" i="2"/>
  <c r="J471" i="2" s="1"/>
  <c r="I472" i="2"/>
  <c r="J472" i="2" s="1"/>
  <c r="I473" i="2"/>
  <c r="J473" i="2" s="1"/>
  <c r="I474" i="2"/>
  <c r="J474" i="2" s="1"/>
  <c r="I496" i="2"/>
  <c r="J496" i="2" s="1"/>
  <c r="I497" i="2"/>
  <c r="J497" i="2" s="1"/>
  <c r="I499" i="2"/>
  <c r="J499" i="2" s="1"/>
  <c r="I500" i="2"/>
  <c r="J500" i="2" s="1"/>
  <c r="I501" i="2"/>
  <c r="J501" i="2" s="1"/>
  <c r="I503" i="2"/>
  <c r="J503" i="2" s="1"/>
  <c r="I504" i="2"/>
  <c r="J504" i="2" s="1"/>
  <c r="I505" i="2"/>
  <c r="J505" i="2" s="1"/>
  <c r="I506" i="2"/>
  <c r="J506" i="2" s="1"/>
  <c r="I507" i="2"/>
  <c r="J507" i="2" s="1"/>
  <c r="I508" i="2"/>
  <c r="J508" i="2" s="1"/>
  <c r="I509" i="2"/>
  <c r="J509" i="2" s="1"/>
  <c r="I510" i="2"/>
  <c r="J510" i="2" s="1"/>
  <c r="I511" i="2"/>
  <c r="J511" i="2" s="1"/>
  <c r="I512" i="2"/>
  <c r="J512" i="2" s="1"/>
  <c r="I513" i="2"/>
  <c r="J513" i="2" s="1"/>
  <c r="I514" i="2"/>
  <c r="J514" i="2" s="1"/>
  <c r="I515" i="2"/>
  <c r="J515" i="2" s="1"/>
  <c r="I516" i="2"/>
  <c r="J516" i="2" s="1"/>
  <c r="I517" i="2"/>
  <c r="J517" i="2" s="1"/>
  <c r="I518" i="2"/>
  <c r="J518" i="2" s="1"/>
  <c r="I519" i="2"/>
  <c r="J519" i="2" s="1"/>
  <c r="I520" i="2"/>
  <c r="J520" i="2" s="1"/>
  <c r="I521" i="2"/>
  <c r="J521" i="2" s="1"/>
  <c r="I48" i="2"/>
  <c r="J48" i="2" s="1"/>
  <c r="I49" i="2"/>
  <c r="J4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61" i="2"/>
  <c r="J61" i="2" s="1"/>
  <c r="I62" i="2"/>
  <c r="J62" i="2" s="1"/>
  <c r="I93" i="2"/>
  <c r="J93" i="2" s="1"/>
  <c r="I94" i="2"/>
  <c r="J94" i="2" s="1"/>
  <c r="I109" i="2"/>
  <c r="J109" i="2" s="1"/>
  <c r="I190" i="2"/>
  <c r="J190" i="2" s="1"/>
  <c r="I206" i="2"/>
  <c r="J206" i="2" s="1"/>
  <c r="I220" i="2"/>
  <c r="J220" i="2" s="1"/>
  <c r="I222" i="2"/>
  <c r="J222" i="2" s="1"/>
  <c r="I223" i="2"/>
  <c r="J223" i="2" s="1"/>
  <c r="I224" i="2"/>
  <c r="J224" i="2" s="1"/>
  <c r="I225" i="2"/>
  <c r="J225" i="2" s="1"/>
  <c r="I228" i="2"/>
  <c r="J228" i="2" s="1"/>
  <c r="I229" i="2"/>
  <c r="J229" i="2" s="1"/>
  <c r="I248" i="2"/>
  <c r="J248" i="2" s="1"/>
  <c r="I266" i="2"/>
  <c r="J266" i="2" s="1"/>
  <c r="I267" i="2"/>
  <c r="J267" i="2" s="1"/>
  <c r="I273" i="2"/>
  <c r="J273" i="2" s="1"/>
  <c r="I274" i="2"/>
  <c r="J274" i="2" s="1"/>
  <c r="I275" i="2"/>
  <c r="J275" i="2" s="1"/>
  <c r="I276" i="2"/>
  <c r="J276" i="2" s="1"/>
  <c r="I277" i="2"/>
  <c r="J277" i="2" s="1"/>
  <c r="I278" i="2"/>
  <c r="J278" i="2" s="1"/>
  <c r="I279" i="2"/>
  <c r="J279" i="2" s="1"/>
  <c r="I280" i="2"/>
  <c r="J280" i="2" s="1"/>
  <c r="I281" i="2"/>
  <c r="J281" i="2" s="1"/>
  <c r="I282" i="2"/>
  <c r="J282" i="2" s="1"/>
  <c r="I302" i="2"/>
  <c r="J302" i="2" s="1"/>
  <c r="I303" i="2"/>
  <c r="J303" i="2" s="1"/>
  <c r="I304" i="2"/>
  <c r="J304" i="2" s="1"/>
  <c r="I305" i="2"/>
  <c r="J305" i="2" s="1"/>
  <c r="I314" i="2"/>
  <c r="J314" i="2" s="1"/>
  <c r="I315" i="2"/>
  <c r="J315" i="2" s="1"/>
  <c r="I316" i="2"/>
  <c r="J316" i="2" s="1"/>
  <c r="I317" i="2"/>
  <c r="J317" i="2" s="1"/>
  <c r="I318" i="2"/>
  <c r="J318" i="2" s="1"/>
  <c r="I319" i="2"/>
  <c r="J319" i="2" s="1"/>
  <c r="I320" i="2"/>
  <c r="J320" i="2" s="1"/>
  <c r="I321" i="2"/>
  <c r="J321" i="2" s="1"/>
  <c r="I322" i="2"/>
  <c r="J322" i="2" s="1"/>
  <c r="I323" i="2"/>
  <c r="J323" i="2" s="1"/>
  <c r="I335" i="2"/>
  <c r="J335" i="2" s="1"/>
  <c r="I336" i="2"/>
  <c r="J336" i="2" s="1"/>
  <c r="I337" i="2"/>
  <c r="J337" i="2" s="1"/>
  <c r="I370" i="2"/>
  <c r="J370" i="2" s="1"/>
  <c r="I371" i="2"/>
  <c r="J371" i="2" s="1"/>
  <c r="I391" i="2"/>
  <c r="J391" i="2" s="1"/>
  <c r="I430" i="2"/>
  <c r="J430" i="2" s="1"/>
  <c r="I435" i="2"/>
  <c r="J435" i="2" s="1"/>
  <c r="I439" i="2"/>
  <c r="J439" i="2" s="1"/>
  <c r="I450" i="2"/>
  <c r="J450" i="2" s="1"/>
  <c r="I452" i="2"/>
  <c r="J452" i="2" s="1"/>
  <c r="I456" i="2"/>
  <c r="J456" i="2" s="1"/>
  <c r="I457" i="2"/>
  <c r="J457" i="2" s="1"/>
  <c r="I458" i="2"/>
  <c r="J458" i="2" s="1"/>
  <c r="I459" i="2"/>
  <c r="J459" i="2" s="1"/>
  <c r="I460" i="2"/>
  <c r="J460" i="2" s="1"/>
  <c r="I461" i="2"/>
  <c r="J461" i="2" s="1"/>
  <c r="I462" i="2"/>
  <c r="J462" i="2" s="1"/>
  <c r="I463" i="2"/>
  <c r="J463" i="2" s="1"/>
  <c r="I464" i="2"/>
  <c r="J464" i="2" s="1"/>
  <c r="I465" i="2"/>
  <c r="J465" i="2" s="1"/>
  <c r="I466" i="2"/>
  <c r="J466" i="2" s="1"/>
  <c r="I475" i="2"/>
  <c r="J475" i="2" s="1"/>
  <c r="I476" i="2"/>
  <c r="J476" i="2" s="1"/>
  <c r="I477" i="2"/>
  <c r="J477" i="2" s="1"/>
  <c r="I478" i="2"/>
  <c r="J478" i="2" s="1"/>
  <c r="I479" i="2"/>
  <c r="J479" i="2" s="1"/>
  <c r="I480" i="2"/>
  <c r="J480" i="2" s="1"/>
  <c r="I481" i="2"/>
  <c r="J481" i="2" s="1"/>
  <c r="I482" i="2"/>
  <c r="J482" i="2" s="1"/>
  <c r="I483" i="2"/>
  <c r="J483" i="2" s="1"/>
  <c r="I484" i="2"/>
  <c r="J484" i="2" s="1"/>
  <c r="I485" i="2"/>
  <c r="J485" i="2" s="1"/>
  <c r="I486" i="2"/>
  <c r="J486" i="2" s="1"/>
  <c r="I487" i="2"/>
  <c r="J487" i="2" s="1"/>
  <c r="I488" i="2"/>
  <c r="J488" i="2" s="1"/>
  <c r="I489" i="2"/>
  <c r="J489" i="2" s="1"/>
  <c r="I490" i="2"/>
  <c r="J490" i="2" s="1"/>
  <c r="I491" i="2"/>
  <c r="J491" i="2" s="1"/>
  <c r="I492" i="2"/>
  <c r="J492" i="2" s="1"/>
  <c r="I493" i="2"/>
  <c r="J493" i="2" s="1"/>
  <c r="I494" i="2"/>
  <c r="J494" i="2" s="1"/>
  <c r="I495" i="2"/>
  <c r="J495" i="2" s="1"/>
  <c r="I502" i="2"/>
  <c r="J502" i="2" s="1"/>
  <c r="K769" i="3" l="1"/>
  <c r="K247" i="2"/>
  <c r="L247" i="2" s="1"/>
  <c r="K192" i="2"/>
  <c r="L192" i="2" s="1"/>
  <c r="N247" i="2"/>
  <c r="N192" i="2"/>
  <c r="M247" i="2"/>
  <c r="M192" i="2"/>
  <c r="O810" i="3"/>
  <c r="O134" i="3"/>
  <c r="O438" i="3"/>
  <c r="L311" i="3"/>
  <c r="O113" i="3"/>
  <c r="O7" i="3"/>
  <c r="M116" i="3"/>
  <c r="O642" i="3"/>
  <c r="O70" i="3"/>
  <c r="O20" i="3"/>
  <c r="O383" i="3"/>
  <c r="O893" i="3"/>
  <c r="O9" i="3"/>
  <c r="O956" i="3"/>
  <c r="O59" i="3"/>
  <c r="M916" i="3"/>
  <c r="K388" i="3"/>
  <c r="O188" i="3"/>
  <c r="O711" i="3"/>
  <c r="O471" i="3"/>
  <c r="K725" i="3"/>
  <c r="O191" i="3"/>
  <c r="O717" i="3"/>
  <c r="O566" i="3"/>
  <c r="O850" i="3"/>
  <c r="O933" i="3"/>
  <c r="O668" i="3"/>
  <c r="O324" i="3"/>
  <c r="O452" i="3"/>
  <c r="O126" i="3"/>
  <c r="O29" i="3"/>
  <c r="O377" i="3"/>
  <c r="O150" i="3"/>
  <c r="O61" i="3"/>
  <c r="O413" i="3"/>
  <c r="O182" i="3"/>
  <c r="O393" i="3"/>
  <c r="O939" i="3"/>
  <c r="O964" i="3"/>
  <c r="O812" i="3"/>
  <c r="O708" i="3"/>
  <c r="O31" i="3"/>
  <c r="O277" i="3"/>
  <c r="K161" i="3"/>
  <c r="O860" i="3"/>
  <c r="K417" i="3"/>
  <c r="K959" i="3"/>
  <c r="O241" i="3"/>
  <c r="O335" i="3"/>
  <c r="K395" i="3"/>
  <c r="L695" i="3"/>
  <c r="K875" i="3"/>
  <c r="O469" i="3"/>
  <c r="O676" i="3"/>
  <c r="O513" i="3"/>
  <c r="O303" i="3"/>
  <c r="O135" i="3"/>
  <c r="O462" i="3"/>
  <c r="O755" i="3"/>
  <c r="K415" i="3"/>
  <c r="O465" i="3"/>
  <c r="K618" i="3"/>
  <c r="O965" i="3"/>
  <c r="K871" i="3"/>
  <c r="O627" i="3"/>
  <c r="O749" i="3"/>
  <c r="O300" i="3"/>
  <c r="K647" i="3"/>
  <c r="K1004" i="3"/>
  <c r="O1013" i="3"/>
  <c r="K932" i="3"/>
  <c r="L932" i="3" s="1"/>
  <c r="O588" i="3"/>
  <c r="M619" i="3"/>
  <c r="L682" i="3"/>
  <c r="L1003" i="3"/>
  <c r="O546" i="3"/>
  <c r="K255" i="3"/>
  <c r="M901" i="3"/>
  <c r="O252" i="3"/>
  <c r="M4" i="3"/>
  <c r="O906" i="3"/>
  <c r="O849" i="3"/>
  <c r="O317" i="3"/>
  <c r="O3" i="3"/>
  <c r="O443" i="3"/>
  <c r="M831" i="3"/>
  <c r="O455" i="3"/>
  <c r="M453" i="3"/>
  <c r="O13" i="3"/>
  <c r="O1026" i="3"/>
  <c r="O105" i="3"/>
  <c r="O19" i="3"/>
  <c r="O37" i="3"/>
  <c r="L239" i="3"/>
  <c r="O52" i="3"/>
  <c r="M373" i="3"/>
  <c r="K573" i="3"/>
  <c r="O265" i="3"/>
  <c r="O597" i="3"/>
  <c r="K414" i="3"/>
  <c r="K820" i="3"/>
  <c r="M374" i="3"/>
  <c r="O339" i="3"/>
  <c r="L683" i="3"/>
  <c r="K861" i="3"/>
  <c r="O624" i="3"/>
  <c r="K969" i="3"/>
  <c r="K841" i="3"/>
  <c r="M777" i="3"/>
  <c r="O713" i="3"/>
  <c r="O692" i="3"/>
  <c r="O270" i="3"/>
  <c r="O187" i="3"/>
  <c r="O132" i="3"/>
  <c r="O21" i="3"/>
  <c r="M491" i="3"/>
  <c r="O799" i="3"/>
  <c r="L86" i="3"/>
  <c r="K947" i="3"/>
  <c r="K943" i="3"/>
  <c r="M183" i="3"/>
  <c r="K477" i="3"/>
  <c r="L946" i="3"/>
  <c r="O719" i="3"/>
  <c r="O133" i="3"/>
  <c r="O552" i="3"/>
  <c r="O460" i="3"/>
  <c r="O984" i="3"/>
  <c r="O809" i="3"/>
  <c r="O515" i="3"/>
  <c r="O102" i="3"/>
  <c r="O589" i="3"/>
  <c r="O640" i="3"/>
  <c r="O11" i="3"/>
  <c r="O334" i="3"/>
  <c r="O98" i="3"/>
  <c r="K386" i="3"/>
  <c r="M938" i="3"/>
  <c r="K823" i="3"/>
  <c r="K522" i="3"/>
  <c r="L975" i="3"/>
  <c r="K973" i="3"/>
  <c r="K839" i="3"/>
  <c r="M703" i="3"/>
  <c r="O283" i="3"/>
  <c r="O84" i="3"/>
  <c r="O863" i="3"/>
  <c r="O971" i="3"/>
  <c r="O645" i="3"/>
  <c r="O490" i="3"/>
  <c r="M577" i="3"/>
  <c r="O28" i="3"/>
  <c r="O625" i="3"/>
  <c r="K147" i="3"/>
  <c r="K709" i="3"/>
  <c r="K748" i="3"/>
  <c r="K819" i="3"/>
  <c r="O549" i="3"/>
  <c r="O451" i="3"/>
  <c r="K467" i="3"/>
  <c r="K807" i="3"/>
  <c r="K533" i="3"/>
  <c r="O164" i="3"/>
  <c r="K592" i="3"/>
  <c r="M447" i="3"/>
  <c r="O275" i="3"/>
  <c r="O316" i="3"/>
  <c r="K873" i="3"/>
  <c r="M664" i="3"/>
  <c r="K528" i="3"/>
  <c r="K746" i="3"/>
  <c r="K941" i="3"/>
  <c r="O991" i="3"/>
  <c r="O661" i="3"/>
  <c r="O236" i="3"/>
  <c r="O534" i="3"/>
  <c r="P534" i="3" s="1"/>
  <c r="O629" i="3"/>
  <c r="O172" i="3"/>
  <c r="O422" i="3"/>
  <c r="K249" i="3"/>
  <c r="O206" i="3"/>
  <c r="O843" i="3"/>
  <c r="O759" i="3"/>
  <c r="K995" i="3"/>
  <c r="O963" i="3"/>
  <c r="O931" i="3"/>
  <c r="O835" i="3"/>
  <c r="O707" i="3"/>
  <c r="O632" i="3"/>
  <c r="P516" i="3"/>
  <c r="O235" i="3"/>
  <c r="O293" i="3"/>
  <c r="O475" i="3"/>
  <c r="O454" i="3"/>
  <c r="O38" i="3"/>
  <c r="K817" i="3"/>
  <c r="L425" i="3"/>
  <c r="O586" i="3"/>
  <c r="K869" i="3"/>
  <c r="L869" i="3" s="1"/>
  <c r="O343" i="3"/>
  <c r="O881" i="3"/>
  <c r="O1029" i="3"/>
  <c r="O271" i="3"/>
  <c r="M738" i="3"/>
  <c r="O693" i="3"/>
  <c r="O721" i="3"/>
  <c r="K508" i="3"/>
  <c r="L508" i="3" s="1"/>
  <c r="O544" i="3"/>
  <c r="O716" i="3"/>
  <c r="O55" i="3"/>
  <c r="O109" i="3"/>
  <c r="K53" i="3"/>
  <c r="L53" i="3" s="1"/>
  <c r="O779" i="3"/>
  <c r="O119" i="3"/>
  <c r="O397" i="3"/>
  <c r="O141" i="3"/>
  <c r="O111" i="3"/>
  <c r="O125" i="3"/>
  <c r="P125" i="3" s="1"/>
  <c r="O25" i="3"/>
  <c r="O605" i="3"/>
  <c r="O622" i="3"/>
  <c r="O908" i="3"/>
  <c r="O233" i="3"/>
  <c r="O81" i="3"/>
  <c r="O327" i="3"/>
  <c r="O284" i="3"/>
  <c r="O137" i="3"/>
  <c r="K600" i="3"/>
  <c r="O63" i="3"/>
  <c r="O396" i="3"/>
  <c r="O590" i="3"/>
  <c r="O909" i="3"/>
  <c r="O571" i="3"/>
  <c r="O23" i="3"/>
  <c r="M970" i="3"/>
  <c r="O962" i="3"/>
  <c r="O821" i="3"/>
  <c r="O691" i="3"/>
  <c r="O167" i="3"/>
  <c r="O671" i="3"/>
  <c r="O1031" i="3"/>
  <c r="M483" i="3"/>
  <c r="O669" i="3"/>
  <c r="O301" i="3"/>
  <c r="O337" i="3"/>
  <c r="O468" i="3"/>
  <c r="O166" i="3"/>
  <c r="O641" i="3"/>
  <c r="O196" i="3"/>
  <c r="O733" i="3"/>
  <c r="O278" i="3"/>
  <c r="O359" i="3"/>
  <c r="O580" i="3"/>
  <c r="O730" i="3"/>
  <c r="O1025" i="3"/>
  <c r="O897" i="3"/>
  <c r="O737" i="3"/>
  <c r="O626" i="3"/>
  <c r="O740" i="3"/>
  <c r="O677" i="3"/>
  <c r="O796" i="3"/>
  <c r="O673" i="3"/>
  <c r="O687" i="3"/>
  <c r="O54" i="3"/>
  <c r="K913" i="3"/>
  <c r="K961" i="3"/>
  <c r="K954" i="3"/>
  <c r="K603" i="3"/>
  <c r="O877" i="3"/>
  <c r="O292" i="3"/>
  <c r="O436" i="3"/>
  <c r="O556" i="3"/>
  <c r="O555" i="3"/>
  <c r="O718" i="3"/>
  <c r="O986" i="3"/>
  <c r="O308" i="3"/>
  <c r="O315" i="3"/>
  <c r="O935" i="3"/>
  <c r="O788" i="3"/>
  <c r="O517" i="3"/>
  <c r="O231" i="3"/>
  <c r="O43" i="3"/>
  <c r="O112" i="3"/>
  <c r="O143" i="3"/>
  <c r="O598" i="3"/>
  <c r="O285" i="3"/>
  <c r="M898" i="3"/>
  <c r="O276" i="3"/>
  <c r="O613" i="3"/>
  <c r="O85" i="3"/>
  <c r="O525" i="3"/>
  <c r="O57" i="3"/>
  <c r="O387" i="3"/>
  <c r="M189" i="3"/>
  <c r="O907" i="3"/>
  <c r="K69" i="3"/>
  <c r="O333" i="3"/>
  <c r="O437" i="3"/>
  <c r="O662" i="3"/>
  <c r="L420" i="3"/>
  <c r="O340" i="3"/>
  <c r="O75" i="3"/>
  <c r="O620" i="3"/>
  <c r="O579" i="3"/>
  <c r="O684" i="3"/>
  <c r="O110" i="3"/>
  <c r="M139" i="3"/>
  <c r="O750" i="3"/>
  <c r="K583" i="3"/>
  <c r="O574" i="3"/>
  <c r="O157" i="3"/>
  <c r="L834" i="3"/>
  <c r="O238" i="3"/>
  <c r="O264" i="3"/>
  <c r="O41" i="3"/>
  <c r="O153" i="3"/>
  <c r="O747" i="3"/>
  <c r="O6" i="3"/>
  <c r="K955" i="3"/>
  <c r="L923" i="3"/>
  <c r="O859" i="3"/>
  <c r="K578" i="3"/>
  <c r="O67" i="3"/>
  <c r="O263" i="3"/>
  <c r="O987" i="3"/>
  <c r="O439" i="3"/>
  <c r="O345" i="3"/>
  <c r="O385" i="3"/>
  <c r="O156" i="3"/>
  <c r="K487" i="3"/>
  <c r="K722" i="3"/>
  <c r="K492" i="3"/>
  <c r="O259" i="3"/>
  <c r="P259" i="3" s="1"/>
  <c r="K1007" i="3"/>
  <c r="O222" i="3"/>
  <c r="O461" i="3"/>
  <c r="O294" i="3"/>
  <c r="O313" i="3"/>
  <c r="O1033" i="3"/>
  <c r="P1033" i="3" s="1"/>
  <c r="M227" i="3"/>
  <c r="O511" i="3"/>
  <c r="O930" i="3"/>
  <c r="O406" i="3"/>
  <c r="O608" i="3"/>
  <c r="M983" i="3"/>
  <c r="O321" i="3"/>
  <c r="O117" i="3"/>
  <c r="O219" i="3"/>
  <c r="O99" i="3"/>
  <c r="O604" i="3"/>
  <c r="M616" i="3"/>
  <c r="O107" i="3"/>
  <c r="K602" i="3"/>
  <c r="O39" i="3"/>
  <c r="O595" i="3"/>
  <c r="O389" i="3"/>
  <c r="O22" i="3"/>
  <c r="L526" i="3"/>
  <c r="O245" i="3"/>
  <c r="O876" i="3"/>
  <c r="O140" i="3"/>
  <c r="O190" i="3"/>
  <c r="O195" i="3"/>
  <c r="O594" i="3"/>
  <c r="O76" i="3"/>
  <c r="O681" i="3"/>
  <c r="K185" i="3"/>
  <c r="O391" i="3"/>
  <c r="O479" i="3"/>
  <c r="O706" i="3"/>
  <c r="K463" i="3"/>
  <c r="K999" i="3"/>
  <c r="O441" i="3"/>
  <c r="O1001" i="3"/>
  <c r="O390" i="3"/>
  <c r="O997" i="3"/>
  <c r="L699" i="3"/>
  <c r="M770" i="3"/>
  <c r="O1017" i="3"/>
  <c r="O985" i="3"/>
  <c r="K953" i="3"/>
  <c r="O889" i="3"/>
  <c r="K857" i="3"/>
  <c r="K793" i="3"/>
  <c r="K697" i="3"/>
  <c r="M295" i="3"/>
  <c r="K644" i="3"/>
  <c r="O220" i="3"/>
  <c r="O165" i="3"/>
  <c r="K705" i="3"/>
  <c r="K1027" i="3"/>
  <c r="O658" i="3"/>
  <c r="K309" i="3"/>
  <c r="K158" i="3"/>
  <c r="O520" i="3"/>
  <c r="O891" i="3"/>
  <c r="K547" i="3"/>
  <c r="K723" i="3"/>
  <c r="O173" i="3"/>
  <c r="O131" i="3"/>
  <c r="K473" i="3"/>
  <c r="O921" i="3"/>
  <c r="O771" i="3"/>
  <c r="K399" i="3"/>
  <c r="L865" i="3"/>
  <c r="K867" i="3"/>
  <c r="K261" i="3"/>
  <c r="K367" i="3"/>
  <c r="O1035" i="3"/>
  <c r="P1035" i="3" s="1"/>
  <c r="L1010" i="3"/>
  <c r="O1002" i="3"/>
  <c r="K914" i="3"/>
  <c r="M786" i="3"/>
  <c r="O409" i="3"/>
  <c r="O558" i="3"/>
  <c r="O401" i="3"/>
  <c r="O129" i="3"/>
  <c r="O45" i="3"/>
  <c r="O866" i="3"/>
  <c r="O289" i="3"/>
  <c r="O801" i="3"/>
  <c r="O650" i="3"/>
  <c r="O251" i="3"/>
  <c r="O905" i="3"/>
  <c r="O279" i="3"/>
  <c r="O568" i="3"/>
  <c r="O215" i="3"/>
  <c r="O663" i="3"/>
  <c r="O445" i="3"/>
  <c r="O486" i="3"/>
  <c r="O731" i="3"/>
  <c r="O584" i="3"/>
  <c r="M621" i="3"/>
  <c r="O899" i="3"/>
  <c r="O698" i="3"/>
  <c r="O493" i="3"/>
  <c r="O421" i="3"/>
  <c r="O639" i="3"/>
  <c r="O247" i="3"/>
  <c r="O851" i="3"/>
  <c r="O260" i="3"/>
  <c r="O312" i="3"/>
  <c r="O922" i="3"/>
  <c r="O47" i="3"/>
  <c r="O209" i="3"/>
  <c r="O305" i="3"/>
  <c r="O653" i="3"/>
  <c r="O457" i="3"/>
  <c r="K753" i="3"/>
  <c r="O581" i="3"/>
  <c r="O430" i="3"/>
  <c r="K951" i="3"/>
  <c r="O927" i="3"/>
  <c r="O919" i="3"/>
  <c r="O911" i="3"/>
  <c r="O895" i="3"/>
  <c r="O879" i="3"/>
  <c r="M855" i="3"/>
  <c r="O847" i="3"/>
  <c r="O791" i="3"/>
  <c r="K743" i="3"/>
  <c r="O735" i="3"/>
  <c r="O364" i="3"/>
  <c r="O979" i="3"/>
  <c r="M358" i="3"/>
  <c r="K217" i="3"/>
  <c r="O325" i="3"/>
  <c r="O775" i="3"/>
  <c r="O470" i="3"/>
  <c r="O532" i="3"/>
  <c r="K611" i="3"/>
  <c r="O243" i="3"/>
  <c r="O254" i="3"/>
  <c r="O610" i="3"/>
  <c r="O350" i="3"/>
  <c r="O423" i="3"/>
  <c r="O1011" i="3"/>
  <c r="O674" i="3"/>
  <c r="K540" i="3"/>
  <c r="L540" i="3" s="1"/>
  <c r="K499" i="3"/>
  <c r="O803" i="3"/>
  <c r="O179" i="3"/>
  <c r="O429" i="3"/>
  <c r="O1006" i="3"/>
  <c r="O846" i="3"/>
  <c r="O665" i="3"/>
  <c r="O481" i="3"/>
  <c r="K915" i="3"/>
  <c r="K489" i="3"/>
  <c r="M145" i="3"/>
  <c r="K858" i="3"/>
  <c r="K794" i="3"/>
  <c r="K357" i="3"/>
  <c r="O523" i="3"/>
  <c r="O628" i="3"/>
  <c r="O945" i="3"/>
  <c r="L286" i="3"/>
  <c r="O689" i="3"/>
  <c r="O560" i="3"/>
  <c r="K550" i="3"/>
  <c r="K273" i="3"/>
  <c r="O887" i="3"/>
  <c r="O363" i="3"/>
  <c r="O818" i="3"/>
  <c r="K332" i="3"/>
  <c r="O572" i="3"/>
  <c r="O729" i="3"/>
  <c r="K361" i="3"/>
  <c r="O811" i="3"/>
  <c r="O428" i="3"/>
  <c r="O171" i="3"/>
  <c r="O652" i="3"/>
  <c r="K91" i="3"/>
  <c r="O1009" i="3"/>
  <c r="O783" i="3"/>
  <c r="O207" i="3"/>
  <c r="K651" i="3"/>
  <c r="O444" i="3"/>
  <c r="O787" i="3"/>
  <c r="O503" i="3"/>
  <c r="O767" i="3"/>
  <c r="P767" i="3" s="1"/>
  <c r="L1021" i="3"/>
  <c r="O989" i="3"/>
  <c r="O981" i="3"/>
  <c r="L957" i="3"/>
  <c r="O949" i="3"/>
  <c r="O925" i="3"/>
  <c r="O885" i="3"/>
  <c r="O845" i="3"/>
  <c r="L837" i="3"/>
  <c r="O829" i="3"/>
  <c r="O805" i="3"/>
  <c r="O797" i="3"/>
  <c r="O789" i="3"/>
  <c r="O781" i="3"/>
  <c r="K773" i="3"/>
  <c r="O757" i="3"/>
  <c r="K741" i="3"/>
  <c r="O701" i="3"/>
  <c r="K685" i="3"/>
  <c r="O403" i="3"/>
  <c r="O211" i="3"/>
  <c r="O419" i="3"/>
  <c r="K795" i="3"/>
  <c r="O727" i="3"/>
  <c r="O570" i="3"/>
  <c r="O494" i="3"/>
  <c r="O690" i="3"/>
  <c r="O530" i="3"/>
  <c r="K890" i="3"/>
  <c r="L994" i="3"/>
  <c r="K518" i="3"/>
  <c r="O883" i="3"/>
  <c r="K917" i="3"/>
  <c r="O221" i="3"/>
  <c r="K366" i="3"/>
  <c r="O1019" i="3"/>
  <c r="O564" i="3"/>
  <c r="O485" i="3"/>
  <c r="O244" i="3"/>
  <c r="O853" i="3"/>
  <c r="K562" i="3"/>
  <c r="L562" i="3" s="1"/>
  <c r="O427" i="3"/>
  <c r="O93" i="3"/>
  <c r="K842" i="3"/>
  <c r="K751" i="3"/>
  <c r="O903" i="3"/>
  <c r="K287" i="3"/>
  <c r="K351" i="3"/>
  <c r="O329" i="3"/>
  <c r="O802" i="3"/>
  <c r="K825" i="3"/>
  <c r="O761" i="3"/>
  <c r="L996" i="3"/>
  <c r="K988" i="3"/>
  <c r="O980" i="3"/>
  <c r="K948" i="3"/>
  <c r="O924" i="3"/>
  <c r="O900" i="3"/>
  <c r="O852" i="3"/>
  <c r="K804" i="3"/>
  <c r="O780" i="3"/>
  <c r="O764" i="3"/>
  <c r="O732" i="3"/>
  <c r="K724" i="3"/>
  <c r="O700" i="3"/>
  <c r="K459" i="3"/>
  <c r="O96" i="3"/>
  <c r="K392" i="3"/>
  <c r="O870" i="3"/>
  <c r="K376" i="3"/>
  <c r="K686" i="3"/>
  <c r="O216" i="3"/>
  <c r="K623" i="3"/>
  <c r="K440" i="3"/>
  <c r="K742" i="3"/>
  <c r="O774" i="3"/>
  <c r="O208" i="3"/>
  <c r="O280" i="3"/>
  <c r="O1022" i="3"/>
  <c r="O40" i="3"/>
  <c r="O152" i="3"/>
  <c r="O910" i="3"/>
  <c r="O646" i="3"/>
  <c r="O702" i="3"/>
  <c r="O80" i="3"/>
  <c r="O862" i="3"/>
  <c r="O88" i="3"/>
  <c r="O296" i="3"/>
  <c r="O974" i="3"/>
  <c r="O814" i="3"/>
  <c r="O942" i="3"/>
  <c r="O344" i="3"/>
  <c r="O902" i="3"/>
  <c r="O128" i="3"/>
  <c r="O790" i="3"/>
  <c r="O607" i="3"/>
  <c r="O982" i="3"/>
  <c r="O678" i="3"/>
  <c r="K966" i="3"/>
  <c r="O24" i="3"/>
  <c r="O950" i="3"/>
  <c r="O710" i="3"/>
  <c r="O519" i="3"/>
  <c r="K504" i="3"/>
  <c r="O248" i="3"/>
  <c r="O448" i="3"/>
  <c r="O352" i="3"/>
  <c r="O766" i="3"/>
  <c r="O631" i="3"/>
  <c r="O192" i="3"/>
  <c r="P192" i="3" s="1"/>
  <c r="O56" i="3"/>
  <c r="O480" i="3"/>
  <c r="K998" i="3"/>
  <c r="K830" i="3"/>
  <c r="O168" i="3"/>
  <c r="O798" i="3"/>
  <c r="O958" i="3"/>
  <c r="O535" i="3"/>
  <c r="O782" i="3"/>
  <c r="O806" i="3"/>
  <c r="K288" i="3"/>
  <c r="O512" i="3"/>
  <c r="O368" i="3"/>
  <c r="O144" i="3"/>
  <c r="O32" i="3"/>
  <c r="K575" i="3"/>
  <c r="O559" i="3"/>
  <c r="K488" i="3"/>
  <c r="K472" i="3"/>
  <c r="K670" i="3"/>
  <c r="L886" i="3"/>
  <c r="O424" i="3"/>
  <c r="K1014" i="3"/>
  <c r="K400" i="3"/>
  <c r="O591" i="3"/>
  <c r="K1030" i="3"/>
  <c r="K328" i="3"/>
  <c r="O16" i="3"/>
  <c r="O136" i="3"/>
  <c r="O336" i="3"/>
  <c r="O726" i="3"/>
  <c r="O360" i="3"/>
  <c r="K200" i="3"/>
  <c r="K990" i="3"/>
  <c r="O854" i="3"/>
  <c r="O224" i="3"/>
  <c r="K654" i="3"/>
  <c r="O878" i="3"/>
  <c r="O456" i="3"/>
  <c r="O256" i="3"/>
  <c r="P256" i="3" s="1"/>
  <c r="L822" i="3"/>
  <c r="O638" i="3"/>
  <c r="K496" i="3"/>
  <c r="O918" i="3"/>
  <c r="O184" i="3"/>
  <c r="K599" i="3"/>
  <c r="K416" i="3"/>
  <c r="O304" i="3"/>
  <c r="O551" i="3"/>
  <c r="K758" i="3"/>
  <c r="O585" i="3"/>
  <c r="O474" i="3"/>
  <c r="O928" i="3"/>
  <c r="O242" i="3"/>
  <c r="O18" i="3"/>
  <c r="O816" i="3"/>
  <c r="O146" i="3"/>
  <c r="O26" i="3"/>
  <c r="O561" i="3"/>
  <c r="O74" i="3"/>
  <c r="O529" i="3"/>
  <c r="O482" i="3"/>
  <c r="O258" i="3"/>
  <c r="O170" i="3"/>
  <c r="O1008" i="3"/>
  <c r="O442" i="3"/>
  <c r="P442" i="3" s="1"/>
  <c r="O537" i="3"/>
  <c r="O736" i="3"/>
  <c r="O466" i="3"/>
  <c r="O1024" i="3"/>
  <c r="O114" i="3"/>
  <c r="K418" i="3"/>
  <c r="O394" i="3"/>
  <c r="O58" i="3"/>
  <c r="O410" i="3"/>
  <c r="O960" i="3"/>
  <c r="O402" i="3"/>
  <c r="O426" i="3"/>
  <c r="O210" i="3"/>
  <c r="O498" i="3"/>
  <c r="O768" i="3"/>
  <c r="O656" i="3"/>
  <c r="O378" i="3"/>
  <c r="O872" i="3"/>
  <c r="O648" i="3"/>
  <c r="O202" i="3"/>
  <c r="K832" i="3"/>
  <c r="O266" i="3"/>
  <c r="O298" i="3"/>
  <c r="O90" i="3"/>
  <c r="O290" i="3"/>
  <c r="O864" i="3"/>
  <c r="O720" i="3"/>
  <c r="O1016" i="3"/>
  <c r="O122" i="3"/>
  <c r="O800" i="3"/>
  <c r="O680" i="3"/>
  <c r="O458" i="3"/>
  <c r="O130" i="3"/>
  <c r="O936" i="3"/>
  <c r="O506" i="3"/>
  <c r="O553" i="3"/>
  <c r="O194" i="3"/>
  <c r="O545" i="3"/>
  <c r="P545" i="3" s="1"/>
  <c r="O808" i="3"/>
  <c r="O856" i="3"/>
  <c r="O10" i="3"/>
  <c r="O952" i="3"/>
  <c r="K617" i="3"/>
  <c r="K968" i="3"/>
  <c r="O569" i="3"/>
  <c r="L840" i="3"/>
  <c r="O1032" i="3"/>
  <c r="K601" i="3"/>
  <c r="O338" i="3"/>
  <c r="O1000" i="3"/>
  <c r="O976" i="3"/>
  <c r="O362" i="3"/>
  <c r="O306" i="3"/>
  <c r="O370" i="3"/>
  <c r="O688" i="3"/>
  <c r="O434" i="3"/>
  <c r="O154" i="3"/>
  <c r="O178" i="3"/>
  <c r="O593" i="3"/>
  <c r="O824" i="3"/>
  <c r="O234" i="3"/>
  <c r="O704" i="3"/>
  <c r="O633" i="3"/>
  <c r="O728" i="3"/>
  <c r="P728" i="3" s="1"/>
  <c r="O696" i="3"/>
  <c r="K162" i="3"/>
  <c r="O521" i="3"/>
  <c r="O672" i="3"/>
  <c r="O944" i="3"/>
  <c r="O848" i="3"/>
  <c r="K250" i="3"/>
  <c r="K760" i="3"/>
  <c r="O712" i="3"/>
  <c r="O42" i="3"/>
  <c r="O912" i="3"/>
  <c r="K888" i="3"/>
  <c r="K346" i="3"/>
  <c r="K776" i="3"/>
  <c r="O744" i="3"/>
  <c r="O896" i="3"/>
  <c r="P896" i="3" s="1"/>
  <c r="O226" i="3"/>
  <c r="O880" i="3"/>
  <c r="L450" i="3"/>
  <c r="K543" i="3"/>
  <c r="L543" i="3" s="1"/>
  <c r="O543" i="3"/>
  <c r="K371" i="3"/>
  <c r="O371" i="3"/>
  <c r="K934" i="3"/>
  <c r="L934" i="3" s="1"/>
  <c r="O934" i="3"/>
  <c r="K756" i="3"/>
  <c r="L756" i="3" s="1"/>
  <c r="O756" i="3"/>
  <c r="K8" i="3"/>
  <c r="L8" i="3" s="1"/>
  <c r="O8" i="3"/>
  <c r="K118" i="3"/>
  <c r="O118" i="3"/>
  <c r="K104" i="3"/>
  <c r="O104" i="3"/>
  <c r="K36" i="3"/>
  <c r="O36" i="3"/>
  <c r="K82" i="3"/>
  <c r="O82" i="3"/>
  <c r="K382" i="3"/>
  <c r="L382" i="3" s="1"/>
  <c r="O382" i="3"/>
  <c r="K66" i="3"/>
  <c r="O66" i="3"/>
  <c r="P66" i="3" s="1"/>
  <c r="K214" i="3"/>
  <c r="O214" i="3"/>
  <c r="K606" i="3"/>
  <c r="O606" i="3"/>
  <c r="K176" i="3"/>
  <c r="L176" i="3" s="1"/>
  <c r="O176" i="3"/>
  <c r="K785" i="3"/>
  <c r="L785" i="3" s="1"/>
  <c r="O785" i="3"/>
  <c r="K827" i="3"/>
  <c r="L827" i="3" s="1"/>
  <c r="O827" i="3"/>
  <c r="K978" i="3"/>
  <c r="O978" i="3"/>
  <c r="K844" i="3"/>
  <c r="L844" i="3" s="1"/>
  <c r="O844" i="3"/>
  <c r="K667" i="3"/>
  <c r="L667" i="3" s="1"/>
  <c r="O667" i="3"/>
  <c r="K269" i="3"/>
  <c r="L269" i="3" s="1"/>
  <c r="O269" i="3"/>
  <c r="O758" i="3"/>
  <c r="O1014" i="3"/>
  <c r="O867" i="3"/>
  <c r="O751" i="3"/>
  <c r="O400" i="3"/>
  <c r="O287" i="3"/>
  <c r="O1027" i="3"/>
  <c r="O998" i="3"/>
  <c r="O961" i="3"/>
  <c r="O953" i="3"/>
  <c r="O915" i="3"/>
  <c r="O890" i="3"/>
  <c r="O857" i="3"/>
  <c r="O830" i="3"/>
  <c r="O794" i="3"/>
  <c r="O742" i="3"/>
  <c r="O724" i="3"/>
  <c r="O575" i="3"/>
  <c r="O504" i="3"/>
  <c r="O488" i="3"/>
  <c r="O477" i="3"/>
  <c r="O447" i="3"/>
  <c r="O417" i="3"/>
  <c r="K272" i="3"/>
  <c r="L272" i="3" s="1"/>
  <c r="O272" i="3"/>
  <c r="K281" i="3"/>
  <c r="L281" i="3" s="1"/>
  <c r="O281" i="3"/>
  <c r="K510" i="3"/>
  <c r="O510" i="3"/>
  <c r="K675" i="3"/>
  <c r="L675" i="3" s="1"/>
  <c r="O675" i="3"/>
  <c r="K514" i="3"/>
  <c r="L514" i="3" s="1"/>
  <c r="O514" i="3"/>
  <c r="K557" i="3"/>
  <c r="O557" i="3"/>
  <c r="K734" i="3"/>
  <c r="L734" i="3" s="1"/>
  <c r="O734" i="3"/>
  <c r="K100" i="3"/>
  <c r="O100" i="3"/>
  <c r="K33" i="3"/>
  <c r="O33" i="3"/>
  <c r="K17" i="3"/>
  <c r="O17" i="3"/>
  <c r="K87" i="3"/>
  <c r="O87" i="3"/>
  <c r="K237" i="3"/>
  <c r="O237" i="3"/>
  <c r="K257" i="3"/>
  <c r="L257" i="3" s="1"/>
  <c r="O257" i="3"/>
  <c r="K62" i="3"/>
  <c r="O62" i="3"/>
  <c r="P62" i="3" s="1"/>
  <c r="L160" i="3"/>
  <c r="O160" i="3"/>
  <c r="K73" i="3"/>
  <c r="O73" i="3"/>
  <c r="K149" i="3"/>
  <c r="O149" i="3"/>
  <c r="K201" i="3"/>
  <c r="O201" i="3"/>
  <c r="K218" i="3"/>
  <c r="O218" i="3"/>
  <c r="K94" i="3"/>
  <c r="O94" i="3"/>
  <c r="K541" i="3"/>
  <c r="L541" i="3" s="1"/>
  <c r="O541" i="3"/>
  <c r="K1028" i="3"/>
  <c r="L1028" i="3" s="1"/>
  <c r="O1028" i="3"/>
  <c r="K398" i="3"/>
  <c r="L398" i="3" s="1"/>
  <c r="O398" i="3"/>
  <c r="K977" i="3"/>
  <c r="L977" i="3" s="1"/>
  <c r="O977" i="3"/>
  <c r="K223" i="3"/>
  <c r="L223" i="3" s="1"/>
  <c r="O223" i="3"/>
  <c r="K539" i="3"/>
  <c r="L539" i="3" s="1"/>
  <c r="O539" i="3"/>
  <c r="K828" i="3"/>
  <c r="L828" i="3" s="1"/>
  <c r="O828" i="3"/>
  <c r="K784" i="3"/>
  <c r="L784" i="3" s="1"/>
  <c r="O784" i="3"/>
  <c r="K432" i="3"/>
  <c r="L432" i="3" s="1"/>
  <c r="O432" i="3"/>
  <c r="K1015" i="3"/>
  <c r="L1015" i="3" s="1"/>
  <c r="O1015" i="3"/>
  <c r="K330" i="3"/>
  <c r="L330" i="3" s="1"/>
  <c r="O330" i="3"/>
  <c r="K582" i="3"/>
  <c r="L582" i="3" s="1"/>
  <c r="O582" i="3"/>
  <c r="L799" i="3"/>
  <c r="O825" i="3"/>
  <c r="O399" i="3"/>
  <c r="O91" i="3"/>
  <c r="O562" i="3"/>
  <c r="O968" i="3"/>
  <c r="O914" i="3"/>
  <c r="O873" i="3"/>
  <c r="O841" i="3"/>
  <c r="O793" i="3"/>
  <c r="O769" i="3"/>
  <c r="O723" i="3"/>
  <c r="O618" i="3"/>
  <c r="O496" i="3"/>
  <c r="O472" i="3"/>
  <c r="O416" i="3"/>
  <c r="O386" i="3"/>
  <c r="K228" i="3"/>
  <c r="L228" i="3" s="1"/>
  <c r="O228" i="3"/>
  <c r="K435" i="3"/>
  <c r="L435" i="3" s="1"/>
  <c r="O435" i="3"/>
  <c r="K355" i="3"/>
  <c r="O355" i="3"/>
  <c r="K354" i="3"/>
  <c r="O354" i="3"/>
  <c r="K929" i="3"/>
  <c r="O929" i="3"/>
  <c r="K567" i="3"/>
  <c r="O567" i="3"/>
  <c r="K404" i="3"/>
  <c r="O404" i="3"/>
  <c r="K1023" i="3"/>
  <c r="L1023" i="3" s="1"/>
  <c r="O1023" i="3"/>
  <c r="K115" i="3"/>
  <c r="O115" i="3"/>
  <c r="K380" i="3"/>
  <c r="L380" i="3" s="1"/>
  <c r="O380" i="3"/>
  <c r="K274" i="3"/>
  <c r="L274" i="3" s="1"/>
  <c r="O274" i="3"/>
  <c r="K159" i="3"/>
  <c r="O159" i="3"/>
  <c r="K15" i="3"/>
  <c r="O15" i="3"/>
  <c r="K30" i="3"/>
  <c r="O30" i="3"/>
  <c r="L347" i="3"/>
  <c r="O347" i="3"/>
  <c r="K833" i="3"/>
  <c r="L833" i="3" s="1"/>
  <c r="O833" i="3"/>
  <c r="K49" i="3"/>
  <c r="O49" i="3"/>
  <c r="L365" i="3"/>
  <c r="O365" i="3"/>
  <c r="K297" i="3"/>
  <c r="O297" i="3"/>
  <c r="K89" i="3"/>
  <c r="O89" i="3"/>
  <c r="K302" i="3"/>
  <c r="O302" i="3"/>
  <c r="K778" i="3"/>
  <c r="L778" i="3" s="1"/>
  <c r="O778" i="3"/>
  <c r="K197" i="3"/>
  <c r="O197" i="3"/>
  <c r="K1034" i="3"/>
  <c r="L1034" i="3" s="1"/>
  <c r="O1034" i="3"/>
  <c r="K341" i="3"/>
  <c r="L341" i="3" s="1"/>
  <c r="O341" i="3"/>
  <c r="K500" i="3"/>
  <c r="L500" i="3" s="1"/>
  <c r="O500" i="3"/>
  <c r="K538" i="3"/>
  <c r="L538" i="3" s="1"/>
  <c r="O538" i="3"/>
  <c r="K268" i="3"/>
  <c r="L268" i="3" s="1"/>
  <c r="O268" i="3"/>
  <c r="K193" i="3"/>
  <c r="L193" i="3" s="1"/>
  <c r="O193" i="3"/>
  <c r="K262" i="3"/>
  <c r="L262" i="3" s="1"/>
  <c r="O262" i="3"/>
  <c r="O865" i="3"/>
  <c r="O654" i="3"/>
  <c r="O450" i="3"/>
  <c r="P450" i="3" s="1"/>
  <c r="O940" i="3"/>
  <c r="O913" i="3"/>
  <c r="O888" i="3"/>
  <c r="O840" i="3"/>
  <c r="O822" i="3"/>
  <c r="O699" i="3"/>
  <c r="O683" i="3"/>
  <c r="O617" i="3"/>
  <c r="O601" i="3"/>
  <c r="O440" i="3"/>
  <c r="O415" i="3"/>
  <c r="L356" i="3"/>
  <c r="O356" i="3"/>
  <c r="K505" i="3"/>
  <c r="L505" i="3" s="1"/>
  <c r="O505" i="3"/>
  <c r="K868" i="3"/>
  <c r="L868" i="3" s="1"/>
  <c r="O868" i="3"/>
  <c r="K679" i="3"/>
  <c r="O679" i="3"/>
  <c r="K715" i="3"/>
  <c r="L715" i="3" s="1"/>
  <c r="O715" i="3"/>
  <c r="K323" i="3"/>
  <c r="L323" i="3" s="1"/>
  <c r="O323" i="3"/>
  <c r="K565" i="3"/>
  <c r="L565" i="3" s="1"/>
  <c r="O565" i="3"/>
  <c r="K739" i="3"/>
  <c r="O739" i="3"/>
  <c r="K405" i="3"/>
  <c r="O405" i="3"/>
  <c r="K213" i="3"/>
  <c r="L213" i="3" s="1"/>
  <c r="O213" i="3"/>
  <c r="K307" i="3"/>
  <c r="O307" i="3"/>
  <c r="K476" i="3"/>
  <c r="L476" i="3" s="1"/>
  <c r="O476" i="3"/>
  <c r="K408" i="3"/>
  <c r="O408" i="3"/>
  <c r="K106" i="3"/>
  <c r="L106" i="3" s="1"/>
  <c r="O106" i="3"/>
  <c r="K77" i="3"/>
  <c r="O77" i="3"/>
  <c r="K27" i="3"/>
  <c r="O27" i="3"/>
  <c r="K44" i="3"/>
  <c r="O44" i="3"/>
  <c r="K151" i="3"/>
  <c r="O151" i="3"/>
  <c r="L326" i="3"/>
  <c r="O326" i="3"/>
  <c r="K65" i="3"/>
  <c r="O65" i="3"/>
  <c r="K14" i="3"/>
  <c r="O14" i="3"/>
  <c r="K34" i="3"/>
  <c r="O34" i="3"/>
  <c r="K68" i="3"/>
  <c r="O68" i="3"/>
  <c r="K163" i="3"/>
  <c r="O163" i="3"/>
  <c r="K138" i="3"/>
  <c r="O138" i="3"/>
  <c r="K142" i="3"/>
  <c r="O142" i="3"/>
  <c r="K745" i="3"/>
  <c r="L745" i="3" s="1"/>
  <c r="O745" i="3"/>
  <c r="K1018" i="3"/>
  <c r="L1018" i="3" s="1"/>
  <c r="O1018" i="3"/>
  <c r="K993" i="3"/>
  <c r="L993" i="3" s="1"/>
  <c r="O993" i="3"/>
  <c r="K752" i="3"/>
  <c r="L752" i="3" s="1"/>
  <c r="O752" i="3"/>
  <c r="K174" i="3"/>
  <c r="L174" i="3" s="1"/>
  <c r="O174" i="3"/>
  <c r="K920" i="3"/>
  <c r="L920" i="3" s="1"/>
  <c r="O920" i="3"/>
  <c r="K666" i="3"/>
  <c r="L666" i="3" s="1"/>
  <c r="O666" i="3"/>
  <c r="K1020" i="3"/>
  <c r="L1020" i="3" s="1"/>
  <c r="O1020" i="3"/>
  <c r="K763" i="3"/>
  <c r="L763" i="3" s="1"/>
  <c r="O763" i="3"/>
  <c r="K212" i="3"/>
  <c r="L212" i="3" s="1"/>
  <c r="O212" i="3"/>
  <c r="K894" i="3"/>
  <c r="L894" i="3" s="1"/>
  <c r="O894" i="3"/>
  <c r="K433" i="3"/>
  <c r="L433" i="3" s="1"/>
  <c r="O433" i="3"/>
  <c r="K225" i="3"/>
  <c r="L225" i="3" s="1"/>
  <c r="O225" i="3"/>
  <c r="K904" i="3"/>
  <c r="L904" i="3" s="1"/>
  <c r="O904" i="3"/>
  <c r="K319" i="3"/>
  <c r="L319" i="3" s="1"/>
  <c r="O319" i="3"/>
  <c r="K502" i="3"/>
  <c r="L502" i="3" s="1"/>
  <c r="O502" i="3"/>
  <c r="O250" i="3"/>
  <c r="O459" i="3"/>
  <c r="O995" i="3"/>
  <c r="O966" i="3"/>
  <c r="O947" i="3"/>
  <c r="O839" i="3"/>
  <c r="O357" i="3"/>
  <c r="O328" i="3"/>
  <c r="O185" i="3"/>
  <c r="P185" i="3" s="1"/>
  <c r="O320" i="3"/>
  <c r="O1003" i="3"/>
  <c r="O994" i="3"/>
  <c r="O886" i="3"/>
  <c r="O861" i="3"/>
  <c r="O776" i="3"/>
  <c r="O709" i="3"/>
  <c r="O614" i="3"/>
  <c r="O599" i="3"/>
  <c r="O392" i="3"/>
  <c r="O376" i="3"/>
  <c r="K407" i="3"/>
  <c r="O407" i="3"/>
  <c r="K630" i="3"/>
  <c r="O630" i="3"/>
  <c r="K240" i="3"/>
  <c r="O240" i="3"/>
  <c r="K155" i="3"/>
  <c r="O155" i="3"/>
  <c r="K754" i="3"/>
  <c r="L754" i="3" s="1"/>
  <c r="O754" i="3"/>
  <c r="K926" i="3"/>
  <c r="L926" i="3" s="1"/>
  <c r="O926" i="3"/>
  <c r="O412" i="3"/>
  <c r="O937" i="3"/>
  <c r="O819" i="3"/>
  <c r="O623" i="3"/>
  <c r="K772" i="3"/>
  <c r="L772" i="3" s="1"/>
  <c r="O772" i="3"/>
  <c r="K694" i="3"/>
  <c r="O694" i="3"/>
  <c r="K609" i="3"/>
  <c r="O609" i="3"/>
  <c r="K322" i="3"/>
  <c r="O322" i="3"/>
  <c r="L232" i="3"/>
  <c r="O232" i="3"/>
  <c r="K60" i="3"/>
  <c r="L60" i="3" s="1"/>
  <c r="O60" i="3"/>
  <c r="K121" i="3"/>
  <c r="L121" i="3" s="1"/>
  <c r="O121" i="3"/>
  <c r="K79" i="3"/>
  <c r="O79" i="3"/>
  <c r="K64" i="3"/>
  <c r="O64" i="3"/>
  <c r="K548" i="3"/>
  <c r="L548" i="3" s="1"/>
  <c r="O548" i="3"/>
  <c r="K384" i="3"/>
  <c r="O384" i="3"/>
  <c r="K83" i="3"/>
  <c r="O83" i="3"/>
  <c r="K838" i="3"/>
  <c r="L838" i="3" s="1"/>
  <c r="O838" i="3"/>
  <c r="K175" i="3"/>
  <c r="L175" i="3" s="1"/>
  <c r="O175" i="3"/>
  <c r="K762" i="3"/>
  <c r="L762" i="3" s="1"/>
  <c r="O762" i="3"/>
  <c r="O346" i="3"/>
  <c r="K314" i="3"/>
  <c r="L314" i="3" s="1"/>
  <c r="O314" i="3"/>
  <c r="K103" i="3"/>
  <c r="L103" i="3" s="1"/>
  <c r="O103" i="3"/>
  <c r="K35" i="3"/>
  <c r="O35" i="3"/>
  <c r="K72" i="3"/>
  <c r="O72" i="3"/>
  <c r="L71" i="3"/>
  <c r="O71" i="3"/>
  <c r="K446" i="3"/>
  <c r="L446" i="3" s="1"/>
  <c r="O446" i="3"/>
  <c r="K282" i="3"/>
  <c r="O282" i="3"/>
  <c r="K636" i="3"/>
  <c r="L636" i="3" s="1"/>
  <c r="O636" i="3"/>
  <c r="K186" i="3"/>
  <c r="O186" i="3"/>
  <c r="K50" i="3"/>
  <c r="O50" i="3"/>
  <c r="K246" i="3"/>
  <c r="L246" i="3" s="1"/>
  <c r="O246" i="3"/>
  <c r="K95" i="3"/>
  <c r="L95" i="3" s="1"/>
  <c r="O95" i="3"/>
  <c r="K48" i="3"/>
  <c r="L48" i="3" s="1"/>
  <c r="O48" i="3"/>
  <c r="O760" i="3"/>
  <c r="O842" i="3"/>
  <c r="O753" i="3"/>
  <c r="O499" i="3"/>
  <c r="O288" i="3"/>
  <c r="O361" i="3"/>
  <c r="O1030" i="3"/>
  <c r="O990" i="3"/>
  <c r="O943" i="3"/>
  <c r="O917" i="3"/>
  <c r="O875" i="3"/>
  <c r="O858" i="3"/>
  <c r="O832" i="3"/>
  <c r="O817" i="3"/>
  <c r="O795" i="3"/>
  <c r="P795" i="3" s="1"/>
  <c r="O773" i="3"/>
  <c r="O743" i="3"/>
  <c r="O705" i="3"/>
  <c r="O686" i="3"/>
  <c r="O670" i="3"/>
  <c r="O647" i="3"/>
  <c r="O550" i="3"/>
  <c r="O528" i="3"/>
  <c r="O518" i="3"/>
  <c r="O489" i="3"/>
  <c r="O418" i="3"/>
  <c r="O388" i="3"/>
  <c r="O200" i="3"/>
  <c r="O162" i="3"/>
  <c r="L415" i="3"/>
  <c r="L237" i="3"/>
  <c r="K881" i="3"/>
  <c r="L881" i="3" s="1"/>
  <c r="P280" i="3"/>
  <c r="K280" i="3"/>
  <c r="L280" i="3" s="1"/>
  <c r="L397" i="3"/>
  <c r="K397" i="3"/>
  <c r="L25" i="3"/>
  <c r="L590" i="3"/>
  <c r="K590" i="3"/>
  <c r="P585" i="3"/>
  <c r="K585" i="3"/>
  <c r="L585" i="3" s="1"/>
  <c r="P271" i="3"/>
  <c r="K271" i="3"/>
  <c r="L271" i="3" s="1"/>
  <c r="L721" i="3"/>
  <c r="K721" i="3"/>
  <c r="L928" i="3"/>
  <c r="K928" i="3"/>
  <c r="L123" i="3"/>
  <c r="L1022" i="3"/>
  <c r="K1022" i="3"/>
  <c r="L146" i="3"/>
  <c r="K146" i="3"/>
  <c r="L874" i="3"/>
  <c r="L63" i="3"/>
  <c r="K738" i="3"/>
  <c r="L738" i="3" s="1"/>
  <c r="K55" i="3"/>
  <c r="L55" i="3" s="1"/>
  <c r="L40" i="3"/>
  <c r="K40" i="3"/>
  <c r="P474" i="3"/>
  <c r="K474" i="3"/>
  <c r="L474" i="3" s="1"/>
  <c r="L779" i="3"/>
  <c r="K779" i="3"/>
  <c r="L242" i="3"/>
  <c r="K242" i="3"/>
  <c r="L18" i="3"/>
  <c r="K18" i="3"/>
  <c r="K353" i="3"/>
  <c r="L622" i="3"/>
  <c r="K622" i="3"/>
  <c r="P152" i="3"/>
  <c r="K152" i="3"/>
  <c r="L152" i="3" s="1"/>
  <c r="P910" i="3"/>
  <c r="K910" i="3"/>
  <c r="L910" i="3" s="1"/>
  <c r="K81" i="3"/>
  <c r="L411" i="3"/>
  <c r="L816" i="3"/>
  <c r="K816" i="3"/>
  <c r="P137" i="3"/>
  <c r="K137" i="3"/>
  <c r="L137" i="3" s="1"/>
  <c r="L646" i="3"/>
  <c r="K646" i="3"/>
  <c r="L702" i="3"/>
  <c r="K702" i="3"/>
  <c r="L26" i="3"/>
  <c r="K26" i="3"/>
  <c r="K80" i="3"/>
  <c r="L80" i="3"/>
  <c r="K909" i="3"/>
  <c r="P561" i="3"/>
  <c r="K561" i="3"/>
  <c r="L561" i="3" s="1"/>
  <c r="L967" i="3"/>
  <c r="L74" i="3"/>
  <c r="K74" i="3"/>
  <c r="L23" i="3"/>
  <c r="K23" i="3"/>
  <c r="L529" i="3"/>
  <c r="K529" i="3"/>
  <c r="L970" i="3"/>
  <c r="L862" i="3"/>
  <c r="K862" i="3"/>
  <c r="K88" i="3"/>
  <c r="L88" i="3"/>
  <c r="L296" i="3"/>
  <c r="K296" i="3"/>
  <c r="P691" i="3"/>
  <c r="K691" i="3"/>
  <c r="L691" i="3" s="1"/>
  <c r="K167" i="3"/>
  <c r="L671" i="3"/>
  <c r="L524" i="3"/>
  <c r="L1031" i="3"/>
  <c r="K1031" i="3"/>
  <c r="K974" i="3"/>
  <c r="L974" i="3" s="1"/>
  <c r="L814" i="3"/>
  <c r="K814" i="3"/>
  <c r="L337" i="3"/>
  <c r="K337" i="3"/>
  <c r="L166" i="3"/>
  <c r="K166" i="3"/>
  <c r="L641" i="3"/>
  <c r="K641" i="3"/>
  <c r="L942" i="3"/>
  <c r="K942" i="3"/>
  <c r="P482" i="3"/>
  <c r="K482" i="3"/>
  <c r="L482" i="3" s="1"/>
  <c r="L733" i="3"/>
  <c r="L278" i="3"/>
  <c r="K278" i="3"/>
  <c r="L730" i="3"/>
  <c r="K730" i="3"/>
  <c r="P258" i="3"/>
  <c r="K258" i="3"/>
  <c r="L258" i="3" s="1"/>
  <c r="L344" i="3"/>
  <c r="K344" i="3"/>
  <c r="K170" i="3"/>
  <c r="L170" i="3" s="1"/>
  <c r="K1008" i="3"/>
  <c r="L1008" i="3" s="1"/>
  <c r="P902" i="3"/>
  <c r="K902" i="3"/>
  <c r="L902" i="3" s="1"/>
  <c r="L45" i="3"/>
  <c r="K45" i="3"/>
  <c r="L866" i="3"/>
  <c r="K866" i="3"/>
  <c r="K442" i="3"/>
  <c r="L442" i="3" s="1"/>
  <c r="P801" i="3"/>
  <c r="K801" i="3"/>
  <c r="L801" i="3" s="1"/>
  <c r="L128" i="3"/>
  <c r="K128" i="3"/>
  <c r="K829" i="3"/>
  <c r="L537" i="3"/>
  <c r="K537" i="3"/>
  <c r="L790" i="3"/>
  <c r="K790" i="3"/>
  <c r="K607" i="3"/>
  <c r="L607" i="3" s="1"/>
  <c r="K251" i="3"/>
  <c r="L251" i="3" s="1"/>
  <c r="P905" i="3"/>
  <c r="K905" i="3"/>
  <c r="L905" i="3" s="1"/>
  <c r="P736" i="3"/>
  <c r="K736" i="3"/>
  <c r="L736" i="3" s="1"/>
  <c r="K292" i="3"/>
  <c r="L292" i="3" s="1"/>
  <c r="P986" i="3"/>
  <c r="K986" i="3"/>
  <c r="L986" i="3" s="1"/>
  <c r="L407" i="3"/>
  <c r="P466" i="3"/>
  <c r="K466" i="3"/>
  <c r="L466" i="3" s="1"/>
  <c r="L630" i="3"/>
  <c r="P517" i="3"/>
  <c r="K517" i="3"/>
  <c r="L517" i="3" s="1"/>
  <c r="L112" i="3"/>
  <c r="P1024" i="3"/>
  <c r="K1024" i="3"/>
  <c r="L1024" i="3" s="1"/>
  <c r="K598" i="3"/>
  <c r="L598" i="3" s="1"/>
  <c r="P276" i="3"/>
  <c r="K276" i="3"/>
  <c r="L276" i="3" s="1"/>
  <c r="L240" i="3"/>
  <c r="K379" i="3"/>
  <c r="L379" i="3" s="1"/>
  <c r="K525" i="3"/>
  <c r="L525" i="3" s="1"/>
  <c r="L387" i="3"/>
  <c r="P907" i="3"/>
  <c r="K907" i="3"/>
  <c r="L907" i="3" s="1"/>
  <c r="K815" i="3"/>
  <c r="L815" i="3" s="1"/>
  <c r="L69" i="3"/>
  <c r="L418" i="3"/>
  <c r="L662" i="3"/>
  <c r="L340" i="3"/>
  <c r="L58" i="3"/>
  <c r="L155" i="3"/>
  <c r="L139" i="3"/>
  <c r="L410" i="3"/>
  <c r="L574" i="3"/>
  <c r="L264" i="3"/>
  <c r="L747" i="3"/>
  <c r="P6" i="3"/>
  <c r="K6" i="3"/>
  <c r="L6" i="3" s="1"/>
  <c r="P568" i="3"/>
  <c r="K568" i="3"/>
  <c r="L568" i="3" s="1"/>
  <c r="K731" i="3"/>
  <c r="L731" i="3" s="1"/>
  <c r="L960" i="3"/>
  <c r="L584" i="3"/>
  <c r="L621" i="3"/>
  <c r="P698" i="3"/>
  <c r="K698" i="3"/>
  <c r="L698" i="3" s="1"/>
  <c r="L743" i="3"/>
  <c r="L421" i="3"/>
  <c r="L895" i="3"/>
  <c r="P639" i="3"/>
  <c r="P851" i="3"/>
  <c r="K851" i="3"/>
  <c r="L851" i="3" s="1"/>
  <c r="P402" i="3"/>
  <c r="L426" i="3"/>
  <c r="P922" i="3"/>
  <c r="P210" i="3"/>
  <c r="L498" i="3"/>
  <c r="P305" i="3"/>
  <c r="P457" i="3"/>
  <c r="L753" i="3"/>
  <c r="P927" i="3"/>
  <c r="P926" i="3"/>
  <c r="K498" i="3"/>
  <c r="K387" i="3"/>
  <c r="K457" i="3"/>
  <c r="L457" i="3" s="1"/>
  <c r="K402" i="3"/>
  <c r="L402" i="3" s="1"/>
  <c r="K639" i="3"/>
  <c r="L639" i="3" s="1"/>
  <c r="K464" i="3"/>
  <c r="L464" i="3" s="1"/>
  <c r="L654" i="3"/>
  <c r="L394" i="3"/>
  <c r="L214" i="3"/>
  <c r="P872" i="3"/>
  <c r="K872" i="3"/>
  <c r="L872" i="3" s="1"/>
  <c r="P648" i="3"/>
  <c r="K648" i="3"/>
  <c r="L648" i="3" s="1"/>
  <c r="L202" i="3"/>
  <c r="L479" i="3"/>
  <c r="L706" i="3"/>
  <c r="P710" i="3"/>
  <c r="K710" i="3"/>
  <c r="L710" i="3" s="1"/>
  <c r="L83" i="3"/>
  <c r="L441" i="3"/>
  <c r="P1001" i="3"/>
  <c r="K1001" i="3"/>
  <c r="L1001" i="3" s="1"/>
  <c r="L997" i="3"/>
  <c r="L857" i="3"/>
  <c r="L519" i="3"/>
  <c r="L832" i="3"/>
  <c r="L979" i="3"/>
  <c r="L773" i="3"/>
  <c r="L298" i="3"/>
  <c r="P838" i="3"/>
  <c r="L775" i="3"/>
  <c r="L724" i="3"/>
  <c r="L532" i="3"/>
  <c r="L797" i="3"/>
  <c r="L504" i="3"/>
  <c r="P248" i="3"/>
  <c r="K248" i="3"/>
  <c r="L248" i="3" s="1"/>
  <c r="P243" i="3"/>
  <c r="K243" i="3"/>
  <c r="L243" i="3" s="1"/>
  <c r="P610" i="3"/>
  <c r="K610" i="3"/>
  <c r="L610" i="3" s="1"/>
  <c r="P423" i="3"/>
  <c r="P90" i="3"/>
  <c r="K90" i="3"/>
  <c r="L90" i="3" s="1"/>
  <c r="P175" i="3"/>
  <c r="P1011" i="3"/>
  <c r="P924" i="3"/>
  <c r="L290" i="3"/>
  <c r="P762" i="3"/>
  <c r="L864" i="3"/>
  <c r="L499" i="3"/>
  <c r="P179" i="3"/>
  <c r="P352" i="3"/>
  <c r="P766" i="3"/>
  <c r="K997" i="3"/>
  <c r="K979" i="3"/>
  <c r="K960" i="3"/>
  <c r="K584" i="3"/>
  <c r="K441" i="3"/>
  <c r="K298" i="3"/>
  <c r="K199" i="3"/>
  <c r="K247" i="3"/>
  <c r="L247" i="3" s="1"/>
  <c r="L861" i="3"/>
  <c r="L776" i="3"/>
  <c r="L533" i="3"/>
  <c r="L384" i="3"/>
  <c r="L197" i="3"/>
  <c r="L556" i="3"/>
  <c r="L64" i="3"/>
  <c r="L195" i="3"/>
  <c r="K369" i="3"/>
  <c r="L369" i="3" s="1"/>
  <c r="P632" i="3"/>
  <c r="K632" i="3"/>
  <c r="L632" i="3" s="1"/>
  <c r="K554" i="3"/>
  <c r="L554" i="3" s="1"/>
  <c r="P469" i="3"/>
  <c r="K469" i="3"/>
  <c r="L469" i="3" s="1"/>
  <c r="L631" i="3"/>
  <c r="P134" i="3"/>
  <c r="K134" i="3"/>
  <c r="L134" i="3" s="1"/>
  <c r="P677" i="3"/>
  <c r="P676" i="3"/>
  <c r="K676" i="3"/>
  <c r="L676" i="3" s="1"/>
  <c r="P720" i="3"/>
  <c r="K720" i="3"/>
  <c r="L720" i="3" s="1"/>
  <c r="P270" i="3"/>
  <c r="K270" i="3"/>
  <c r="L270" i="3" s="1"/>
  <c r="P314" i="3"/>
  <c r="L1016" i="3"/>
  <c r="P513" i="3"/>
  <c r="K513" i="3"/>
  <c r="L513" i="3" s="1"/>
  <c r="L987" i="3"/>
  <c r="P122" i="3"/>
  <c r="K122" i="3"/>
  <c r="L122" i="3" s="1"/>
  <c r="P796" i="3"/>
  <c r="K796" i="3"/>
  <c r="L796" i="3" s="1"/>
  <c r="K192" i="3"/>
  <c r="L192" i="3" s="1"/>
  <c r="P438" i="3"/>
  <c r="K438" i="3"/>
  <c r="L438" i="3" s="1"/>
  <c r="P113" i="3"/>
  <c r="K113" i="3"/>
  <c r="L113" i="3" s="1"/>
  <c r="K7" i="3"/>
  <c r="L7" i="3" s="1"/>
  <c r="L56" i="3"/>
  <c r="L35" i="3"/>
  <c r="L70" i="3"/>
  <c r="P673" i="3"/>
  <c r="L439" i="3"/>
  <c r="L72" i="3"/>
  <c r="K480" i="3"/>
  <c r="L480" i="3" s="1"/>
  <c r="P446" i="3"/>
  <c r="L893" i="3"/>
  <c r="L998" i="3"/>
  <c r="L830" i="3"/>
  <c r="L282" i="3"/>
  <c r="L953" i="3"/>
  <c r="L388" i="3"/>
  <c r="L798" i="3"/>
  <c r="L186" i="3"/>
  <c r="L915" i="3"/>
  <c r="L489" i="3"/>
  <c r="L800" i="3"/>
  <c r="L858" i="3"/>
  <c r="L794" i="3"/>
  <c r="L523" i="3"/>
  <c r="L628" i="3"/>
  <c r="L945" i="3"/>
  <c r="L689" i="3"/>
  <c r="L50" i="3"/>
  <c r="L273" i="3"/>
  <c r="L887" i="3"/>
  <c r="L680" i="3"/>
  <c r="L484" i="3"/>
  <c r="L363" i="3"/>
  <c r="L818" i="3"/>
  <c r="L958" i="3"/>
  <c r="L988" i="3"/>
  <c r="L361" i="3"/>
  <c r="P811" i="3"/>
  <c r="K811" i="3"/>
  <c r="L811" i="3" s="1"/>
  <c r="P852" i="3"/>
  <c r="K852" i="3"/>
  <c r="L852" i="3" s="1"/>
  <c r="P428" i="3"/>
  <c r="P535" i="3"/>
  <c r="L171" i="3"/>
  <c r="L782" i="3"/>
  <c r="L91" i="3"/>
  <c r="P130" i="3"/>
  <c r="K130" i="3"/>
  <c r="L130" i="3" s="1"/>
  <c r="P1009" i="3"/>
  <c r="L288" i="3"/>
  <c r="L845" i="3"/>
  <c r="P783" i="3"/>
  <c r="P207" i="3"/>
  <c r="K207" i="3"/>
  <c r="L207" i="3" s="1"/>
  <c r="P48" i="3"/>
  <c r="L787" i="3"/>
  <c r="K865" i="3"/>
  <c r="K450" i="3"/>
  <c r="K975" i="3"/>
  <c r="K940" i="3"/>
  <c r="K840" i="3"/>
  <c r="K822" i="3"/>
  <c r="K750" i="3"/>
  <c r="K699" i="3"/>
  <c r="K683" i="3"/>
  <c r="K495" i="3"/>
  <c r="K486" i="3"/>
  <c r="K471" i="3"/>
  <c r="K394" i="3"/>
  <c r="K365" i="3"/>
  <c r="K347" i="3"/>
  <c r="K326" i="3"/>
  <c r="K266" i="3"/>
  <c r="K168" i="3"/>
  <c r="K160" i="3"/>
  <c r="K114" i="3"/>
  <c r="K71" i="3"/>
  <c r="K24" i="3"/>
  <c r="K232" i="3"/>
  <c r="K356" i="3"/>
  <c r="K1035" i="3"/>
  <c r="L1035" i="3" s="1"/>
  <c r="K768" i="3"/>
  <c r="L768" i="3" s="1"/>
  <c r="K352" i="3"/>
  <c r="L352" i="3" s="1"/>
  <c r="K783" i="3"/>
  <c r="L783" i="3" s="1"/>
  <c r="K428" i="3"/>
  <c r="L428" i="3" s="1"/>
  <c r="K78" i="3"/>
  <c r="L78" i="3" s="1"/>
  <c r="L750" i="3"/>
  <c r="L168" i="3"/>
  <c r="L609" i="3"/>
  <c r="L322" i="3"/>
  <c r="P657" i="3"/>
  <c r="K22" i="3"/>
  <c r="L22" i="3" s="1"/>
  <c r="P543" i="3"/>
  <c r="P936" i="3"/>
  <c r="P506" i="3"/>
  <c r="K506" i="3"/>
  <c r="L506" i="3" s="1"/>
  <c r="K850" i="3"/>
  <c r="L850" i="3" s="1"/>
  <c r="P512" i="3"/>
  <c r="K933" i="3"/>
  <c r="L933" i="3" s="1"/>
  <c r="P553" i="3"/>
  <c r="K553" i="3"/>
  <c r="L553" i="3" s="1"/>
  <c r="L371" i="3"/>
  <c r="P934" i="3"/>
  <c r="P668" i="3"/>
  <c r="K668" i="3"/>
  <c r="L668" i="3" s="1"/>
  <c r="P194" i="3"/>
  <c r="K194" i="3"/>
  <c r="L194" i="3" s="1"/>
  <c r="P756" i="3"/>
  <c r="K545" i="3"/>
  <c r="L545" i="3" s="1"/>
  <c r="P808" i="3"/>
  <c r="K808" i="3"/>
  <c r="L808" i="3" s="1"/>
  <c r="P8" i="3"/>
  <c r="P368" i="3"/>
  <c r="K368" i="3"/>
  <c r="L368" i="3" s="1"/>
  <c r="L118" i="3"/>
  <c r="L104" i="3"/>
  <c r="L36" i="3"/>
  <c r="P144" i="3"/>
  <c r="P856" i="3"/>
  <c r="K856" i="3"/>
  <c r="L856" i="3" s="1"/>
  <c r="L82" i="3"/>
  <c r="P32" i="3"/>
  <c r="K32" i="3"/>
  <c r="L32" i="3" s="1"/>
  <c r="P643" i="3"/>
  <c r="L29" i="3"/>
  <c r="K150" i="3"/>
  <c r="L150" i="3" s="1"/>
  <c r="P10" i="3"/>
  <c r="K61" i="3"/>
  <c r="L61" i="3" s="1"/>
  <c r="P952" i="3"/>
  <c r="K952" i="3"/>
  <c r="L952" i="3" s="1"/>
  <c r="L939" i="3"/>
  <c r="L964" i="3"/>
  <c r="P812" i="3"/>
  <c r="K812" i="3"/>
  <c r="L812" i="3" s="1"/>
  <c r="L708" i="3"/>
  <c r="L66" i="3"/>
  <c r="L841" i="3"/>
  <c r="P707" i="3"/>
  <c r="L968" i="3"/>
  <c r="P569" i="3"/>
  <c r="K569" i="3"/>
  <c r="L569" i="3" s="1"/>
  <c r="L575" i="3"/>
  <c r="L417" i="3"/>
  <c r="K559" i="3"/>
  <c r="L559" i="3" s="1"/>
  <c r="L488" i="3"/>
  <c r="L1032" i="3"/>
  <c r="L241" i="3"/>
  <c r="L338" i="3"/>
  <c r="L1000" i="3"/>
  <c r="L875" i="3"/>
  <c r="P976" i="3"/>
  <c r="K976" i="3"/>
  <c r="L976" i="3" s="1"/>
  <c r="L419" i="3"/>
  <c r="L795" i="3"/>
  <c r="L727" i="3"/>
  <c r="L472" i="3"/>
  <c r="L570" i="3"/>
  <c r="L690" i="3"/>
  <c r="L530" i="3"/>
  <c r="L890" i="3"/>
  <c r="L518" i="3"/>
  <c r="K883" i="3"/>
  <c r="L883" i="3" s="1"/>
  <c r="L917" i="3"/>
  <c r="L362" i="3"/>
  <c r="L670" i="3"/>
  <c r="P1019" i="3"/>
  <c r="K1019" i="3"/>
  <c r="L1019" i="3" s="1"/>
  <c r="L564" i="3"/>
  <c r="L412" i="3"/>
  <c r="L853" i="3"/>
  <c r="P424" i="3"/>
  <c r="P606" i="3"/>
  <c r="L606" i="3"/>
  <c r="P427" i="3"/>
  <c r="P176" i="3"/>
  <c r="L1014" i="3"/>
  <c r="P785" i="3"/>
  <c r="L842" i="3"/>
  <c r="P827" i="3"/>
  <c r="L751" i="3"/>
  <c r="L903" i="3"/>
  <c r="L287" i="3"/>
  <c r="P978" i="3"/>
  <c r="L978" i="3"/>
  <c r="K46" i="3"/>
  <c r="L46" i="3" s="1"/>
  <c r="P844" i="3"/>
  <c r="P802" i="3"/>
  <c r="L400" i="3"/>
  <c r="L825" i="3"/>
  <c r="P306" i="3"/>
  <c r="L431" i="3"/>
  <c r="P667" i="3"/>
  <c r="P269" i="3"/>
  <c r="L761" i="3"/>
  <c r="K864" i="3"/>
  <c r="K254" i="3"/>
  <c r="K958" i="3"/>
  <c r="K939" i="3"/>
  <c r="K887" i="3"/>
  <c r="K800" i="3"/>
  <c r="K532" i="3"/>
  <c r="K523" i="3"/>
  <c r="K484" i="3"/>
  <c r="K439" i="3"/>
  <c r="K363" i="3"/>
  <c r="K264" i="3"/>
  <c r="K205" i="3"/>
  <c r="K70" i="3"/>
  <c r="K31" i="3"/>
  <c r="K767" i="3"/>
  <c r="L767" i="3" s="1"/>
  <c r="K806" i="3"/>
  <c r="L806" i="3" s="1"/>
  <c r="K427" i="3"/>
  <c r="L427" i="3" s="1"/>
  <c r="K187" i="3"/>
  <c r="L187" i="3" s="1"/>
  <c r="K512" i="3"/>
  <c r="L512" i="3" s="1"/>
  <c r="L448" i="3"/>
  <c r="L458" i="3"/>
  <c r="L973" i="3"/>
  <c r="L495" i="3"/>
  <c r="L678" i="3"/>
  <c r="P99" i="3"/>
  <c r="K99" i="3"/>
  <c r="L99" i="3" s="1"/>
  <c r="L79" i="3"/>
  <c r="L389" i="3"/>
  <c r="L966" i="3"/>
  <c r="L190" i="3"/>
  <c r="L185" i="3"/>
  <c r="K291" i="3"/>
  <c r="L291" i="3" s="1"/>
  <c r="P272" i="3"/>
  <c r="L510" i="3"/>
  <c r="K370" i="3"/>
  <c r="L370" i="3" s="1"/>
  <c r="K688" i="3"/>
  <c r="L688" i="3" s="1"/>
  <c r="L434" i="3"/>
  <c r="L462" i="3"/>
  <c r="P675" i="3"/>
  <c r="P755" i="3"/>
  <c r="K755" i="3"/>
  <c r="L755" i="3" s="1"/>
  <c r="P514" i="3"/>
  <c r="L557" i="3"/>
  <c r="P591" i="3"/>
  <c r="P154" i="3"/>
  <c r="K154" i="3"/>
  <c r="L154" i="3" s="1"/>
  <c r="L100" i="3"/>
  <c r="L1030" i="3"/>
  <c r="P178" i="3"/>
  <c r="K178" i="3"/>
  <c r="L178" i="3" s="1"/>
  <c r="L21" i="3"/>
  <c r="P593" i="3"/>
  <c r="K593" i="3"/>
  <c r="L593" i="3" s="1"/>
  <c r="P824" i="3"/>
  <c r="K824" i="3"/>
  <c r="L824" i="3" s="1"/>
  <c r="L17" i="3"/>
  <c r="L87" i="3"/>
  <c r="L328" i="3"/>
  <c r="P16" i="3"/>
  <c r="K16" i="3"/>
  <c r="L16" i="3" s="1"/>
  <c r="P257" i="3"/>
  <c r="L961" i="3"/>
  <c r="L234" i="3"/>
  <c r="P136" i="3"/>
  <c r="K136" i="3"/>
  <c r="L136" i="3" s="1"/>
  <c r="L618" i="3"/>
  <c r="P626" i="3"/>
  <c r="K626" i="3"/>
  <c r="L626" i="3" s="1"/>
  <c r="K704" i="3"/>
  <c r="L704" i="3" s="1"/>
  <c r="L62" i="3"/>
  <c r="K372" i="3"/>
  <c r="L372" i="3" s="1"/>
  <c r="P336" i="3"/>
  <c r="K633" i="3"/>
  <c r="L633" i="3" s="1"/>
  <c r="K728" i="3"/>
  <c r="L728" i="3" s="1"/>
  <c r="P696" i="3"/>
  <c r="K696" i="3"/>
  <c r="L696" i="3" s="1"/>
  <c r="L793" i="3"/>
  <c r="L73" i="3"/>
  <c r="P385" i="3"/>
  <c r="K385" i="3"/>
  <c r="L385" i="3" s="1"/>
  <c r="L947" i="3"/>
  <c r="L603" i="3"/>
  <c r="L726" i="3"/>
  <c r="L162" i="3"/>
  <c r="L487" i="3"/>
  <c r="P521" i="3"/>
  <c r="K521" i="3"/>
  <c r="L521" i="3" s="1"/>
  <c r="L201" i="3"/>
  <c r="L817" i="3"/>
  <c r="L943" i="3"/>
  <c r="P300" i="3"/>
  <c r="K300" i="3"/>
  <c r="L300" i="3" s="1"/>
  <c r="L183" i="3"/>
  <c r="L672" i="3"/>
  <c r="L218" i="3"/>
  <c r="L944" i="3"/>
  <c r="L477" i="3"/>
  <c r="L360" i="3"/>
  <c r="L200" i="3"/>
  <c r="L647" i="3"/>
  <c r="L990" i="3"/>
  <c r="L1004" i="3"/>
  <c r="L546" i="3"/>
  <c r="K259" i="3"/>
  <c r="L259" i="3" s="1"/>
  <c r="P854" i="3"/>
  <c r="K854" i="3"/>
  <c r="L854" i="3" s="1"/>
  <c r="P848" i="3"/>
  <c r="K848" i="3"/>
  <c r="L848" i="3" s="1"/>
  <c r="P94" i="3"/>
  <c r="L94" i="3"/>
  <c r="P541" i="3"/>
  <c r="P1028" i="3"/>
  <c r="P224" i="3"/>
  <c r="K224" i="3"/>
  <c r="L224" i="3" s="1"/>
  <c r="L1007" i="3"/>
  <c r="P977" i="3"/>
  <c r="P878" i="3"/>
  <c r="P223" i="3"/>
  <c r="P539" i="3"/>
  <c r="L222" i="3"/>
  <c r="P828" i="3"/>
  <c r="P784" i="3"/>
  <c r="L250" i="3"/>
  <c r="P432" i="3"/>
  <c r="P582" i="3"/>
  <c r="L252" i="3"/>
  <c r="L760" i="3"/>
  <c r="K448" i="3"/>
  <c r="K320" i="3"/>
  <c r="L320" i="3" s="1"/>
  <c r="K458" i="3"/>
  <c r="K244" i="3"/>
  <c r="K1003" i="3"/>
  <c r="K994" i="3"/>
  <c r="K899" i="3"/>
  <c r="K886" i="3"/>
  <c r="K799" i="3"/>
  <c r="K729" i="3"/>
  <c r="K680" i="3"/>
  <c r="K614" i="3"/>
  <c r="K570" i="3"/>
  <c r="K362" i="3"/>
  <c r="K340" i="3"/>
  <c r="K311" i="3"/>
  <c r="K234" i="3"/>
  <c r="K195" i="3"/>
  <c r="K21" i="3"/>
  <c r="K766" i="3"/>
  <c r="L766" i="3" s="1"/>
  <c r="K503" i="3"/>
  <c r="L503" i="3" s="1"/>
  <c r="K924" i="3"/>
  <c r="L924" i="3" s="1"/>
  <c r="K878" i="3"/>
  <c r="L878" i="3" s="1"/>
  <c r="K780" i="3"/>
  <c r="L780" i="3" s="1"/>
  <c r="K424" i="3"/>
  <c r="L424" i="3" s="1"/>
  <c r="K707" i="3"/>
  <c r="L707" i="3" s="1"/>
  <c r="K591" i="3"/>
  <c r="L591" i="3" s="1"/>
  <c r="K51" i="3"/>
  <c r="L51" i="3" s="1"/>
  <c r="L913" i="3"/>
  <c r="L486" i="3"/>
  <c r="L149" i="3"/>
  <c r="L33" i="3"/>
  <c r="P930" i="3"/>
  <c r="K930" i="3"/>
  <c r="L930" i="3" s="1"/>
  <c r="P982" i="3"/>
  <c r="K982" i="3"/>
  <c r="L982" i="3" s="1"/>
  <c r="P60" i="3"/>
  <c r="K656" i="3"/>
  <c r="L656" i="3" s="1"/>
  <c r="P378" i="3"/>
  <c r="K378" i="3"/>
  <c r="L378" i="3" s="1"/>
  <c r="P950" i="3"/>
  <c r="K950" i="3"/>
  <c r="L950" i="3" s="1"/>
  <c r="P548" i="3"/>
  <c r="P228" i="3"/>
  <c r="P849" i="3"/>
  <c r="K849" i="3"/>
  <c r="L849" i="3" s="1"/>
  <c r="P713" i="3"/>
  <c r="P317" i="3"/>
  <c r="K317" i="3"/>
  <c r="L317" i="3" s="1"/>
  <c r="L456" i="3"/>
  <c r="P3" i="3"/>
  <c r="K3" i="3"/>
  <c r="L3" i="3" s="1"/>
  <c r="P712" i="3"/>
  <c r="K712" i="3"/>
  <c r="L712" i="3" s="1"/>
  <c r="L355" i="3"/>
  <c r="L354" i="3"/>
  <c r="L929" i="3"/>
  <c r="L567" i="3"/>
  <c r="K256" i="3"/>
  <c r="L256" i="3" s="1"/>
  <c r="K455" i="3"/>
  <c r="L455" i="3" s="1"/>
  <c r="L404" i="3"/>
  <c r="P1023" i="3"/>
  <c r="P42" i="3"/>
  <c r="P1026" i="3"/>
  <c r="K1026" i="3"/>
  <c r="L1026" i="3" s="1"/>
  <c r="P105" i="3"/>
  <c r="K105" i="3"/>
  <c r="L105" i="3" s="1"/>
  <c r="L115" i="3"/>
  <c r="L19" i="3"/>
  <c r="L937" i="3"/>
  <c r="K638" i="3"/>
  <c r="L638" i="3" s="1"/>
  <c r="K52" i="3"/>
  <c r="L52" i="3" s="1"/>
  <c r="P274" i="3"/>
  <c r="L159" i="3"/>
  <c r="L15" i="3"/>
  <c r="L496" i="3"/>
  <c r="P265" i="3"/>
  <c r="K265" i="3"/>
  <c r="L265" i="3" s="1"/>
  <c r="L918" i="3"/>
  <c r="L30" i="3"/>
  <c r="L597" i="3"/>
  <c r="P833" i="3"/>
  <c r="P184" i="3"/>
  <c r="K184" i="3"/>
  <c r="L184" i="3" s="1"/>
  <c r="L49" i="3"/>
  <c r="L339" i="3"/>
  <c r="L89" i="3"/>
  <c r="P912" i="3"/>
  <c r="K912" i="3"/>
  <c r="L912" i="3" s="1"/>
  <c r="L599" i="3"/>
  <c r="L416" i="3"/>
  <c r="P624" i="3"/>
  <c r="K624" i="3"/>
  <c r="L624" i="3" s="1"/>
  <c r="L769" i="3"/>
  <c r="L644" i="3"/>
  <c r="L302" i="3"/>
  <c r="K220" i="3"/>
  <c r="L220" i="3" s="1"/>
  <c r="L304" i="3"/>
  <c r="L346" i="3"/>
  <c r="L165" i="3"/>
  <c r="L914" i="3"/>
  <c r="L705" i="3"/>
  <c r="L1027" i="3"/>
  <c r="K744" i="3"/>
  <c r="L744" i="3" s="1"/>
  <c r="L741" i="3"/>
  <c r="L520" i="3"/>
  <c r="P778" i="3"/>
  <c r="L1002" i="3"/>
  <c r="P891" i="3"/>
  <c r="K891" i="3"/>
  <c r="L891" i="3" s="1"/>
  <c r="L951" i="3"/>
  <c r="L547" i="3"/>
  <c r="P989" i="3"/>
  <c r="L723" i="3"/>
  <c r="L459" i="3"/>
  <c r="L735" i="3"/>
  <c r="P1034" i="3"/>
  <c r="P131" i="3"/>
  <c r="K131" i="3"/>
  <c r="L131" i="3" s="1"/>
  <c r="P341" i="3"/>
  <c r="P500" i="3"/>
  <c r="P538" i="3"/>
  <c r="P268" i="3"/>
  <c r="P226" i="3"/>
  <c r="K226" i="3"/>
  <c r="L226" i="3" s="1"/>
  <c r="L473" i="3"/>
  <c r="P921" i="3"/>
  <c r="P771" i="3"/>
  <c r="L399" i="3"/>
  <c r="L880" i="3"/>
  <c r="L867" i="3"/>
  <c r="P193" i="3"/>
  <c r="P262" i="3"/>
  <c r="L758" i="3"/>
  <c r="K787" i="3"/>
  <c r="K903" i="3"/>
  <c r="K845" i="3"/>
  <c r="K782" i="3"/>
  <c r="K290" i="3"/>
  <c r="K222" i="3"/>
  <c r="K853" i="3"/>
  <c r="K412" i="3"/>
  <c r="K1032" i="3"/>
  <c r="K1002" i="3"/>
  <c r="K964" i="3"/>
  <c r="K945" i="3"/>
  <c r="K937" i="3"/>
  <c r="K895" i="3"/>
  <c r="K798" i="3"/>
  <c r="K775" i="3"/>
  <c r="K747" i="3"/>
  <c r="K727" i="3"/>
  <c r="K708" i="3"/>
  <c r="K690" i="3"/>
  <c r="K672" i="3"/>
  <c r="K597" i="3"/>
  <c r="K564" i="3"/>
  <c r="K530" i="3"/>
  <c r="K520" i="3"/>
  <c r="K481" i="3"/>
  <c r="K360" i="3"/>
  <c r="K339" i="3"/>
  <c r="K165" i="3"/>
  <c r="K85" i="3"/>
  <c r="K58" i="3"/>
  <c r="K29" i="3"/>
  <c r="K987" i="3"/>
  <c r="K678" i="3"/>
  <c r="K456" i="3"/>
  <c r="K306" i="3"/>
  <c r="L306" i="3" s="1"/>
  <c r="K1011" i="3"/>
  <c r="L1011" i="3" s="1"/>
  <c r="K922" i="3"/>
  <c r="L922" i="3" s="1"/>
  <c r="K803" i="3"/>
  <c r="L803" i="3" s="1"/>
  <c r="K771" i="3"/>
  <c r="L771" i="3" s="1"/>
  <c r="K652" i="3"/>
  <c r="L652" i="3" s="1"/>
  <c r="K535" i="3"/>
  <c r="L535" i="3" s="1"/>
  <c r="K423" i="3"/>
  <c r="L423" i="3" s="1"/>
  <c r="K210" i="3"/>
  <c r="L210" i="3" s="1"/>
  <c r="K336" i="3"/>
  <c r="L336" i="3" s="1"/>
  <c r="K144" i="3"/>
  <c r="L144" i="3" s="1"/>
  <c r="K42" i="3"/>
  <c r="L42" i="3" s="1"/>
  <c r="K1033" i="3"/>
  <c r="L1033" i="3" s="1"/>
  <c r="K713" i="3"/>
  <c r="L713" i="3" s="1"/>
  <c r="L244" i="3"/>
  <c r="L899" i="3"/>
  <c r="L729" i="3"/>
  <c r="L617" i="3"/>
  <c r="L471" i="3"/>
  <c r="L297" i="3"/>
  <c r="L24" i="3"/>
  <c r="L694" i="3"/>
  <c r="P608" i="3"/>
  <c r="K219" i="3"/>
  <c r="L219" i="3" s="1"/>
  <c r="P121" i="3"/>
  <c r="K595" i="3"/>
  <c r="L595" i="3" s="1"/>
  <c r="L876" i="3"/>
  <c r="P681" i="3"/>
  <c r="K681" i="3"/>
  <c r="L681" i="3" s="1"/>
  <c r="P96" i="3"/>
  <c r="K96" i="3"/>
  <c r="L96" i="3" s="1"/>
  <c r="P505" i="3"/>
  <c r="P868" i="3"/>
  <c r="P460" i="3"/>
  <c r="K460" i="3"/>
  <c r="L460" i="3" s="1"/>
  <c r="L679" i="3"/>
  <c r="P323" i="3"/>
  <c r="P565" i="3"/>
  <c r="K809" i="3"/>
  <c r="L809" i="3" s="1"/>
  <c r="L739" i="3"/>
  <c r="L405" i="3"/>
  <c r="P213" i="3"/>
  <c r="P515" i="3"/>
  <c r="K515" i="3"/>
  <c r="L515" i="3" s="1"/>
  <c r="P307" i="3"/>
  <c r="L307" i="3"/>
  <c r="P476" i="3"/>
  <c r="L408" i="3"/>
  <c r="P589" i="3"/>
  <c r="P106" i="3"/>
  <c r="K98" i="3"/>
  <c r="L98" i="3" s="1"/>
  <c r="L77" i="3"/>
  <c r="K381" i="3"/>
  <c r="L381" i="3" s="1"/>
  <c r="L27" i="3"/>
  <c r="L386" i="3"/>
  <c r="L44" i="3"/>
  <c r="L522" i="3"/>
  <c r="L392" i="3"/>
  <c r="L151" i="3"/>
  <c r="P870" i="3"/>
  <c r="K870" i="3"/>
  <c r="L870" i="3" s="1"/>
  <c r="L839" i="3"/>
  <c r="L65" i="3"/>
  <c r="L283" i="3"/>
  <c r="L971" i="3"/>
  <c r="P614" i="3"/>
  <c r="L614" i="3"/>
  <c r="L34" i="3"/>
  <c r="L376" i="3"/>
  <c r="P490" i="3"/>
  <c r="K490" i="3"/>
  <c r="L490" i="3" s="1"/>
  <c r="L859" i="3"/>
  <c r="L68" i="3"/>
  <c r="L686" i="3"/>
  <c r="L28" i="3"/>
  <c r="K216" i="3"/>
  <c r="L216" i="3" s="1"/>
  <c r="L163" i="3"/>
  <c r="L138" i="3"/>
  <c r="L623" i="3"/>
  <c r="K625" i="3"/>
  <c r="L625" i="3" s="1"/>
  <c r="L819" i="3"/>
  <c r="P549" i="3"/>
  <c r="K549" i="3"/>
  <c r="L549" i="3" s="1"/>
  <c r="K451" i="3"/>
  <c r="L451" i="3" s="1"/>
  <c r="L142" i="3"/>
  <c r="P745" i="3"/>
  <c r="L164" i="3"/>
  <c r="L992" i="3"/>
  <c r="P316" i="3"/>
  <c r="K316" i="3"/>
  <c r="L316" i="3" s="1"/>
  <c r="L873" i="3"/>
  <c r="L742" i="3"/>
  <c r="L774" i="3"/>
  <c r="L528" i="3"/>
  <c r="P1018" i="3"/>
  <c r="P993" i="3"/>
  <c r="P634" i="3"/>
  <c r="P752" i="3"/>
  <c r="P422" i="3"/>
  <c r="P174" i="3"/>
  <c r="P208" i="3"/>
  <c r="K208" i="3"/>
  <c r="L208" i="3" s="1"/>
  <c r="P920" i="3"/>
  <c r="P1020" i="3"/>
  <c r="P763" i="3"/>
  <c r="L843" i="3"/>
  <c r="P212" i="3"/>
  <c r="P433" i="3"/>
  <c r="P225" i="3"/>
  <c r="P904" i="3"/>
  <c r="P319" i="3"/>
  <c r="P502" i="3"/>
  <c r="K761" i="3"/>
  <c r="K252" i="3"/>
  <c r="K880" i="3"/>
  <c r="K843" i="3"/>
  <c r="K426" i="3"/>
  <c r="K171" i="3"/>
  <c r="K1000" i="3"/>
  <c r="K971" i="3"/>
  <c r="K944" i="3"/>
  <c r="K918" i="3"/>
  <c r="K893" i="3"/>
  <c r="K876" i="3"/>
  <c r="K859" i="3"/>
  <c r="K818" i="3"/>
  <c r="K774" i="3"/>
  <c r="K726" i="3"/>
  <c r="K706" i="3"/>
  <c r="K689" i="3"/>
  <c r="K519" i="3"/>
  <c r="K479" i="3"/>
  <c r="K419" i="3"/>
  <c r="K410" i="3"/>
  <c r="K389" i="3"/>
  <c r="K375" i="3"/>
  <c r="K338" i="3"/>
  <c r="K304" i="3"/>
  <c r="K283" i="3"/>
  <c r="K241" i="3"/>
  <c r="K202" i="3"/>
  <c r="K190" i="3"/>
  <c r="K164" i="3"/>
  <c r="K56" i="3"/>
  <c r="K28" i="3"/>
  <c r="K1016" i="3"/>
  <c r="K631" i="3"/>
  <c r="K434" i="3"/>
  <c r="K927" i="3"/>
  <c r="L927" i="3" s="1"/>
  <c r="K179" i="3"/>
  <c r="L179" i="3" s="1"/>
  <c r="K1009" i="3"/>
  <c r="L1009" i="3" s="1"/>
  <c r="K921" i="3"/>
  <c r="L921" i="3" s="1"/>
  <c r="K802" i="3"/>
  <c r="L802" i="3" s="1"/>
  <c r="K764" i="3"/>
  <c r="L764" i="3" s="1"/>
  <c r="K534" i="3"/>
  <c r="L534" i="3" s="1"/>
  <c r="K305" i="3"/>
  <c r="L305" i="3" s="1"/>
  <c r="K896" i="3"/>
  <c r="L896" i="3" s="1"/>
  <c r="K551" i="3"/>
  <c r="L551" i="3" s="1"/>
  <c r="K10" i="3"/>
  <c r="L10" i="3" s="1"/>
  <c r="K936" i="3"/>
  <c r="L936" i="3" s="1"/>
  <c r="K677" i="3"/>
  <c r="L677" i="3" s="1"/>
  <c r="L1005" i="3"/>
  <c r="L888" i="3"/>
  <c r="L601" i="3"/>
  <c r="L440" i="3"/>
  <c r="L266" i="3"/>
  <c r="L114" i="3"/>
  <c r="L14" i="3"/>
  <c r="M926" i="3"/>
  <c r="M96" i="3"/>
  <c r="M356" i="3"/>
  <c r="M505" i="3"/>
  <c r="M868" i="3"/>
  <c r="M460" i="3"/>
  <c r="M679" i="3"/>
  <c r="M715" i="3"/>
  <c r="M323" i="3"/>
  <c r="M565" i="3"/>
  <c r="M809" i="3"/>
  <c r="M739" i="3"/>
  <c r="M405" i="3"/>
  <c r="M213" i="3"/>
  <c r="M515" i="3"/>
  <c r="M307" i="3"/>
  <c r="M476" i="3"/>
  <c r="M408" i="3"/>
  <c r="M102" i="3"/>
  <c r="M106" i="3"/>
  <c r="M98" i="3"/>
  <c r="M77" i="3"/>
  <c r="M381" i="3"/>
  <c r="M27" i="3"/>
  <c r="M386" i="3"/>
  <c r="M44" i="3"/>
  <c r="M392" i="3"/>
  <c r="M151" i="3"/>
  <c r="M326" i="3"/>
  <c r="M870" i="3"/>
  <c r="M839" i="3"/>
  <c r="M65" i="3"/>
  <c r="M283" i="3"/>
  <c r="M14" i="3"/>
  <c r="M971" i="3"/>
  <c r="M614" i="3"/>
  <c r="M34" i="3"/>
  <c r="M645" i="3"/>
  <c r="M376" i="3"/>
  <c r="M490" i="3"/>
  <c r="M859" i="3"/>
  <c r="M68" i="3"/>
  <c r="M686" i="3"/>
  <c r="M28" i="3"/>
  <c r="M216" i="3"/>
  <c r="M163" i="3"/>
  <c r="M138" i="3"/>
  <c r="M623" i="3"/>
  <c r="M819" i="3"/>
  <c r="M549" i="3"/>
  <c r="M451" i="3"/>
  <c r="M142" i="3"/>
  <c r="M745" i="3"/>
  <c r="M164" i="3"/>
  <c r="M992" i="3"/>
  <c r="M440" i="3"/>
  <c r="M592" i="3"/>
  <c r="M316" i="3"/>
  <c r="M873" i="3"/>
  <c r="M742" i="3"/>
  <c r="M203" i="3"/>
  <c r="M774" i="3"/>
  <c r="M528" i="3"/>
  <c r="M1018" i="3"/>
  <c r="M940" i="3"/>
  <c r="M993" i="3"/>
  <c r="M534" i="3"/>
  <c r="M752" i="3"/>
  <c r="M174" i="3"/>
  <c r="M208" i="3"/>
  <c r="M920" i="3"/>
  <c r="M666" i="3"/>
  <c r="M826" i="3"/>
  <c r="M1020" i="3"/>
  <c r="M763" i="3"/>
  <c r="M843" i="3"/>
  <c r="M212" i="3"/>
  <c r="M894" i="3"/>
  <c r="M320" i="3"/>
  <c r="M433" i="3"/>
  <c r="M225" i="3"/>
  <c r="M904" i="3"/>
  <c r="M319" i="3"/>
  <c r="M502" i="3"/>
  <c r="M585" i="3"/>
  <c r="M881" i="3"/>
  <c r="M353" i="3"/>
  <c r="M271" i="3"/>
  <c r="M474" i="3"/>
  <c r="M280" i="3"/>
  <c r="M721" i="3"/>
  <c r="M508" i="3"/>
  <c r="M716" i="3"/>
  <c r="M714" i="3"/>
  <c r="M928" i="3"/>
  <c r="M53" i="3"/>
  <c r="M779" i="3"/>
  <c r="M123" i="3"/>
  <c r="M397" i="3"/>
  <c r="M125" i="3"/>
  <c r="M1022" i="3"/>
  <c r="M242" i="3"/>
  <c r="M40" i="3"/>
  <c r="M622" i="3"/>
  <c r="M18" i="3"/>
  <c r="M152" i="3"/>
  <c r="M910" i="3"/>
  <c r="M816" i="3"/>
  <c r="M137" i="3"/>
  <c r="M146" i="3"/>
  <c r="M646" i="3"/>
  <c r="M702" i="3"/>
  <c r="M590" i="3"/>
  <c r="M26" i="3"/>
  <c r="M80" i="3"/>
  <c r="M561" i="3"/>
  <c r="M967" i="3"/>
  <c r="M74" i="3"/>
  <c r="M23" i="3"/>
  <c r="M529" i="3"/>
  <c r="M862" i="3"/>
  <c r="M88" i="3"/>
  <c r="M296" i="3"/>
  <c r="M691" i="3"/>
  <c r="M1031" i="3"/>
  <c r="M974" i="3"/>
  <c r="M814" i="3"/>
  <c r="M337" i="3"/>
  <c r="M884" i="3"/>
  <c r="M166" i="3"/>
  <c r="M641" i="3"/>
  <c r="M942" i="3"/>
  <c r="M482" i="3"/>
  <c r="M278" i="3"/>
  <c r="M580" i="3"/>
  <c r="M659" i="3"/>
  <c r="M730" i="3"/>
  <c r="M258" i="3"/>
  <c r="M344" i="3"/>
  <c r="M558" i="3"/>
  <c r="M170" i="3"/>
  <c r="M401" i="3"/>
  <c r="M1008" i="3"/>
  <c r="M902" i="3"/>
  <c r="M781" i="3"/>
  <c r="M45" i="3"/>
  <c r="M866" i="3"/>
  <c r="M442" i="3"/>
  <c r="M665" i="3"/>
  <c r="M801" i="3"/>
  <c r="M128" i="3"/>
  <c r="M537" i="3"/>
  <c r="M790" i="3"/>
  <c r="M607" i="3"/>
  <c r="M251" i="3"/>
  <c r="M905" i="3"/>
  <c r="M736" i="3"/>
  <c r="M791" i="3"/>
  <c r="M718" i="3"/>
  <c r="M407" i="3"/>
  <c r="M466" i="3"/>
  <c r="M630" i="3"/>
  <c r="M517" i="3"/>
  <c r="M120" i="3"/>
  <c r="M1024" i="3"/>
  <c r="M276" i="3"/>
  <c r="M240" i="3"/>
  <c r="M57" i="3"/>
  <c r="M387" i="3"/>
  <c r="M907" i="3"/>
  <c r="M815" i="3"/>
  <c r="M437" i="3"/>
  <c r="M114" i="3"/>
  <c r="M418" i="3"/>
  <c r="M394" i="3"/>
  <c r="M340" i="3"/>
  <c r="M615" i="3"/>
  <c r="M58" i="3"/>
  <c r="M684" i="3"/>
  <c r="M155" i="3"/>
  <c r="M750" i="3"/>
  <c r="M410" i="3"/>
  <c r="M199" i="3"/>
  <c r="M1005" i="3"/>
  <c r="M264" i="3"/>
  <c r="M153" i="3"/>
  <c r="M747" i="3"/>
  <c r="M6" i="3"/>
  <c r="M568" i="3"/>
  <c r="M813" i="3"/>
  <c r="M445" i="3"/>
  <c r="M486" i="3"/>
  <c r="M731" i="3"/>
  <c r="M960" i="3"/>
  <c r="M584" i="3"/>
  <c r="M899" i="3"/>
  <c r="M698" i="3"/>
  <c r="M743" i="3"/>
  <c r="M895" i="3"/>
  <c r="M639" i="3"/>
  <c r="M851" i="3"/>
  <c r="M402" i="3"/>
  <c r="M426" i="3"/>
  <c r="M922" i="3"/>
  <c r="M210" i="3"/>
  <c r="M498" i="3"/>
  <c r="M305" i="3"/>
  <c r="M457" i="3"/>
  <c r="M753" i="3"/>
  <c r="M581" i="3"/>
  <c r="M927" i="3"/>
  <c r="M754" i="3"/>
  <c r="M768" i="3"/>
  <c r="M772" i="3"/>
  <c r="M1033" i="3"/>
  <c r="M694" i="3"/>
  <c r="M609" i="3"/>
  <c r="M511" i="3"/>
  <c r="M930" i="3"/>
  <c r="M322" i="3"/>
  <c r="M982" i="3"/>
  <c r="M678" i="3"/>
  <c r="M232" i="3"/>
  <c r="M60" i="3"/>
  <c r="M219" i="3"/>
  <c r="M99" i="3"/>
  <c r="M121" i="3"/>
  <c r="M79" i="3"/>
  <c r="M595" i="3"/>
  <c r="M656" i="3"/>
  <c r="M389" i="3"/>
  <c r="M64" i="3"/>
  <c r="M378" i="3"/>
  <c r="M966" i="3"/>
  <c r="M24" i="3"/>
  <c r="M876" i="3"/>
  <c r="M140" i="3"/>
  <c r="M190" i="3"/>
  <c r="M950" i="3"/>
  <c r="M195" i="3"/>
  <c r="M594" i="3"/>
  <c r="M872" i="3"/>
  <c r="M648" i="3"/>
  <c r="M548" i="3"/>
  <c r="M681" i="3"/>
  <c r="M202" i="3"/>
  <c r="M185" i="3"/>
  <c r="M384" i="3"/>
  <c r="M479" i="3"/>
  <c r="M706" i="3"/>
  <c r="M710" i="3"/>
  <c r="M83" i="3"/>
  <c r="M441" i="3"/>
  <c r="M1001" i="3"/>
  <c r="M997" i="3"/>
  <c r="M699" i="3"/>
  <c r="M857" i="3"/>
  <c r="M519" i="3"/>
  <c r="M832" i="3"/>
  <c r="M266" i="3"/>
  <c r="M478" i="3"/>
  <c r="M979" i="3"/>
  <c r="M773" i="3"/>
  <c r="M298" i="3"/>
  <c r="M838" i="3"/>
  <c r="M775" i="3"/>
  <c r="M724" i="3"/>
  <c r="M532" i="3"/>
  <c r="M205" i="3"/>
  <c r="M504" i="3"/>
  <c r="M248" i="3"/>
  <c r="M243" i="3"/>
  <c r="M254" i="3"/>
  <c r="M610" i="3"/>
  <c r="M423" i="3"/>
  <c r="M780" i="3"/>
  <c r="M90" i="3"/>
  <c r="M175" i="3"/>
  <c r="M536" i="3"/>
  <c r="M1011" i="3"/>
  <c r="M924" i="3"/>
  <c r="M290" i="3"/>
  <c r="M540" i="3"/>
  <c r="M762" i="3"/>
  <c r="M864" i="3"/>
  <c r="M499" i="3"/>
  <c r="M803" i="3"/>
  <c r="M448" i="3"/>
  <c r="M764" i="3"/>
  <c r="M179" i="3"/>
  <c r="M180" i="3"/>
  <c r="M352" i="3"/>
  <c r="M766" i="3"/>
  <c r="M632" i="3"/>
  <c r="M740" i="3"/>
  <c r="M469" i="3"/>
  <c r="M631" i="3"/>
  <c r="M134" i="3"/>
  <c r="M677" i="3"/>
  <c r="M720" i="3"/>
  <c r="M270" i="3"/>
  <c r="M314" i="3"/>
  <c r="M1016" i="3"/>
  <c r="M513" i="3"/>
  <c r="M987" i="3"/>
  <c r="M122" i="3"/>
  <c r="M796" i="3"/>
  <c r="M103" i="3"/>
  <c r="M192" i="3"/>
  <c r="M438" i="3"/>
  <c r="M311" i="3"/>
  <c r="M113" i="3"/>
  <c r="M56" i="3"/>
  <c r="M35" i="3"/>
  <c r="M70" i="3"/>
  <c r="M187" i="3"/>
  <c r="M439" i="3"/>
  <c r="M72" i="3"/>
  <c r="M383" i="3"/>
  <c r="M480" i="3"/>
  <c r="M71" i="3"/>
  <c r="M446" i="3"/>
  <c r="M893" i="3"/>
  <c r="M998" i="3"/>
  <c r="M830" i="3"/>
  <c r="M168" i="3"/>
  <c r="M282" i="3"/>
  <c r="M953" i="3"/>
  <c r="M388" i="3"/>
  <c r="M471" i="3"/>
  <c r="M636" i="3"/>
  <c r="M798" i="3"/>
  <c r="M191" i="3"/>
  <c r="M186" i="3"/>
  <c r="M481" i="3"/>
  <c r="M915" i="3"/>
  <c r="M489" i="3"/>
  <c r="M800" i="3"/>
  <c r="M858" i="3"/>
  <c r="M794" i="3"/>
  <c r="M357" i="3"/>
  <c r="M523" i="3"/>
  <c r="M628" i="3"/>
  <c r="M945" i="3"/>
  <c r="M689" i="3"/>
  <c r="M50" i="3"/>
  <c r="M273" i="3"/>
  <c r="M887" i="3"/>
  <c r="M680" i="3"/>
  <c r="M363" i="3"/>
  <c r="M818" i="3"/>
  <c r="M729" i="3"/>
  <c r="M958" i="3"/>
  <c r="M988" i="3"/>
  <c r="M361" i="3"/>
  <c r="M458" i="3"/>
  <c r="M811" i="3"/>
  <c r="M852" i="3"/>
  <c r="M428" i="3"/>
  <c r="M535" i="3"/>
  <c r="M171" i="3"/>
  <c r="M782" i="3"/>
  <c r="M652" i="3"/>
  <c r="M246" i="3"/>
  <c r="M91" i="3"/>
  <c r="M806" i="3"/>
  <c r="M130" i="3"/>
  <c r="M1009" i="3"/>
  <c r="M288" i="3"/>
  <c r="M845" i="3"/>
  <c r="M783" i="3"/>
  <c r="M207" i="3"/>
  <c r="M1012" i="3"/>
  <c r="M95" i="3"/>
  <c r="M48" i="3"/>
  <c r="M787" i="3"/>
  <c r="M503" i="3"/>
  <c r="M767" i="3"/>
  <c r="M543" i="3"/>
  <c r="M936" i="3"/>
  <c r="M506" i="3"/>
  <c r="M850" i="3"/>
  <c r="M512" i="3"/>
  <c r="M933" i="3"/>
  <c r="M553" i="3"/>
  <c r="M737" i="3"/>
  <c r="M371" i="3"/>
  <c r="M934" i="3"/>
  <c r="M668" i="3"/>
  <c r="M194" i="3"/>
  <c r="M756" i="3"/>
  <c r="M545" i="3"/>
  <c r="M808" i="3"/>
  <c r="M452" i="3"/>
  <c r="M8" i="3"/>
  <c r="M368" i="3"/>
  <c r="M118" i="3"/>
  <c r="M104" i="3"/>
  <c r="M36" i="3"/>
  <c r="M144" i="3"/>
  <c r="M856" i="3"/>
  <c r="M82" i="3"/>
  <c r="M382" i="3"/>
  <c r="M32" i="3"/>
  <c r="M643" i="3"/>
  <c r="M29" i="3"/>
  <c r="M377" i="3"/>
  <c r="M150" i="3"/>
  <c r="M10" i="3"/>
  <c r="M413" i="3"/>
  <c r="M952" i="3"/>
  <c r="M939" i="3"/>
  <c r="M617" i="3"/>
  <c r="M964" i="3"/>
  <c r="M812" i="3"/>
  <c r="M708" i="3"/>
  <c r="M66" i="3"/>
  <c r="M841" i="3"/>
  <c r="M707" i="3"/>
  <c r="M968" i="3"/>
  <c r="M569" i="3"/>
  <c r="M575" i="3"/>
  <c r="M12" i="3"/>
  <c r="M417" i="3"/>
  <c r="M840" i="3"/>
  <c r="M559" i="3"/>
  <c r="M488" i="3"/>
  <c r="M1032" i="3"/>
  <c r="M601" i="3"/>
  <c r="M241" i="3"/>
  <c r="M338" i="3"/>
  <c r="M1000" i="3"/>
  <c r="M875" i="3"/>
  <c r="M976" i="3"/>
  <c r="M419" i="3"/>
  <c r="M795" i="3"/>
  <c r="M727" i="3"/>
  <c r="M472" i="3"/>
  <c r="M570" i="3"/>
  <c r="M690" i="3"/>
  <c r="M530" i="3"/>
  <c r="M890" i="3"/>
  <c r="M994" i="3"/>
  <c r="M518" i="3"/>
  <c r="M883" i="3"/>
  <c r="M917" i="3"/>
  <c r="M362" i="3"/>
  <c r="M670" i="3"/>
  <c r="M221" i="3"/>
  <c r="M214" i="3"/>
  <c r="M886" i="3"/>
  <c r="M1019" i="3"/>
  <c r="M564" i="3"/>
  <c r="M412" i="3"/>
  <c r="M244" i="3"/>
  <c r="M853" i="3"/>
  <c r="M562" i="3"/>
  <c r="M424" i="3"/>
  <c r="M606" i="3"/>
  <c r="M427" i="3"/>
  <c r="M176" i="3"/>
  <c r="M1014" i="3"/>
  <c r="M785" i="3"/>
  <c r="M842" i="3"/>
  <c r="M827" i="3"/>
  <c r="M751" i="3"/>
  <c r="M903" i="3"/>
  <c r="M287" i="3"/>
  <c r="M978" i="3"/>
  <c r="M844" i="3"/>
  <c r="M329" i="3"/>
  <c r="M802" i="3"/>
  <c r="M400" i="3"/>
  <c r="M825" i="3"/>
  <c r="M306" i="3"/>
  <c r="M431" i="3"/>
  <c r="M667" i="3"/>
  <c r="M269" i="3"/>
  <c r="M761" i="3"/>
  <c r="M132" i="3"/>
  <c r="M293" i="3"/>
  <c r="M272" i="3"/>
  <c r="M281" i="3"/>
  <c r="M510" i="3"/>
  <c r="M370" i="3"/>
  <c r="M688" i="3"/>
  <c r="M434" i="3"/>
  <c r="M675" i="3"/>
  <c r="M932" i="3"/>
  <c r="M755" i="3"/>
  <c r="M514" i="3"/>
  <c r="M557" i="3"/>
  <c r="M734" i="3"/>
  <c r="M591" i="3"/>
  <c r="M54" i="3"/>
  <c r="M154" i="3"/>
  <c r="M100" i="3"/>
  <c r="M1030" i="3"/>
  <c r="M178" i="3"/>
  <c r="M21" i="3"/>
  <c r="M593" i="3"/>
  <c r="M824" i="3"/>
  <c r="M33" i="3"/>
  <c r="M17" i="3"/>
  <c r="M87" i="3"/>
  <c r="M237" i="3"/>
  <c r="M913" i="3"/>
  <c r="M328" i="3"/>
  <c r="M16" i="3"/>
  <c r="M415" i="3"/>
  <c r="M257" i="3"/>
  <c r="M961" i="3"/>
  <c r="M234" i="3"/>
  <c r="M136" i="3"/>
  <c r="M618" i="3"/>
  <c r="M626" i="3"/>
  <c r="M799" i="3"/>
  <c r="M704" i="3"/>
  <c r="M62" i="3"/>
  <c r="M372" i="3"/>
  <c r="M336" i="3"/>
  <c r="M633" i="3"/>
  <c r="M728" i="3"/>
  <c r="M160" i="3"/>
  <c r="M696" i="3"/>
  <c r="M5" i="3"/>
  <c r="M793" i="3"/>
  <c r="M73" i="3"/>
  <c r="M385" i="3"/>
  <c r="M947" i="3"/>
  <c r="M603" i="3"/>
  <c r="M149" i="3"/>
  <c r="M726" i="3"/>
  <c r="M627" i="3"/>
  <c r="M162" i="3"/>
  <c r="M521" i="3"/>
  <c r="M201" i="3"/>
  <c r="M817" i="3"/>
  <c r="M943" i="3"/>
  <c r="M300" i="3"/>
  <c r="M672" i="3"/>
  <c r="M218" i="3"/>
  <c r="M944" i="3"/>
  <c r="M360" i="3"/>
  <c r="M200" i="3"/>
  <c r="M375" i="3"/>
  <c r="M647" i="3"/>
  <c r="M1003" i="3"/>
  <c r="M990" i="3"/>
  <c r="M259" i="3"/>
  <c r="M854" i="3"/>
  <c r="M848" i="3"/>
  <c r="M563" i="3"/>
  <c r="M94" i="3"/>
  <c r="M541" i="3"/>
  <c r="M1028" i="3"/>
  <c r="M224" i="3"/>
  <c r="M398" i="3"/>
  <c r="M425" i="3"/>
  <c r="M654" i="3"/>
  <c r="M977" i="3"/>
  <c r="M878" i="3"/>
  <c r="M223" i="3"/>
  <c r="M539" i="3"/>
  <c r="M222" i="3"/>
  <c r="M828" i="3"/>
  <c r="M784" i="3"/>
  <c r="M250" i="3"/>
  <c r="M432" i="3"/>
  <c r="M1015" i="3"/>
  <c r="M330" i="3"/>
  <c r="M582" i="3"/>
  <c r="M252" i="3"/>
  <c r="M760" i="3"/>
  <c r="M228" i="3"/>
  <c r="M849" i="3"/>
  <c r="M713" i="3"/>
  <c r="M317" i="3"/>
  <c r="M456" i="3"/>
  <c r="M435" i="3"/>
  <c r="M3" i="3"/>
  <c r="M443" i="3"/>
  <c r="M712" i="3"/>
  <c r="M355" i="3"/>
  <c r="M354" i="3"/>
  <c r="M929" i="3"/>
  <c r="M567" i="3"/>
  <c r="M256" i="3"/>
  <c r="M455" i="3"/>
  <c r="M404" i="3"/>
  <c r="M1023" i="3"/>
  <c r="M42" i="3"/>
  <c r="M1026" i="3"/>
  <c r="M105" i="3"/>
  <c r="M115" i="3"/>
  <c r="M380" i="3"/>
  <c r="M822" i="3"/>
  <c r="M937" i="3"/>
  <c r="M37" i="3"/>
  <c r="M638" i="3"/>
  <c r="M52" i="3"/>
  <c r="M274" i="3"/>
  <c r="M159" i="3"/>
  <c r="M15" i="3"/>
  <c r="M496" i="3"/>
  <c r="M265" i="3"/>
  <c r="M918" i="3"/>
  <c r="M30" i="3"/>
  <c r="M597" i="3"/>
  <c r="M347" i="3"/>
  <c r="M835" i="3"/>
  <c r="M833" i="3"/>
  <c r="M184" i="3"/>
  <c r="M49" i="3"/>
  <c r="M339" i="3"/>
  <c r="M365" i="3"/>
  <c r="M576" i="3"/>
  <c r="M297" i="3"/>
  <c r="M683" i="3"/>
  <c r="M89" i="3"/>
  <c r="M912" i="3"/>
  <c r="M599" i="3"/>
  <c r="M861" i="3"/>
  <c r="M416" i="3"/>
  <c r="M624" i="3"/>
  <c r="M769" i="3"/>
  <c r="M888" i="3"/>
  <c r="M531" i="3"/>
  <c r="M644" i="3"/>
  <c r="M302" i="3"/>
  <c r="M304" i="3"/>
  <c r="M346" i="3"/>
  <c r="M165" i="3"/>
  <c r="M914" i="3"/>
  <c r="M705" i="3"/>
  <c r="M1027" i="3"/>
  <c r="M776" i="3"/>
  <c r="M744" i="3"/>
  <c r="M520" i="3"/>
  <c r="M778" i="3"/>
  <c r="M1002" i="3"/>
  <c r="M891" i="3"/>
  <c r="M197" i="3"/>
  <c r="M896" i="3"/>
  <c r="M551" i="3"/>
  <c r="M547" i="3"/>
  <c r="M885" i="3"/>
  <c r="M723" i="3"/>
  <c r="M635" i="3"/>
  <c r="M459" i="3"/>
  <c r="M1034" i="3"/>
  <c r="M131" i="3"/>
  <c r="M341" i="3"/>
  <c r="M500" i="3"/>
  <c r="M538" i="3"/>
  <c r="M268" i="3"/>
  <c r="M226" i="3"/>
  <c r="M473" i="3"/>
  <c r="M921" i="3"/>
  <c r="M771" i="3"/>
  <c r="M399" i="3"/>
  <c r="M865" i="3"/>
  <c r="M880" i="3"/>
  <c r="M867" i="3"/>
  <c r="M450" i="3"/>
  <c r="M980" i="3"/>
  <c r="M193" i="3"/>
  <c r="M367" i="3"/>
  <c r="M1035" i="3"/>
  <c r="M262" i="3"/>
  <c r="M758" i="3"/>
  <c r="P881" i="3" l="1"/>
  <c r="P704" i="3"/>
  <c r="P370" i="3"/>
  <c r="P95" i="3"/>
  <c r="P170" i="3"/>
  <c r="P281" i="3"/>
  <c r="P333" i="3"/>
  <c r="P251" i="3"/>
  <c r="P803" i="3"/>
  <c r="P781" i="3"/>
  <c r="P809" i="3"/>
  <c r="P246" i="3"/>
  <c r="P187" i="3"/>
  <c r="P335" i="3"/>
  <c r="P150" i="3"/>
  <c r="P850" i="3"/>
  <c r="P925" i="3"/>
  <c r="P731" i="3"/>
  <c r="P620" i="3"/>
  <c r="P1015" i="3"/>
  <c r="P636" i="3"/>
  <c r="P911" i="3"/>
  <c r="P744" i="3"/>
  <c r="P380" i="3"/>
  <c r="P806" i="3"/>
  <c r="P480" i="3"/>
  <c r="P1008" i="3"/>
  <c r="P343" i="3"/>
  <c r="P595" i="3"/>
  <c r="P734" i="3"/>
  <c r="P656" i="3"/>
  <c r="P688" i="3"/>
  <c r="P883" i="3"/>
  <c r="P436" i="3"/>
  <c r="P715" i="3"/>
  <c r="P219" i="3"/>
  <c r="P435" i="3"/>
  <c r="P772" i="3"/>
  <c r="P559" i="3"/>
  <c r="P566" i="3"/>
  <c r="P103" i="3"/>
  <c r="P768" i="3"/>
  <c r="P897" i="3"/>
  <c r="P330" i="3"/>
  <c r="P666" i="3"/>
  <c r="P52" i="3"/>
  <c r="P382" i="3"/>
  <c r="P607" i="3"/>
  <c r="P98" i="3"/>
  <c r="P451" i="3"/>
  <c r="P398" i="3"/>
  <c r="P633" i="3"/>
  <c r="P754" i="3"/>
  <c r="P57" i="3"/>
  <c r="P894" i="3"/>
  <c r="P216" i="3"/>
  <c r="P551" i="3"/>
  <c r="P638" i="3"/>
  <c r="P455" i="3"/>
  <c r="K93" i="3"/>
  <c r="L93" i="3" s="1"/>
  <c r="M560" i="3"/>
  <c r="M685" i="3"/>
  <c r="M313" i="3"/>
  <c r="M1006" i="3"/>
  <c r="M925" i="3"/>
  <c r="M579" i="3"/>
  <c r="M85" i="3"/>
  <c r="M709" i="3"/>
  <c r="M863" i="3"/>
  <c r="M975" i="3"/>
  <c r="M11" i="3"/>
  <c r="M552" i="3"/>
  <c r="K560" i="3"/>
  <c r="K11" i="3"/>
  <c r="L11" i="3" s="1"/>
  <c r="K444" i="3"/>
  <c r="L444" i="3" s="1"/>
  <c r="L67" i="3"/>
  <c r="K627" i="3"/>
  <c r="L627" i="3" s="1"/>
  <c r="P93" i="3"/>
  <c r="K556" i="3"/>
  <c r="L59" i="3"/>
  <c r="K642" i="3"/>
  <c r="L642" i="3" s="1"/>
  <c r="K313" i="3"/>
  <c r="L313" i="3" s="1"/>
  <c r="P789" i="3"/>
  <c r="P525" i="3"/>
  <c r="K605" i="3"/>
  <c r="L605" i="3" s="1"/>
  <c r="L1029" i="3"/>
  <c r="O954" i="3"/>
  <c r="O395" i="3"/>
  <c r="O69" i="3"/>
  <c r="M93" i="3"/>
  <c r="M810" i="3"/>
  <c r="L245" i="3"/>
  <c r="K663" i="3"/>
  <c r="P674" i="3"/>
  <c r="K1029" i="3"/>
  <c r="O975" i="3"/>
  <c r="M954" i="3"/>
  <c r="M263" i="3"/>
  <c r="M294" i="3"/>
  <c r="M493" i="3"/>
  <c r="M663" i="3"/>
  <c r="M157" i="3"/>
  <c r="M620" i="3"/>
  <c r="M333" i="3"/>
  <c r="M119" i="3"/>
  <c r="K67" i="3"/>
  <c r="P11" i="3"/>
  <c r="K552" i="3"/>
  <c r="L552" i="3" s="1"/>
  <c r="K38" i="3"/>
  <c r="K59" i="3"/>
  <c r="K579" i="3"/>
  <c r="L954" i="3"/>
  <c r="K112" i="3"/>
  <c r="K572" i="3"/>
  <c r="K620" i="3"/>
  <c r="L620" i="3" s="1"/>
  <c r="L572" i="3"/>
  <c r="L560" i="3"/>
  <c r="P642" i="3"/>
  <c r="K740" i="3"/>
  <c r="L740" i="3" s="1"/>
  <c r="L85" i="3"/>
  <c r="K555" i="3"/>
  <c r="L555" i="3" s="1"/>
  <c r="P403" i="3"/>
  <c r="K468" i="3"/>
  <c r="P605" i="3"/>
  <c r="L716" i="3"/>
  <c r="L709" i="3"/>
  <c r="O807" i="3"/>
  <c r="P764" i="3"/>
  <c r="K403" i="3"/>
  <c r="L403" i="3" s="1"/>
  <c r="M572" i="3"/>
  <c r="M797" i="3"/>
  <c r="M608" i="3"/>
  <c r="M949" i="3"/>
  <c r="M574" i="3"/>
  <c r="M69" i="3"/>
  <c r="M671" i="3"/>
  <c r="M533" i="3"/>
  <c r="K236" i="3"/>
  <c r="L236" i="3" s="1"/>
  <c r="L664" i="3"/>
  <c r="K608" i="3"/>
  <c r="L608" i="3" s="1"/>
  <c r="K855" i="3"/>
  <c r="L855" i="3" s="1"/>
  <c r="L835" i="3"/>
  <c r="P627" i="3"/>
  <c r="P740" i="3"/>
  <c r="K263" i="3"/>
  <c r="L263" i="3" s="1"/>
  <c r="P313" i="3"/>
  <c r="P555" i="3"/>
  <c r="L468" i="3"/>
  <c r="K119" i="3"/>
  <c r="K716" i="3"/>
  <c r="K284" i="3"/>
  <c r="L284" i="3" s="1"/>
  <c r="M236" i="3"/>
  <c r="K206" i="3"/>
  <c r="L206" i="3" s="1"/>
  <c r="P560" i="3"/>
  <c r="K143" i="3"/>
  <c r="L143" i="3" s="1"/>
  <c r="K580" i="3"/>
  <c r="L119" i="3"/>
  <c r="P284" i="3"/>
  <c r="M722" i="3"/>
  <c r="M525" i="3"/>
  <c r="L722" i="3"/>
  <c r="K810" i="3"/>
  <c r="L810" i="3" s="1"/>
  <c r="L153" i="3"/>
  <c r="M38" i="3"/>
  <c r="M444" i="3"/>
  <c r="M571" i="3"/>
  <c r="P206" i="3"/>
  <c r="K980" i="3"/>
  <c r="L980" i="3" s="1"/>
  <c r="K157" i="3"/>
  <c r="P980" i="3"/>
  <c r="K949" i="3"/>
  <c r="L38" i="3"/>
  <c r="L366" i="3"/>
  <c r="K294" i="3"/>
  <c r="L294" i="3" s="1"/>
  <c r="P652" i="3"/>
  <c r="L580" i="3"/>
  <c r="K571" i="3"/>
  <c r="L571" i="3" s="1"/>
  <c r="O366" i="3"/>
  <c r="O533" i="3"/>
  <c r="M789" i="3"/>
  <c r="K789" i="3"/>
  <c r="L789" i="3" s="1"/>
  <c r="P236" i="3"/>
  <c r="P552" i="3"/>
  <c r="P263" i="3"/>
  <c r="M573" i="3"/>
  <c r="M487" i="3"/>
  <c r="M366" i="3"/>
  <c r="M642" i="3"/>
  <c r="M143" i="3"/>
  <c r="M555" i="3"/>
  <c r="M403" i="3"/>
  <c r="M605" i="3"/>
  <c r="M206" i="3"/>
  <c r="M67" i="3"/>
  <c r="M59" i="3"/>
  <c r="M47" i="3"/>
  <c r="M112" i="3"/>
  <c r="M556" i="3"/>
  <c r="M468" i="3"/>
  <c r="M284" i="3"/>
  <c r="M1029" i="3"/>
  <c r="K221" i="3"/>
  <c r="K797" i="3"/>
  <c r="K658" i="3"/>
  <c r="K835" i="3"/>
  <c r="K925" i="3"/>
  <c r="L925" i="3" s="1"/>
  <c r="K277" i="3"/>
  <c r="L277" i="3" s="1"/>
  <c r="P294" i="3"/>
  <c r="P810" i="3"/>
  <c r="K574" i="3"/>
  <c r="K153" i="3"/>
  <c r="L157" i="3"/>
  <c r="L579" i="3"/>
  <c r="K333" i="3"/>
  <c r="L333" i="3" s="1"/>
  <c r="P143" i="3"/>
  <c r="K409" i="3"/>
  <c r="K671" i="3"/>
  <c r="P571" i="3"/>
  <c r="M395" i="3"/>
  <c r="M277" i="3"/>
  <c r="M604" i="3"/>
  <c r="M249" i="3"/>
  <c r="M807" i="3"/>
  <c r="M640" i="3"/>
  <c r="K453" i="3"/>
  <c r="L453" i="3" s="1"/>
  <c r="P277" i="3"/>
  <c r="L167" i="3"/>
  <c r="L909" i="3"/>
  <c r="O249" i="3"/>
  <c r="O331" i="3"/>
  <c r="M22" i="3"/>
  <c r="M312" i="3"/>
  <c r="M879" i="3"/>
  <c r="M167" i="3"/>
  <c r="M544" i="3"/>
  <c r="K191" i="3"/>
  <c r="L156" i="3"/>
  <c r="P588" i="3"/>
  <c r="K406" i="3"/>
  <c r="L406" i="3" s="1"/>
  <c r="L413" i="3"/>
  <c r="K452" i="3"/>
  <c r="L452" i="3" s="1"/>
  <c r="P22" i="3"/>
  <c r="L191" i="3"/>
  <c r="P429" i="3"/>
  <c r="L581" i="3"/>
  <c r="L249" i="3"/>
  <c r="O463" i="3"/>
  <c r="M406" i="3"/>
  <c r="M461" i="3"/>
  <c r="M331" i="3"/>
  <c r="L697" i="3"/>
  <c r="K413" i="3"/>
  <c r="K454" i="3"/>
  <c r="L454" i="3" s="1"/>
  <c r="P406" i="3"/>
  <c r="P452" i="3"/>
  <c r="K604" i="3"/>
  <c r="L604" i="3" s="1"/>
  <c r="L116" i="3"/>
  <c r="K327" i="3"/>
  <c r="L327" i="3" s="1"/>
  <c r="K544" i="3"/>
  <c r="L544" i="3" s="1"/>
  <c r="O871" i="3"/>
  <c r="M454" i="3"/>
  <c r="M697" i="3"/>
  <c r="K156" i="3"/>
  <c r="K594" i="3"/>
  <c r="K863" i="3"/>
  <c r="L863" i="3" s="1"/>
  <c r="K640" i="3"/>
  <c r="L640" i="3" s="1"/>
  <c r="K461" i="3"/>
  <c r="L461" i="3" s="1"/>
  <c r="K588" i="3"/>
  <c r="L588" i="3" s="1"/>
  <c r="K957" i="3"/>
  <c r="P454" i="3"/>
  <c r="L395" i="3"/>
  <c r="K229" i="3"/>
  <c r="L229" i="3" s="1"/>
  <c r="L871" i="3"/>
  <c r="P312" i="3"/>
  <c r="P327" i="3"/>
  <c r="P544" i="3"/>
  <c r="M931" i="3"/>
  <c r="M156" i="3"/>
  <c r="M871" i="3"/>
  <c r="M611" i="3"/>
  <c r="M909" i="3"/>
  <c r="L807" i="3"/>
  <c r="K931" i="3"/>
  <c r="L931" i="3" s="1"/>
  <c r="P604" i="3"/>
  <c r="L145" i="3"/>
  <c r="L611" i="3"/>
  <c r="L463" i="3"/>
  <c r="K879" i="3"/>
  <c r="M463" i="3"/>
  <c r="M583" i="3"/>
  <c r="M935" i="3"/>
  <c r="M578" i="3"/>
  <c r="L578" i="3"/>
  <c r="P863" i="3"/>
  <c r="P640" i="3"/>
  <c r="P461" i="3"/>
  <c r="K956" i="3"/>
  <c r="P931" i="3"/>
  <c r="K429" i="3"/>
  <c r="L429" i="3" s="1"/>
  <c r="K935" i="3"/>
  <c r="L935" i="3" s="1"/>
  <c r="K331" i="3"/>
  <c r="L331" i="3" s="1"/>
  <c r="O578" i="3"/>
  <c r="O697" i="3"/>
  <c r="M588" i="3"/>
  <c r="M429" i="3"/>
  <c r="M327" i="3"/>
  <c r="M25" i="3"/>
  <c r="K312" i="3"/>
  <c r="L312" i="3" s="1"/>
  <c r="K581" i="3"/>
  <c r="L594" i="3"/>
  <c r="P935" i="3"/>
  <c r="L879" i="3"/>
  <c r="K25" i="3"/>
  <c r="M436" i="3"/>
  <c r="L725" i="3"/>
  <c r="P7" i="3"/>
  <c r="P391" i="3"/>
  <c r="L39" i="3"/>
  <c r="P653" i="3"/>
  <c r="K129" i="3"/>
  <c r="L129" i="3" s="1"/>
  <c r="P558" i="3"/>
  <c r="K301" i="3"/>
  <c r="K111" i="3"/>
  <c r="O592" i="3"/>
  <c r="O1004" i="3"/>
  <c r="O158" i="3"/>
  <c r="O78" i="3"/>
  <c r="M117" i="3"/>
  <c r="K735" i="3"/>
  <c r="K831" i="3"/>
  <c r="L831" i="3" s="1"/>
  <c r="M470" i="3"/>
  <c r="M279" i="3"/>
  <c r="M869" i="3"/>
  <c r="K19" i="3"/>
  <c r="K628" i="3"/>
  <c r="K965" i="3"/>
  <c r="K846" i="3"/>
  <c r="P877" i="3"/>
  <c r="P54" i="3"/>
  <c r="P933" i="3"/>
  <c r="K9" i="3"/>
  <c r="L9" i="3" s="1"/>
  <c r="K919" i="3"/>
  <c r="L919" i="3" s="1"/>
  <c r="L684" i="3"/>
  <c r="P598" i="3"/>
  <c r="K791" i="3"/>
  <c r="L791" i="3" s="1"/>
  <c r="P129" i="3"/>
  <c r="K109" i="3"/>
  <c r="L109" i="3" s="1"/>
  <c r="O946" i="3"/>
  <c r="O414" i="3"/>
  <c r="K546" i="3"/>
  <c r="O311" i="3"/>
  <c r="M39" i="3"/>
  <c r="M919" i="3"/>
  <c r="P220" i="3"/>
  <c r="P628" i="3"/>
  <c r="M550" i="3"/>
  <c r="M725" i="3"/>
  <c r="M948" i="3"/>
  <c r="M951" i="3"/>
  <c r="M158" i="3"/>
  <c r="M877" i="3"/>
  <c r="M546" i="3"/>
  <c r="M995" i="3"/>
  <c r="M324" i="3"/>
  <c r="M303" i="3"/>
  <c r="M676" i="3"/>
  <c r="M653" i="3"/>
  <c r="M247" i="3"/>
  <c r="M78" i="3"/>
  <c r="M986" i="3"/>
  <c r="M233" i="3"/>
  <c r="K465" i="3"/>
  <c r="K172" i="3"/>
  <c r="L172" i="3" s="1"/>
  <c r="L885" i="3"/>
  <c r="L158" i="3"/>
  <c r="K211" i="3"/>
  <c r="L211" i="3" s="1"/>
  <c r="K732" i="3"/>
  <c r="L732" i="3" s="1"/>
  <c r="L357" i="3"/>
  <c r="L481" i="3"/>
  <c r="P9" i="3"/>
  <c r="K315" i="3"/>
  <c r="P109" i="3"/>
  <c r="O367" i="3"/>
  <c r="O1010" i="3"/>
  <c r="M414" i="3"/>
  <c r="M1004" i="3"/>
  <c r="M465" i="3"/>
  <c r="M732" i="3"/>
  <c r="M7" i="3"/>
  <c r="M325" i="3"/>
  <c r="M391" i="3"/>
  <c r="M231" i="3"/>
  <c r="M129" i="3"/>
  <c r="M396" i="3"/>
  <c r="M109" i="3"/>
  <c r="L959" i="3"/>
  <c r="K275" i="3"/>
  <c r="L275" i="3" s="1"/>
  <c r="L703" i="3"/>
  <c r="K102" i="3"/>
  <c r="L102" i="3" s="1"/>
  <c r="L367" i="3"/>
  <c r="K39" i="3"/>
  <c r="K377" i="3"/>
  <c r="K293" i="3"/>
  <c r="L293" i="3" s="1"/>
  <c r="K325" i="3"/>
  <c r="K711" i="3"/>
  <c r="K485" i="3"/>
  <c r="L485" i="3" s="1"/>
  <c r="L31" i="3"/>
  <c r="K737" i="3"/>
  <c r="L737" i="3" s="1"/>
  <c r="L711" i="3"/>
  <c r="L383" i="3"/>
  <c r="K117" i="3"/>
  <c r="L117" i="3" s="1"/>
  <c r="L254" i="3"/>
  <c r="K445" i="3"/>
  <c r="L445" i="3" s="1"/>
  <c r="K437" i="3"/>
  <c r="L437" i="3" s="1"/>
  <c r="L231" i="3"/>
  <c r="K279" i="3"/>
  <c r="L279" i="3" s="1"/>
  <c r="K233" i="3"/>
  <c r="M965" i="3"/>
  <c r="K946" i="3"/>
  <c r="M315" i="3"/>
  <c r="K303" i="3"/>
  <c r="L303" i="3" s="1"/>
  <c r="M239" i="3"/>
  <c r="M959" i="3"/>
  <c r="M220" i="3"/>
  <c r="M735" i="3"/>
  <c r="M19" i="3"/>
  <c r="M477" i="3"/>
  <c r="M335" i="3"/>
  <c r="M9" i="3"/>
  <c r="M211" i="3"/>
  <c r="M991" i="3"/>
  <c r="K209" i="3"/>
  <c r="L209" i="3" s="1"/>
  <c r="P172" i="3"/>
  <c r="P275" i="3"/>
  <c r="K885" i="3"/>
  <c r="L414" i="3"/>
  <c r="K653" i="3"/>
  <c r="L653" i="3" s="1"/>
  <c r="L377" i="3"/>
  <c r="L324" i="3"/>
  <c r="P737" i="3"/>
  <c r="K140" i="3"/>
  <c r="L140" i="3" s="1"/>
  <c r="P503" i="3"/>
  <c r="P732" i="3"/>
  <c r="P117" i="3"/>
  <c r="P209" i="3"/>
  <c r="P247" i="3"/>
  <c r="P445" i="3"/>
  <c r="P437" i="3"/>
  <c r="L315" i="3"/>
  <c r="K436" i="3"/>
  <c r="L436" i="3" s="1"/>
  <c r="L821" i="3"/>
  <c r="L233" i="3"/>
  <c r="O725" i="3"/>
  <c r="K54" i="3"/>
  <c r="L54" i="3" s="1"/>
  <c r="M1010" i="3"/>
  <c r="L991" i="3"/>
  <c r="P61" i="3"/>
  <c r="K1010" i="3"/>
  <c r="L301" i="3"/>
  <c r="L111" i="3"/>
  <c r="M946" i="3"/>
  <c r="M31" i="3"/>
  <c r="M61" i="3"/>
  <c r="M711" i="3"/>
  <c r="M209" i="3"/>
  <c r="M421" i="3"/>
  <c r="M598" i="3"/>
  <c r="M733" i="3"/>
  <c r="M301" i="3"/>
  <c r="M889" i="3"/>
  <c r="M111" i="3"/>
  <c r="M172" i="3"/>
  <c r="M275" i="3"/>
  <c r="K324" i="3"/>
  <c r="K834" i="3"/>
  <c r="K991" i="3"/>
  <c r="L592" i="3"/>
  <c r="P102" i="3"/>
  <c r="K877" i="3"/>
  <c r="L877" i="3" s="1"/>
  <c r="K421" i="3"/>
  <c r="L995" i="3"/>
  <c r="L465" i="3"/>
  <c r="P293" i="3"/>
  <c r="K231" i="3"/>
  <c r="K383" i="3"/>
  <c r="K335" i="3"/>
  <c r="L335" i="3" s="1"/>
  <c r="P968" i="3"/>
  <c r="P140" i="3"/>
  <c r="L550" i="3"/>
  <c r="P303" i="3"/>
  <c r="K391" i="3"/>
  <c r="L391" i="3" s="1"/>
  <c r="K684" i="3"/>
  <c r="P919" i="3"/>
  <c r="K57" i="3"/>
  <c r="L57" i="3" s="1"/>
  <c r="P279" i="3"/>
  <c r="K781" i="3"/>
  <c r="L781" i="3" s="1"/>
  <c r="K558" i="3"/>
  <c r="L558" i="3" s="1"/>
  <c r="K733" i="3"/>
  <c r="O959" i="3"/>
  <c r="O951" i="3"/>
  <c r="O192" i="2"/>
  <c r="O247" i="2"/>
  <c r="O722" i="3"/>
  <c r="P780" i="3"/>
  <c r="L940" i="3"/>
  <c r="L329" i="3"/>
  <c r="L221" i="3"/>
  <c r="K329" i="3"/>
  <c r="O603" i="3"/>
  <c r="L949" i="3"/>
  <c r="M906" i="3"/>
  <c r="M759" i="3"/>
  <c r="M823" i="3"/>
  <c r="M430" i="3"/>
  <c r="K629" i="3"/>
  <c r="L629" i="3" s="1"/>
  <c r="K84" i="3"/>
  <c r="L823" i="3"/>
  <c r="K897" i="3"/>
  <c r="L897" i="3" s="1"/>
  <c r="P906" i="3"/>
  <c r="K462" i="3"/>
  <c r="K245" i="3"/>
  <c r="L663" i="3"/>
  <c r="L494" i="3"/>
  <c r="L860" i="3"/>
  <c r="K430" i="3"/>
  <c r="L217" i="3"/>
  <c r="L650" i="3"/>
  <c r="K141" i="3"/>
  <c r="L141" i="3" s="1"/>
  <c r="K693" i="3"/>
  <c r="L693" i="3" s="1"/>
  <c r="P908" i="3"/>
  <c r="M462" i="3"/>
  <c r="M126" i="3"/>
  <c r="M245" i="3"/>
  <c r="M308" i="3"/>
  <c r="M292" i="3"/>
  <c r="K107" i="3"/>
  <c r="L447" i="3"/>
  <c r="K589" i="3"/>
  <c r="L589" i="3" s="1"/>
  <c r="K76" i="3"/>
  <c r="P13" i="3"/>
  <c r="K235" i="3"/>
  <c r="K494" i="3"/>
  <c r="L393" i="3"/>
  <c r="L76" i="3"/>
  <c r="L47" i="3"/>
  <c r="K1006" i="3"/>
  <c r="L1006" i="3" s="1"/>
  <c r="L110" i="3"/>
  <c r="K650" i="3"/>
  <c r="P141" i="3"/>
  <c r="K63" i="3"/>
  <c r="P693" i="3"/>
  <c r="O957" i="3"/>
  <c r="O941" i="3"/>
  <c r="M351" i="3"/>
  <c r="M860" i="3"/>
  <c r="M651" i="3"/>
  <c r="M217" i="3"/>
  <c r="M999" i="3"/>
  <c r="M701" i="3"/>
  <c r="M834" i="3"/>
  <c r="M847" i="3"/>
  <c r="M669" i="3"/>
  <c r="M63" i="3"/>
  <c r="M589" i="3"/>
  <c r="P759" i="3"/>
  <c r="P625" i="3"/>
  <c r="K110" i="3"/>
  <c r="L351" i="3"/>
  <c r="K805" i="3"/>
  <c r="L805" i="3" s="1"/>
  <c r="P717" i="3"/>
  <c r="K996" i="3"/>
  <c r="L651" i="3"/>
  <c r="L235" i="3"/>
  <c r="L430" i="3"/>
  <c r="P292" i="3"/>
  <c r="O573" i="3"/>
  <c r="O651" i="3"/>
  <c r="O834" i="3"/>
  <c r="K447" i="3"/>
  <c r="O86" i="3"/>
  <c r="M494" i="3"/>
  <c r="M235" i="3"/>
  <c r="M674" i="3"/>
  <c r="M107" i="3"/>
  <c r="M321" i="3"/>
  <c r="M110" i="3"/>
  <c r="M662" i="3"/>
  <c r="M285" i="3"/>
  <c r="M650" i="3"/>
  <c r="M196" i="3"/>
  <c r="M629" i="3"/>
  <c r="L84" i="3"/>
  <c r="K701" i="3"/>
  <c r="L701" i="3" s="1"/>
  <c r="K1017" i="3"/>
  <c r="L107" i="3"/>
  <c r="K47" i="3"/>
  <c r="L493" i="3"/>
  <c r="P701" i="3"/>
  <c r="K285" i="3"/>
  <c r="L285" i="3" s="1"/>
  <c r="K847" i="3"/>
  <c r="L847" i="3" s="1"/>
  <c r="K669" i="3"/>
  <c r="P55" i="3"/>
  <c r="M309" i="3"/>
  <c r="M13" i="3"/>
  <c r="M492" i="3"/>
  <c r="M804" i="3"/>
  <c r="M687" i="3"/>
  <c r="M908" i="3"/>
  <c r="M941" i="3"/>
  <c r="M467" i="3"/>
  <c r="M625" i="3"/>
  <c r="M133" i="3"/>
  <c r="L804" i="3"/>
  <c r="L941" i="3"/>
  <c r="K86" i="3"/>
  <c r="K687" i="3"/>
  <c r="L687" i="3" s="1"/>
  <c r="K662" i="3"/>
  <c r="K674" i="3"/>
  <c r="L674" i="3" s="1"/>
  <c r="K692" i="3"/>
  <c r="L692" i="3" s="1"/>
  <c r="K308" i="3"/>
  <c r="P805" i="3"/>
  <c r="P1006" i="3"/>
  <c r="P285" i="3"/>
  <c r="L669" i="3"/>
  <c r="K962" i="3"/>
  <c r="K586" i="3"/>
  <c r="L586" i="3" s="1"/>
  <c r="O999" i="3"/>
  <c r="O823" i="3"/>
  <c r="M682" i="3"/>
  <c r="M957" i="3"/>
  <c r="M962" i="3"/>
  <c r="M55" i="3"/>
  <c r="M586" i="3"/>
  <c r="K759" i="3"/>
  <c r="L759" i="3" s="1"/>
  <c r="P629" i="3"/>
  <c r="L467" i="3"/>
  <c r="K133" i="3"/>
  <c r="L133" i="3" s="1"/>
  <c r="K321" i="3"/>
  <c r="L321" i="3" s="1"/>
  <c r="K906" i="3"/>
  <c r="L906" i="3" s="1"/>
  <c r="P687" i="3"/>
  <c r="K393" i="3"/>
  <c r="L126" i="3"/>
  <c r="L999" i="3"/>
  <c r="L308" i="3"/>
  <c r="P847" i="3"/>
  <c r="K196" i="3"/>
  <c r="L962" i="3"/>
  <c r="P586" i="3"/>
  <c r="O467" i="3"/>
  <c r="M897" i="3"/>
  <c r="M86" i="3"/>
  <c r="M393" i="3"/>
  <c r="M996" i="3"/>
  <c r="M692" i="3"/>
  <c r="M805" i="3"/>
  <c r="M76" i="3"/>
  <c r="M141" i="3"/>
  <c r="M693" i="3"/>
  <c r="M84" i="3"/>
  <c r="P133" i="3"/>
  <c r="P321" i="3"/>
  <c r="K860" i="3"/>
  <c r="K13" i="3"/>
  <c r="L13" i="3" s="1"/>
  <c r="K493" i="3"/>
  <c r="K126" i="3"/>
  <c r="P692" i="3"/>
  <c r="L573" i="3"/>
  <c r="L196" i="3"/>
  <c r="K908" i="3"/>
  <c r="L908" i="3" s="1"/>
  <c r="O217" i="3"/>
  <c r="O261" i="3"/>
  <c r="O227" i="3"/>
  <c r="P227" i="3"/>
  <c r="K227" i="3"/>
  <c r="L227" i="3" s="1"/>
  <c r="K563" i="3"/>
  <c r="L563" i="3" s="1"/>
  <c r="O563" i="3"/>
  <c r="O291" i="3"/>
  <c r="M291" i="3"/>
  <c r="O955" i="3"/>
  <c r="M955" i="3"/>
  <c r="L612" i="3"/>
  <c r="M612" i="3"/>
  <c r="K612" i="3"/>
  <c r="O612" i="3"/>
  <c r="O464" i="3"/>
  <c r="M464" i="3"/>
  <c r="O542" i="3"/>
  <c r="K542" i="3"/>
  <c r="L542" i="3" s="1"/>
  <c r="M542" i="3"/>
  <c r="K531" i="3"/>
  <c r="O531" i="3"/>
  <c r="L531" i="3"/>
  <c r="O148" i="3"/>
  <c r="K148" i="3"/>
  <c r="O169" i="3"/>
  <c r="M169" i="3"/>
  <c r="O124" i="3"/>
  <c r="M124" i="3"/>
  <c r="K124" i="3"/>
  <c r="L124" i="3" s="1"/>
  <c r="O657" i="3"/>
  <c r="K657" i="3"/>
  <c r="L657" i="3" s="1"/>
  <c r="M657" i="3"/>
  <c r="O1005" i="3"/>
  <c r="K1005" i="3"/>
  <c r="O139" i="3"/>
  <c r="K139" i="3"/>
  <c r="O420" i="3"/>
  <c r="K420" i="3"/>
  <c r="M420" i="3"/>
  <c r="O189" i="3"/>
  <c r="P189" i="3"/>
  <c r="K189" i="3"/>
  <c r="L189" i="3" s="1"/>
  <c r="O898" i="3"/>
  <c r="K898" i="3"/>
  <c r="L898" i="3" s="1"/>
  <c r="O369" i="3"/>
  <c r="M369" i="3"/>
  <c r="O12" i="3"/>
  <c r="L12" i="3"/>
  <c r="K12" i="3"/>
  <c r="O643" i="3"/>
  <c r="K643" i="3"/>
  <c r="L643" i="3" s="1"/>
  <c r="O616" i="3"/>
  <c r="K616" i="3"/>
  <c r="L616" i="3" s="1"/>
  <c r="O483" i="3"/>
  <c r="L483" i="3"/>
  <c r="K483" i="3"/>
  <c r="O596" i="3"/>
  <c r="K596" i="3"/>
  <c r="L596" i="3" s="1"/>
  <c r="O738" i="3"/>
  <c r="O127" i="3"/>
  <c r="M127" i="3"/>
  <c r="K127" i="3"/>
  <c r="L127" i="3" s="1"/>
  <c r="K892" i="3"/>
  <c r="O892" i="3"/>
  <c r="K938" i="3"/>
  <c r="L938" i="3"/>
  <c r="K373" i="3"/>
  <c r="O373" i="3"/>
  <c r="O507" i="3"/>
  <c r="M507" i="3"/>
  <c r="P507" i="3"/>
  <c r="O97" i="3"/>
  <c r="M596" i="3"/>
  <c r="O938" i="3"/>
  <c r="K786" i="3"/>
  <c r="L786" i="3"/>
  <c r="O786" i="3"/>
  <c r="K635" i="3"/>
  <c r="O635" i="3"/>
  <c r="L635" i="3"/>
  <c r="O660" i="3"/>
  <c r="P660" i="3"/>
  <c r="K660" i="3"/>
  <c r="L660" i="3" s="1"/>
  <c r="M660" i="3"/>
  <c r="O309" i="3"/>
  <c r="L309" i="3"/>
  <c r="O230" i="3"/>
  <c r="M230" i="3"/>
  <c r="K230" i="3"/>
  <c r="L230" i="3" s="1"/>
  <c r="O492" i="3"/>
  <c r="L492" i="3"/>
  <c r="O527" i="3"/>
  <c r="K527" i="3"/>
  <c r="M527" i="3"/>
  <c r="K749" i="3"/>
  <c r="L749" i="3"/>
  <c r="O916" i="3"/>
  <c r="K916" i="3"/>
  <c r="L916" i="3" s="1"/>
  <c r="O101" i="3"/>
  <c r="M101" i="3"/>
  <c r="K101" i="3"/>
  <c r="L101" i="3" s="1"/>
  <c r="M261" i="3"/>
  <c r="O836" i="3"/>
  <c r="M836" i="3"/>
  <c r="O1012" i="3"/>
  <c r="L1012" i="3"/>
  <c r="O813" i="3"/>
  <c r="K813" i="3"/>
  <c r="L813" i="3" s="1"/>
  <c r="O177" i="3"/>
  <c r="M177" i="3"/>
  <c r="K177" i="3"/>
  <c r="L177" i="3" s="1"/>
  <c r="O286" i="3"/>
  <c r="K286" i="3"/>
  <c r="M286" i="3"/>
  <c r="O145" i="3"/>
  <c r="K145" i="3"/>
  <c r="O253" i="3"/>
  <c r="K253" i="3"/>
  <c r="L253" i="3"/>
  <c r="M253" i="3"/>
  <c r="K92" i="3"/>
  <c r="L92" i="3"/>
  <c r="M92" i="3"/>
  <c r="O655" i="3"/>
  <c r="M655" i="3"/>
  <c r="L655" i="3"/>
  <c r="O358" i="3"/>
  <c r="K358" i="3"/>
  <c r="L358" i="3" s="1"/>
  <c r="O855" i="3"/>
  <c r="P855" i="3"/>
  <c r="O181" i="3"/>
  <c r="K181" i="3"/>
  <c r="L181" i="3" s="1"/>
  <c r="M181" i="3"/>
  <c r="O348" i="3"/>
  <c r="L348" i="3"/>
  <c r="K348" i="3"/>
  <c r="O51" i="3"/>
  <c r="M51" i="3"/>
  <c r="K770" i="3"/>
  <c r="O770" i="3"/>
  <c r="L770" i="3"/>
  <c r="O972" i="3"/>
  <c r="L972" i="3"/>
  <c r="M972" i="3"/>
  <c r="O637" i="3"/>
  <c r="L637" i="3"/>
  <c r="M637" i="3"/>
  <c r="K526" i="3"/>
  <c r="O526" i="3"/>
  <c r="M526" i="3"/>
  <c r="O983" i="3"/>
  <c r="P983" i="3"/>
  <c r="K983" i="3"/>
  <c r="L983" i="3" s="1"/>
  <c r="O970" i="3"/>
  <c r="K970" i="3"/>
  <c r="O600" i="3"/>
  <c r="M600" i="3"/>
  <c r="L600" i="3"/>
  <c r="O649" i="3"/>
  <c r="P649" i="3"/>
  <c r="M649" i="3"/>
  <c r="K649" i="3"/>
  <c r="L649" i="3" s="1"/>
  <c r="O342" i="3"/>
  <c r="M342" i="3"/>
  <c r="P342" i="3"/>
  <c r="K425" i="3"/>
  <c r="O425" i="3"/>
  <c r="O516" i="3"/>
  <c r="M516" i="3"/>
  <c r="K516" i="3"/>
  <c r="L516" i="3" s="1"/>
  <c r="O501" i="3"/>
  <c r="K501" i="3"/>
  <c r="L501" i="3" s="1"/>
  <c r="M501" i="3"/>
  <c r="O746" i="3"/>
  <c r="M746" i="3"/>
  <c r="K792" i="3"/>
  <c r="L792" i="3"/>
  <c r="O792" i="3"/>
  <c r="M792" i="3"/>
  <c r="O554" i="3"/>
  <c r="P554" i="3"/>
  <c r="K576" i="3"/>
  <c r="O576" i="3"/>
  <c r="L576" i="3"/>
  <c r="O453" i="3"/>
  <c r="P453" i="3"/>
  <c r="O4" i="3"/>
  <c r="K4" i="3"/>
  <c r="L4" i="3" s="1"/>
  <c r="K619" i="3"/>
  <c r="L619" i="3"/>
  <c r="M587" i="3"/>
  <c r="O587" i="3"/>
  <c r="M741" i="3"/>
  <c r="M554" i="3"/>
  <c r="L261" i="3"/>
  <c r="K655" i="3"/>
  <c r="L746" i="3"/>
  <c r="K972" i="3"/>
  <c r="K173" i="3"/>
  <c r="L173" i="3" s="1"/>
  <c r="K695" i="3"/>
  <c r="K507" i="3"/>
  <c r="L507" i="3" s="1"/>
  <c r="L955" i="3"/>
  <c r="K587" i="3"/>
  <c r="L587" i="3" s="1"/>
  <c r="L527" i="3"/>
  <c r="K342" i="3"/>
  <c r="L342" i="3" s="1"/>
  <c r="K349" i="3"/>
  <c r="L349" i="3"/>
  <c r="O765" i="3"/>
  <c r="M765" i="3"/>
  <c r="K765" i="3"/>
  <c r="L765" i="3" s="1"/>
  <c r="O837" i="3"/>
  <c r="M837" i="3"/>
  <c r="K837" i="3"/>
  <c r="K1021" i="3"/>
  <c r="O1021" i="3"/>
  <c r="M1021" i="3"/>
  <c r="O449" i="3"/>
  <c r="K449" i="3"/>
  <c r="L449" i="3" s="1"/>
  <c r="M449" i="3"/>
  <c r="K310" i="3"/>
  <c r="L310" i="3" s="1"/>
  <c r="O310" i="3"/>
  <c r="M310" i="3"/>
  <c r="O484" i="3"/>
  <c r="M484" i="3"/>
  <c r="O198" i="3"/>
  <c r="K198" i="3"/>
  <c r="L198" i="3" s="1"/>
  <c r="M198" i="3"/>
  <c r="O180" i="3"/>
  <c r="K180" i="3"/>
  <c r="L180" i="3" s="1"/>
  <c r="O536" i="3"/>
  <c r="K536" i="3"/>
  <c r="L536" i="3" s="1"/>
  <c r="O205" i="3"/>
  <c r="L205" i="3"/>
  <c r="K478" i="3"/>
  <c r="O478" i="3"/>
  <c r="L478" i="3"/>
  <c r="O495" i="3"/>
  <c r="M495" i="3"/>
  <c r="O372" i="3"/>
  <c r="O659" i="3"/>
  <c r="L659" i="3"/>
  <c r="K659" i="3"/>
  <c r="O884" i="3"/>
  <c r="K884" i="3"/>
  <c r="L884" i="3" s="1"/>
  <c r="O524" i="3"/>
  <c r="M524" i="3"/>
  <c r="K524" i="3"/>
  <c r="O967" i="3"/>
  <c r="K967" i="3"/>
  <c r="O411" i="3"/>
  <c r="K411" i="3"/>
  <c r="M411" i="3"/>
  <c r="O874" i="3"/>
  <c r="M874" i="3"/>
  <c r="K874" i="3"/>
  <c r="O123" i="3"/>
  <c r="K123" i="3"/>
  <c r="O714" i="3"/>
  <c r="K714" i="3"/>
  <c r="L714" i="3" s="1"/>
  <c r="O353" i="3"/>
  <c r="L353" i="3"/>
  <c r="O5" i="3"/>
  <c r="L5" i="3"/>
  <c r="O826" i="3"/>
  <c r="K826" i="3"/>
  <c r="L826" i="3" s="1"/>
  <c r="O634" i="3"/>
  <c r="K634" i="3"/>
  <c r="L634" i="3" s="1"/>
  <c r="M634" i="3"/>
  <c r="K203" i="3"/>
  <c r="L203" i="3"/>
  <c r="O203" i="3"/>
  <c r="K992" i="3"/>
  <c r="O992" i="3"/>
  <c r="K204" i="3"/>
  <c r="M204" i="3"/>
  <c r="O204" i="3"/>
  <c r="L204" i="3"/>
  <c r="O577" i="3"/>
  <c r="L577" i="3"/>
  <c r="K577" i="3"/>
  <c r="O381" i="3"/>
  <c r="P381" i="3"/>
  <c r="O375" i="3"/>
  <c r="L375" i="3"/>
  <c r="O491" i="3"/>
  <c r="K491" i="3"/>
  <c r="L491" i="3"/>
  <c r="O777" i="3"/>
  <c r="K777" i="3"/>
  <c r="L777" i="3" s="1"/>
  <c r="K374" i="3"/>
  <c r="L374" i="3"/>
  <c r="O374" i="3"/>
  <c r="K239" i="3"/>
  <c r="O239" i="3"/>
  <c r="O831" i="3"/>
  <c r="O901" i="3"/>
  <c r="K901" i="3"/>
  <c r="L901" i="3" s="1"/>
  <c r="O932" i="3"/>
  <c r="O108" i="3"/>
  <c r="M108" i="3"/>
  <c r="K108" i="3"/>
  <c r="L108" i="3" s="1"/>
  <c r="O267" i="3"/>
  <c r="K267" i="3"/>
  <c r="M267" i="3"/>
  <c r="L267" i="3"/>
  <c r="O46" i="3"/>
  <c r="M46" i="3"/>
  <c r="M173" i="3"/>
  <c r="M749" i="3"/>
  <c r="M981" i="3"/>
  <c r="M348" i="3"/>
  <c r="M892" i="3"/>
  <c r="L892" i="3"/>
  <c r="P173" i="3"/>
  <c r="L373" i="3"/>
  <c r="K637" i="3"/>
  <c r="P587" i="3"/>
  <c r="P596" i="3"/>
  <c r="O509" i="3"/>
  <c r="P509" i="3"/>
  <c r="M509" i="3"/>
  <c r="K509" i="3"/>
  <c r="L509" i="3" s="1"/>
  <c r="K981" i="3"/>
  <c r="L981" i="3" s="1"/>
  <c r="P981" i="3"/>
  <c r="K836" i="3"/>
  <c r="L836" i="3" s="1"/>
  <c r="O619" i="3"/>
  <c r="O199" i="3"/>
  <c r="L199" i="3"/>
  <c r="O615" i="3"/>
  <c r="L615" i="3"/>
  <c r="K615" i="3"/>
  <c r="O815" i="3"/>
  <c r="O379" i="3"/>
  <c r="M379" i="3"/>
  <c r="K120" i="3"/>
  <c r="L120" i="3" s="1"/>
  <c r="O120" i="3"/>
  <c r="O229" i="3"/>
  <c r="M229" i="3"/>
  <c r="M299" i="3"/>
  <c r="O299" i="3"/>
  <c r="K299" i="3"/>
  <c r="L299" i="3" s="1"/>
  <c r="K566" i="3"/>
  <c r="L566" i="3" s="1"/>
  <c r="M566" i="3"/>
  <c r="O547" i="3"/>
  <c r="P444" i="3"/>
  <c r="M969" i="3"/>
  <c r="M1025" i="3"/>
  <c r="M757" i="3"/>
  <c r="M260" i="3"/>
  <c r="M215" i="3"/>
  <c r="M829" i="3"/>
  <c r="M821" i="3"/>
  <c r="M748" i="3"/>
  <c r="K422" i="3"/>
  <c r="L422" i="3" s="1"/>
  <c r="K334" i="3"/>
  <c r="L334" i="3" s="1"/>
  <c r="L295" i="3"/>
  <c r="K923" i="3"/>
  <c r="K470" i="3"/>
  <c r="L161" i="3"/>
  <c r="K364" i="3"/>
  <c r="L364" i="3" s="1"/>
  <c r="L148" i="3"/>
  <c r="L238" i="3"/>
  <c r="L829" i="3"/>
  <c r="L409" i="3"/>
  <c r="L81" i="3"/>
  <c r="O695" i="3"/>
  <c r="O923" i="3"/>
  <c r="O1007" i="3"/>
  <c r="O540" i="3"/>
  <c r="M1007" i="3"/>
  <c r="M238" i="3"/>
  <c r="M81" i="3"/>
  <c r="M343" i="3"/>
  <c r="M422" i="3"/>
  <c r="M334" i="3"/>
  <c r="K37" i="3"/>
  <c r="K984" i="3"/>
  <c r="L984" i="3" s="1"/>
  <c r="K20" i="3"/>
  <c r="K318" i="3"/>
  <c r="L318" i="3" s="1"/>
  <c r="P485" i="3"/>
  <c r="L20" i="3"/>
  <c r="K1025" i="3"/>
  <c r="L1025" i="3" s="1"/>
  <c r="K169" i="3"/>
  <c r="L169" i="3" s="1"/>
  <c r="K215" i="3"/>
  <c r="L470" i="3"/>
  <c r="L215" i="3"/>
  <c r="K43" i="3"/>
  <c r="L43" i="3" s="1"/>
  <c r="K289" i="3"/>
  <c r="K401" i="3"/>
  <c r="L401" i="3" s="1"/>
  <c r="K889" i="3"/>
  <c r="O273" i="3"/>
  <c r="O318" i="3"/>
  <c r="O804" i="3"/>
  <c r="O602" i="3"/>
  <c r="O473" i="3"/>
  <c r="O969" i="3"/>
  <c r="M182" i="3"/>
  <c r="M923" i="3"/>
  <c r="M161" i="3"/>
  <c r="M97" i="3"/>
  <c r="M135" i="3"/>
  <c r="M350" i="3"/>
  <c r="M602" i="3"/>
  <c r="M661" i="3"/>
  <c r="K757" i="3"/>
  <c r="K645" i="3"/>
  <c r="L645" i="3" s="1"/>
  <c r="P334" i="3"/>
  <c r="L820" i="3"/>
  <c r="P1013" i="3"/>
  <c r="K345" i="3"/>
  <c r="L345" i="3" s="1"/>
  <c r="K132" i="3"/>
  <c r="L132" i="3" s="1"/>
  <c r="L963" i="3"/>
  <c r="P169" i="3"/>
  <c r="K238" i="3"/>
  <c r="P364" i="3"/>
  <c r="P43" i="3"/>
  <c r="L289" i="3"/>
  <c r="P401" i="3"/>
  <c r="L889" i="3"/>
  <c r="K396" i="3"/>
  <c r="O349" i="3"/>
  <c r="O748" i="3"/>
  <c r="O973" i="3"/>
  <c r="O996" i="3"/>
  <c r="M497" i="3"/>
  <c r="M345" i="3"/>
  <c r="M700" i="3"/>
  <c r="M695" i="3"/>
  <c r="M658" i="3"/>
  <c r="M255" i="3"/>
  <c r="M318" i="3"/>
  <c r="M349" i="3"/>
  <c r="M673" i="3"/>
  <c r="M409" i="3"/>
  <c r="M984" i="3"/>
  <c r="K673" i="3"/>
  <c r="L673" i="3" s="1"/>
  <c r="K963" i="3"/>
  <c r="K661" i="3"/>
  <c r="L661" i="3" s="1"/>
  <c r="P645" i="3"/>
  <c r="P984" i="3"/>
  <c r="P345" i="3"/>
  <c r="P132" i="3"/>
  <c r="K700" i="3"/>
  <c r="L700" i="3" s="1"/>
  <c r="P1025" i="3"/>
  <c r="K718" i="3"/>
  <c r="L718" i="3" s="1"/>
  <c r="L396" i="3"/>
  <c r="O611" i="3"/>
  <c r="O255" i="3"/>
  <c r="M289" i="3"/>
  <c r="K475" i="3"/>
  <c r="L475" i="3" s="1"/>
  <c r="L748" i="3"/>
  <c r="K350" i="3"/>
  <c r="L350" i="3" s="1"/>
  <c r="K182" i="3"/>
  <c r="L182" i="3" s="1"/>
  <c r="K188" i="3"/>
  <c r="L188" i="3" s="1"/>
  <c r="L602" i="3"/>
  <c r="P350" i="3"/>
  <c r="K900" i="3"/>
  <c r="L900" i="3" s="1"/>
  <c r="K788" i="3"/>
  <c r="L788" i="3" s="1"/>
  <c r="P718" i="3"/>
  <c r="O820" i="3"/>
  <c r="O497" i="3"/>
  <c r="O161" i="3"/>
  <c r="M613" i="3"/>
  <c r="M788" i="3"/>
  <c r="K443" i="3"/>
  <c r="L443" i="3" s="1"/>
  <c r="M1013" i="3"/>
  <c r="M475" i="3"/>
  <c r="M485" i="3"/>
  <c r="M963" i="3"/>
  <c r="M717" i="3"/>
  <c r="M20" i="3"/>
  <c r="M364" i="3"/>
  <c r="M1017" i="3"/>
  <c r="P661" i="3"/>
  <c r="L135" i="3"/>
  <c r="K1013" i="3"/>
  <c r="L1013" i="3" s="1"/>
  <c r="P475" i="3"/>
  <c r="P700" i="3"/>
  <c r="K97" i="3"/>
  <c r="L97" i="3" s="1"/>
  <c r="K717" i="3"/>
  <c r="L717" i="3" s="1"/>
  <c r="K497" i="3"/>
  <c r="L497" i="3" s="1"/>
  <c r="L332" i="3"/>
  <c r="P188" i="3"/>
  <c r="K511" i="3"/>
  <c r="L511" i="3" s="1"/>
  <c r="P900" i="3"/>
  <c r="L685" i="3"/>
  <c r="L613" i="3"/>
  <c r="P788" i="3"/>
  <c r="K125" i="3"/>
  <c r="O487" i="3"/>
  <c r="L965" i="3"/>
  <c r="L658" i="3"/>
  <c r="M989" i="3"/>
  <c r="M820" i="3"/>
  <c r="M332" i="3"/>
  <c r="M188" i="3"/>
  <c r="M900" i="3"/>
  <c r="M148" i="3"/>
  <c r="M846" i="3"/>
  <c r="M911" i="3"/>
  <c r="M43" i="3"/>
  <c r="M973" i="3"/>
  <c r="L846" i="3"/>
  <c r="K911" i="3"/>
  <c r="L911" i="3" s="1"/>
  <c r="K613" i="3"/>
  <c r="K989" i="3"/>
  <c r="L989" i="3" s="1"/>
  <c r="L969" i="3"/>
  <c r="L37" i="3"/>
  <c r="P443" i="3"/>
  <c r="L255" i="3"/>
  <c r="P182" i="3"/>
  <c r="K135" i="3"/>
  <c r="P511" i="3"/>
  <c r="K260" i="3"/>
  <c r="L260" i="3" s="1"/>
  <c r="L757" i="3"/>
  <c r="P260" i="3"/>
  <c r="L1017" i="3"/>
  <c r="K821" i="3"/>
  <c r="L125" i="3"/>
  <c r="K343" i="3"/>
  <c r="L343" i="3" s="1"/>
  <c r="O332" i="3"/>
  <c r="O351" i="3"/>
  <c r="O685" i="3"/>
  <c r="P613" i="3"/>
  <c r="P221" i="3"/>
  <c r="O988" i="3"/>
  <c r="P584" i="3"/>
  <c r="P383" i="3"/>
  <c r="K882" i="3"/>
  <c r="L882" i="3" s="1"/>
  <c r="O882" i="3"/>
  <c r="M41" i="3"/>
  <c r="M882" i="3"/>
  <c r="M147" i="3"/>
  <c r="M522" i="3"/>
  <c r="K390" i="3"/>
  <c r="L325" i="3"/>
  <c r="O295" i="3"/>
  <c r="K295" i="3"/>
  <c r="O664" i="3"/>
  <c r="K664" i="3"/>
  <c r="M719" i="3"/>
  <c r="K41" i="3"/>
  <c r="L75" i="3"/>
  <c r="O53" i="3"/>
  <c r="P869" i="3"/>
  <c r="O869" i="3"/>
  <c r="O703" i="3"/>
  <c r="K703" i="3"/>
  <c r="M956" i="3"/>
  <c r="L956" i="3"/>
  <c r="K359" i="3"/>
  <c r="O621" i="3"/>
  <c r="K621" i="3"/>
  <c r="M75" i="3"/>
  <c r="M985" i="3"/>
  <c r="M390" i="3"/>
  <c r="M359" i="3"/>
  <c r="K719" i="3"/>
  <c r="L719" i="3" s="1"/>
  <c r="P75" i="3"/>
  <c r="K665" i="3"/>
  <c r="L359" i="3"/>
  <c r="O147" i="3"/>
  <c r="O431" i="3"/>
  <c r="K431" i="3"/>
  <c r="O583" i="3"/>
  <c r="L583" i="3"/>
  <c r="O116" i="3"/>
  <c r="K116" i="3"/>
  <c r="L147" i="3"/>
  <c r="K5" i="3"/>
  <c r="L41" i="3"/>
  <c r="L390" i="3"/>
  <c r="K985" i="3"/>
  <c r="L985" i="3" s="1"/>
  <c r="L665" i="3"/>
  <c r="O948" i="3"/>
  <c r="L948" i="3"/>
  <c r="O682" i="3"/>
  <c r="K682" i="3"/>
  <c r="K75" i="3"/>
  <c r="O522" i="3"/>
  <c r="P508" i="3"/>
  <c r="O508" i="3"/>
  <c r="K183" i="3"/>
  <c r="O183" i="3"/>
  <c r="P719" i="3"/>
  <c r="P211" i="3"/>
  <c r="P985" i="3"/>
  <c r="O644" i="3"/>
  <c r="O92" i="3"/>
  <c r="K1012" i="3"/>
  <c r="O741" i="3"/>
  <c r="P412" i="3"/>
  <c r="P937" i="3"/>
  <c r="P328" i="3"/>
  <c r="P33" i="3"/>
  <c r="P885" i="3"/>
  <c r="P528" i="3"/>
  <c r="P261" i="3"/>
  <c r="P843" i="3"/>
  <c r="P758" i="3"/>
  <c r="P835" i="3"/>
  <c r="P1003" i="3"/>
  <c r="P724" i="3"/>
  <c r="P238" i="3"/>
  <c r="P47" i="3"/>
  <c r="P166" i="3"/>
  <c r="P468" i="3"/>
  <c r="P337" i="3"/>
  <c r="P459" i="3"/>
  <c r="P655" i="3"/>
  <c r="P1017" i="3"/>
  <c r="P876" i="3"/>
  <c r="P89" i="3"/>
  <c r="P578" i="3"/>
  <c r="P235" i="3"/>
  <c r="P650" i="3"/>
  <c r="P164" i="3"/>
  <c r="P304" i="3"/>
  <c r="P163" i="3"/>
  <c r="P975" i="3"/>
  <c r="P938" i="3"/>
  <c r="P355" i="3"/>
  <c r="P944" i="3"/>
  <c r="P491" i="3"/>
  <c r="P287" i="3"/>
  <c r="P322" i="3"/>
  <c r="P481" i="3"/>
  <c r="P893" i="3"/>
  <c r="P961" i="3"/>
  <c r="P493" i="3"/>
  <c r="P486" i="3"/>
  <c r="P63" i="3"/>
  <c r="P880" i="3"/>
  <c r="P462" i="3"/>
  <c r="P413" i="3"/>
  <c r="P310" i="3"/>
  <c r="P958" i="3"/>
  <c r="P39" i="3"/>
  <c r="P394" i="3"/>
  <c r="P866" i="3"/>
  <c r="P909" i="3"/>
  <c r="P839" i="3"/>
  <c r="P338" i="3"/>
  <c r="P579" i="3"/>
  <c r="P278" i="3"/>
  <c r="P821" i="3"/>
  <c r="P716" i="3"/>
  <c r="P562" i="3"/>
  <c r="P939" i="3"/>
  <c r="P266" i="3"/>
  <c r="P519" i="3"/>
  <c r="P199" i="3"/>
  <c r="P520" i="3"/>
  <c r="P597" i="3"/>
  <c r="P72" i="3"/>
  <c r="P997" i="3"/>
  <c r="P846" i="3"/>
  <c r="P157" i="3"/>
  <c r="P407" i="3"/>
  <c r="P669" i="3"/>
  <c r="P816" i="3"/>
  <c r="P861" i="3"/>
  <c r="P365" i="3"/>
  <c r="P722" i="3"/>
  <c r="P917" i="3"/>
  <c r="P617" i="3"/>
  <c r="P29" i="3"/>
  <c r="P36" i="3"/>
  <c r="P1012" i="3"/>
  <c r="P288" i="3"/>
  <c r="P363" i="3"/>
  <c r="P135" i="3"/>
  <c r="P753" i="3"/>
  <c r="P153" i="3"/>
  <c r="P112" i="3"/>
  <c r="P315" i="3"/>
  <c r="P196" i="3"/>
  <c r="P889" i="3"/>
  <c r="P26" i="3"/>
  <c r="P941" i="3"/>
  <c r="P34" i="3"/>
  <c r="P599" i="3"/>
  <c r="P943" i="3"/>
  <c r="P903" i="3"/>
  <c r="P489" i="3"/>
  <c r="P953" i="3"/>
  <c r="P998" i="3"/>
  <c r="P71" i="3"/>
  <c r="P699" i="3"/>
  <c r="P232" i="3"/>
  <c r="P421" i="3"/>
  <c r="P58" i="3"/>
  <c r="P308" i="3"/>
  <c r="P580" i="3"/>
  <c r="P671" i="3"/>
  <c r="P74" i="3"/>
  <c r="P339" i="3"/>
  <c r="P947" i="3"/>
  <c r="P100" i="3"/>
  <c r="P859" i="3"/>
  <c r="P329" i="3"/>
  <c r="P472" i="3"/>
  <c r="P1000" i="3"/>
  <c r="P601" i="3"/>
  <c r="P729" i="3"/>
  <c r="P50" i="3"/>
  <c r="P439" i="3"/>
  <c r="P264" i="3"/>
  <c r="P344" i="3"/>
  <c r="P409" i="3"/>
  <c r="P730" i="3"/>
  <c r="P1031" i="3"/>
  <c r="P529" i="3"/>
  <c r="P119" i="3"/>
  <c r="P793" i="3"/>
  <c r="P467" i="3"/>
  <c r="P376" i="3"/>
  <c r="P356" i="3"/>
  <c r="P723" i="3"/>
  <c r="P573" i="3"/>
  <c r="P1014" i="3"/>
  <c r="P841" i="3"/>
  <c r="P377" i="3"/>
  <c r="P91" i="3"/>
  <c r="P523" i="3"/>
  <c r="P471" i="3"/>
  <c r="P56" i="3"/>
  <c r="P499" i="3"/>
  <c r="P290" i="3"/>
  <c r="P504" i="3"/>
  <c r="P325" i="3"/>
  <c r="P202" i="3"/>
  <c r="P594" i="3"/>
  <c r="P581" i="3"/>
  <c r="P426" i="3"/>
  <c r="P750" i="3"/>
  <c r="P556" i="3"/>
  <c r="P791" i="3"/>
  <c r="P233" i="3"/>
  <c r="P142" i="3"/>
  <c r="P165" i="3"/>
  <c r="P37" i="3"/>
  <c r="P990" i="3"/>
  <c r="P162" i="3"/>
  <c r="P283" i="3"/>
  <c r="P77" i="3"/>
  <c r="P658" i="3"/>
  <c r="P769" i="3"/>
  <c r="P297" i="3"/>
  <c r="P347" i="3"/>
  <c r="P360" i="3"/>
  <c r="P726" i="3"/>
  <c r="P237" i="3"/>
  <c r="P991" i="3"/>
  <c r="P447" i="3"/>
  <c r="P705" i="3"/>
  <c r="P346" i="3"/>
  <c r="P416" i="3"/>
  <c r="P149" i="3"/>
  <c r="P618" i="3"/>
  <c r="P761" i="3"/>
  <c r="P318" i="3"/>
  <c r="P751" i="3"/>
  <c r="P564" i="3"/>
  <c r="P994" i="3"/>
  <c r="P31" i="3"/>
  <c r="P800" i="3"/>
  <c r="P915" i="3"/>
  <c r="P388" i="3"/>
  <c r="P743" i="3"/>
  <c r="P510" i="3"/>
  <c r="P249" i="3"/>
  <c r="P686" i="3"/>
  <c r="P84" i="3"/>
  <c r="P65" i="3"/>
  <c r="P918" i="3"/>
  <c r="P404" i="3"/>
  <c r="P107" i="3"/>
  <c r="P250" i="3"/>
  <c r="P654" i="3"/>
  <c r="P563" i="3"/>
  <c r="P200" i="3"/>
  <c r="P477" i="3"/>
  <c r="P465" i="3"/>
  <c r="P415" i="3"/>
  <c r="P678" i="3"/>
  <c r="P400" i="3"/>
  <c r="P214" i="3"/>
  <c r="P494" i="3"/>
  <c r="P727" i="3"/>
  <c r="P126" i="3"/>
  <c r="P689" i="3"/>
  <c r="P987" i="3"/>
  <c r="P631" i="3"/>
  <c r="P441" i="3"/>
  <c r="P498" i="3"/>
  <c r="P85" i="3"/>
  <c r="P665" i="3"/>
  <c r="P646" i="3"/>
  <c r="P320" i="3"/>
  <c r="P742" i="3"/>
  <c r="P807" i="3"/>
  <c r="P623" i="3"/>
  <c r="P28" i="3"/>
  <c r="P14" i="3"/>
  <c r="P399" i="3"/>
  <c r="P1027" i="3"/>
  <c r="P15" i="3"/>
  <c r="P19" i="3"/>
  <c r="P115" i="3"/>
  <c r="P354" i="3"/>
  <c r="P456" i="3"/>
  <c r="P252" i="3"/>
  <c r="P222" i="3"/>
  <c r="P375" i="3"/>
  <c r="P73" i="3"/>
  <c r="P965" i="3"/>
  <c r="P38" i="3"/>
  <c r="P954" i="3"/>
  <c r="P557" i="3"/>
  <c r="P434" i="3"/>
  <c r="P79" i="3"/>
  <c r="P825" i="3"/>
  <c r="P244" i="3"/>
  <c r="P690" i="3"/>
  <c r="P875" i="3"/>
  <c r="P395" i="3"/>
  <c r="P417" i="3"/>
  <c r="P393" i="3"/>
  <c r="P371" i="3"/>
  <c r="P171" i="3"/>
  <c r="P818" i="3"/>
  <c r="P887" i="3"/>
  <c r="P858" i="3"/>
  <c r="P956" i="3"/>
  <c r="P532" i="3"/>
  <c r="P217" i="3"/>
  <c r="P957" i="3"/>
  <c r="P479" i="3"/>
  <c r="P684" i="3"/>
  <c r="P418" i="3"/>
  <c r="P231" i="3"/>
  <c r="P396" i="3"/>
  <c r="P242" i="3"/>
  <c r="P779" i="3"/>
  <c r="P40" i="3"/>
  <c r="P1030" i="3"/>
  <c r="P245" i="3"/>
  <c r="P845" i="3"/>
  <c r="P361" i="3"/>
  <c r="P775" i="3"/>
  <c r="P747" i="3"/>
  <c r="P879" i="3"/>
  <c r="P962" i="3"/>
  <c r="P774" i="3"/>
  <c r="P819" i="3"/>
  <c r="P326" i="3"/>
  <c r="P392" i="3"/>
  <c r="P386" i="3"/>
  <c r="P408" i="3"/>
  <c r="P405" i="3"/>
  <c r="P1010" i="3"/>
  <c r="P496" i="3"/>
  <c r="P822" i="3"/>
  <c r="P567" i="3"/>
  <c r="P647" i="3"/>
  <c r="P218" i="3"/>
  <c r="P817" i="3"/>
  <c r="P87" i="3"/>
  <c r="P21" i="3"/>
  <c r="P966" i="3"/>
  <c r="P842" i="3"/>
  <c r="P886" i="3"/>
  <c r="P670" i="3"/>
  <c r="P518" i="3"/>
  <c r="P890" i="3"/>
  <c r="P419" i="3"/>
  <c r="P963" i="3"/>
  <c r="P1032" i="3"/>
  <c r="P104" i="3"/>
  <c r="P384" i="3"/>
  <c r="P286" i="3"/>
  <c r="P357" i="3"/>
  <c r="P186" i="3"/>
  <c r="P798" i="3"/>
  <c r="P711" i="3"/>
  <c r="P282" i="3"/>
  <c r="P168" i="3"/>
  <c r="P70" i="3"/>
  <c r="P1016" i="3"/>
  <c r="P254" i="3"/>
  <c r="P797" i="3"/>
  <c r="P298" i="3"/>
  <c r="P948" i="3"/>
  <c r="P832" i="3"/>
  <c r="P857" i="3"/>
  <c r="P390" i="3"/>
  <c r="P83" i="3"/>
  <c r="P463" i="3"/>
  <c r="P430" i="3"/>
  <c r="P757" i="3"/>
  <c r="P949" i="3"/>
  <c r="P663" i="3"/>
  <c r="P574" i="3"/>
  <c r="P410" i="3"/>
  <c r="P155" i="3"/>
  <c r="P114" i="3"/>
  <c r="P387" i="3"/>
  <c r="P630" i="3"/>
  <c r="P146" i="3"/>
  <c r="P721" i="3"/>
  <c r="P590" i="3"/>
  <c r="P25" i="3"/>
  <c r="P892" i="3"/>
  <c r="P449" i="3"/>
  <c r="P362" i="3"/>
  <c r="P18" i="3"/>
  <c r="P111" i="3"/>
  <c r="P1029" i="3"/>
  <c r="P940" i="3"/>
  <c r="P151" i="3"/>
  <c r="P44" i="3"/>
  <c r="P27" i="3"/>
  <c r="P739" i="3"/>
  <c r="P679" i="3"/>
  <c r="P694" i="3"/>
  <c r="P865" i="3"/>
  <c r="P1002" i="3"/>
  <c r="P776" i="3"/>
  <c r="P683" i="3"/>
  <c r="P49" i="3"/>
  <c r="P929" i="3"/>
  <c r="P760" i="3"/>
  <c r="P546" i="3"/>
  <c r="P492" i="3"/>
  <c r="P672" i="3"/>
  <c r="P201" i="3"/>
  <c r="P799" i="3"/>
  <c r="P913" i="3"/>
  <c r="P17" i="3"/>
  <c r="P389" i="3"/>
  <c r="P530" i="3"/>
  <c r="P241" i="3"/>
  <c r="P488" i="3"/>
  <c r="P840" i="3"/>
  <c r="P860" i="3"/>
  <c r="P964" i="3"/>
  <c r="P82" i="3"/>
  <c r="P118" i="3"/>
  <c r="P787" i="3"/>
  <c r="P782" i="3"/>
  <c r="P680" i="3"/>
  <c r="P945" i="3"/>
  <c r="P794" i="3"/>
  <c r="P191" i="3"/>
  <c r="P59" i="3"/>
  <c r="P830" i="3"/>
  <c r="P35" i="3"/>
  <c r="P64" i="3"/>
  <c r="P448" i="3"/>
  <c r="P773" i="3"/>
  <c r="P706" i="3"/>
  <c r="P899" i="3"/>
  <c r="P110" i="3"/>
  <c r="P340" i="3"/>
  <c r="P662" i="3"/>
  <c r="P69" i="3"/>
  <c r="P240" i="3"/>
  <c r="P790" i="3"/>
  <c r="P537" i="3"/>
  <c r="P829" i="3"/>
  <c r="P128" i="3"/>
  <c r="P289" i="3"/>
  <c r="P45" i="3"/>
  <c r="P359" i="3"/>
  <c r="P733" i="3"/>
  <c r="P942" i="3"/>
  <c r="P641" i="3"/>
  <c r="P301" i="3"/>
  <c r="P814" i="3"/>
  <c r="P974" i="3"/>
  <c r="P167" i="3"/>
  <c r="P296" i="3"/>
  <c r="P88" i="3"/>
  <c r="P862" i="3"/>
  <c r="P23" i="3"/>
  <c r="P80" i="3"/>
  <c r="P702" i="3"/>
  <c r="P81" i="3"/>
  <c r="P622" i="3"/>
  <c r="P425" i="3"/>
  <c r="P697" i="3"/>
  <c r="P873" i="3"/>
  <c r="P440" i="3"/>
  <c r="P709" i="3"/>
  <c r="P138" i="3"/>
  <c r="P68" i="3"/>
  <c r="P971" i="3"/>
  <c r="P867" i="3"/>
  <c r="P735" i="3"/>
  <c r="P197" i="3"/>
  <c r="P914" i="3"/>
  <c r="P302" i="3"/>
  <c r="P888" i="3"/>
  <c r="P67" i="3"/>
  <c r="P30" i="3"/>
  <c r="P159" i="3"/>
  <c r="P995" i="3"/>
  <c r="P749" i="3"/>
  <c r="P156" i="3"/>
  <c r="P160" i="3"/>
  <c r="P234" i="3"/>
  <c r="P190" i="3"/>
  <c r="P853" i="3"/>
  <c r="P570" i="3"/>
  <c r="P575" i="3"/>
  <c r="P708" i="3"/>
  <c r="P324" i="3"/>
  <c r="P609" i="3"/>
  <c r="P458" i="3"/>
  <c r="P572" i="3"/>
  <c r="P484" i="3"/>
  <c r="P550" i="3"/>
  <c r="P20" i="3"/>
  <c r="P311" i="3"/>
  <c r="P195" i="3"/>
  <c r="P864" i="3"/>
  <c r="P470" i="3"/>
  <c r="P979" i="3"/>
  <c r="P76" i="3"/>
  <c r="P24" i="3"/>
  <c r="P895" i="3"/>
  <c r="P960" i="3"/>
  <c r="P215" i="3"/>
  <c r="P41" i="3"/>
  <c r="P1022" i="3"/>
  <c r="P928" i="3"/>
  <c r="P397" i="3"/>
  <c r="N343" i="2"/>
  <c r="N289" i="2"/>
  <c r="M289" i="2"/>
  <c r="M51" i="2"/>
  <c r="N51" i="2"/>
  <c r="N358" i="2"/>
  <c r="M358" i="2"/>
  <c r="M355" i="2"/>
  <c r="N355" i="2"/>
  <c r="M123" i="2"/>
  <c r="N123" i="2"/>
  <c r="M457" i="2"/>
  <c r="N457" i="2"/>
  <c r="N179" i="2"/>
  <c r="M179" i="2"/>
  <c r="M47" i="2"/>
  <c r="N47" i="2"/>
  <c r="M497" i="2"/>
  <c r="N497" i="2"/>
  <c r="M348" i="2"/>
  <c r="N348" i="2"/>
  <c r="M226" i="2"/>
  <c r="N226" i="2"/>
  <c r="M337" i="2"/>
  <c r="N337" i="2"/>
  <c r="N112" i="2"/>
  <c r="M112" i="2"/>
  <c r="N97" i="2"/>
  <c r="M97" i="2"/>
  <c r="M258" i="2"/>
  <c r="N258" i="2"/>
  <c r="M503" i="2"/>
  <c r="N503" i="2"/>
  <c r="M208" i="2"/>
  <c r="N208" i="2"/>
  <c r="M107" i="2"/>
  <c r="N107" i="2"/>
  <c r="M152" i="2"/>
  <c r="N152" i="2"/>
  <c r="M502" i="2"/>
  <c r="N502" i="2"/>
  <c r="M41" i="2"/>
  <c r="N41" i="2"/>
  <c r="M155" i="2"/>
  <c r="N155" i="2"/>
  <c r="M357" i="2"/>
  <c r="N357" i="2"/>
  <c r="N122" i="2"/>
  <c r="M122" i="2"/>
  <c r="N377" i="2"/>
  <c r="M377" i="2"/>
  <c r="M237" i="2"/>
  <c r="N237" i="2"/>
  <c r="M298" i="2"/>
  <c r="N298" i="2"/>
  <c r="M316" i="2"/>
  <c r="N316" i="2"/>
  <c r="M492" i="2"/>
  <c r="N492" i="2"/>
  <c r="M26" i="2"/>
  <c r="N26" i="2"/>
  <c r="M366" i="2"/>
  <c r="N366" i="2"/>
  <c r="M521" i="2"/>
  <c r="N521" i="2"/>
  <c r="M194" i="2"/>
  <c r="N194" i="2"/>
  <c r="M446" i="2"/>
  <c r="N446" i="2"/>
  <c r="M104" i="2"/>
  <c r="N104" i="2"/>
  <c r="M499" i="2"/>
  <c r="N499" i="2"/>
  <c r="M282" i="2"/>
  <c r="N282" i="2"/>
  <c r="M161" i="2"/>
  <c r="N161" i="2"/>
  <c r="M471" i="2"/>
  <c r="N471" i="2"/>
  <c r="M462" i="2"/>
  <c r="N462" i="2"/>
  <c r="M305" i="2"/>
  <c r="N305" i="2"/>
  <c r="M28" i="2"/>
  <c r="N28" i="2"/>
  <c r="M195" i="2"/>
  <c r="N195" i="2"/>
  <c r="M469" i="2"/>
  <c r="N469" i="2"/>
  <c r="M441" i="2"/>
  <c r="N441" i="2"/>
  <c r="M352" i="2"/>
  <c r="N352" i="2"/>
  <c r="N425" i="2"/>
  <c r="M425" i="2"/>
  <c r="M420" i="2"/>
  <c r="N420" i="2"/>
  <c r="M481" i="2"/>
  <c r="N481" i="2"/>
  <c r="N130" i="2"/>
  <c r="M130" i="2"/>
  <c r="M45" i="2"/>
  <c r="N45" i="2"/>
  <c r="M175" i="2"/>
  <c r="N175" i="2"/>
  <c r="M369" i="2"/>
  <c r="N369" i="2"/>
  <c r="M85" i="2"/>
  <c r="N85" i="2"/>
  <c r="M234" i="2"/>
  <c r="N234" i="2"/>
  <c r="N177" i="2"/>
  <c r="M177" i="2"/>
  <c r="M327" i="2"/>
  <c r="N327" i="2"/>
  <c r="N248" i="2"/>
  <c r="M248" i="2"/>
  <c r="M13" i="2"/>
  <c r="N13" i="2"/>
  <c r="M432" i="2"/>
  <c r="N432" i="2"/>
  <c r="M332" i="2"/>
  <c r="N332" i="2"/>
  <c r="M193" i="2"/>
  <c r="N193" i="2"/>
  <c r="M132" i="2"/>
  <c r="N132" i="2"/>
  <c r="M126" i="2"/>
  <c r="N126" i="2"/>
  <c r="N365" i="2"/>
  <c r="M365" i="2"/>
  <c r="M33" i="2"/>
  <c r="N33" i="2"/>
  <c r="M253" i="2"/>
  <c r="N253" i="2"/>
  <c r="M54" i="2"/>
  <c r="N54" i="2"/>
  <c r="M274" i="2"/>
  <c r="N274" i="2"/>
  <c r="M119" i="2"/>
  <c r="N119" i="2"/>
  <c r="M288" i="2"/>
  <c r="N288" i="2"/>
  <c r="M407" i="2"/>
  <c r="N407" i="2"/>
  <c r="M306" i="2"/>
  <c r="N306" i="2"/>
  <c r="M458" i="2"/>
  <c r="N458" i="2"/>
  <c r="N321" i="2"/>
  <c r="M321" i="2"/>
  <c r="M63" i="2"/>
  <c r="N63" i="2"/>
  <c r="M163" i="2"/>
  <c r="N163" i="2"/>
  <c r="M383" i="2"/>
  <c r="N383" i="2"/>
  <c r="N341" i="2"/>
  <c r="M341" i="2"/>
  <c r="M394" i="2"/>
  <c r="N394" i="2"/>
  <c r="M75" i="2"/>
  <c r="N75" i="2"/>
  <c r="M145" i="2"/>
  <c r="N145" i="2"/>
  <c r="N459" i="2"/>
  <c r="M459" i="2"/>
  <c r="N435" i="2"/>
  <c r="M435" i="2"/>
  <c r="N34" i="2"/>
  <c r="M34" i="2"/>
  <c r="M384" i="2"/>
  <c r="N384" i="2"/>
  <c r="N21" i="2"/>
  <c r="M21" i="2"/>
  <c r="M230" i="2"/>
  <c r="N230" i="2"/>
  <c r="M468" i="2"/>
  <c r="N468" i="2"/>
  <c r="M129" i="2"/>
  <c r="N129" i="2"/>
  <c r="M350" i="2"/>
  <c r="N350" i="2"/>
  <c r="N278" i="2"/>
  <c r="M278" i="2"/>
  <c r="M98" i="2"/>
  <c r="N98" i="2"/>
  <c r="M188" i="2"/>
  <c r="N188" i="2"/>
  <c r="M461" i="2"/>
  <c r="N461" i="2"/>
  <c r="M494" i="2"/>
  <c r="N494" i="2"/>
  <c r="N36" i="2"/>
  <c r="M36" i="2"/>
  <c r="M203" i="2"/>
  <c r="N203" i="2"/>
  <c r="N507" i="2"/>
  <c r="M507" i="2"/>
  <c r="M453" i="2"/>
  <c r="N453" i="2"/>
  <c r="N392" i="2"/>
  <c r="M392" i="2"/>
  <c r="M291" i="2"/>
  <c r="N291" i="2"/>
  <c r="M178" i="2"/>
  <c r="N178" i="2"/>
  <c r="M489" i="2"/>
  <c r="N489" i="2"/>
  <c r="N245" i="2"/>
  <c r="M245" i="2"/>
  <c r="M84" i="2"/>
  <c r="N84" i="2"/>
  <c r="M186" i="2"/>
  <c r="N186" i="2"/>
  <c r="M379" i="2"/>
  <c r="N379" i="2"/>
  <c r="M103" i="2"/>
  <c r="N103" i="2"/>
  <c r="M265" i="2"/>
  <c r="N265" i="2"/>
  <c r="N506" i="2"/>
  <c r="M506" i="2"/>
  <c r="N241" i="2"/>
  <c r="M241" i="2"/>
  <c r="N275" i="2"/>
  <c r="M275" i="2"/>
  <c r="M22" i="2"/>
  <c r="N22" i="2"/>
  <c r="M518" i="2"/>
  <c r="N518" i="2"/>
  <c r="N55" i="2"/>
  <c r="M55" i="2"/>
  <c r="N50" i="2"/>
  <c r="M50" i="2"/>
  <c r="M293" i="2"/>
  <c r="N293" i="2"/>
  <c r="N452" i="2"/>
  <c r="M452" i="2"/>
  <c r="N445" i="2"/>
  <c r="M445" i="2"/>
  <c r="M385" i="2"/>
  <c r="N385" i="2"/>
  <c r="N470" i="2"/>
  <c r="M470" i="2"/>
  <c r="M136" i="2"/>
  <c r="N136" i="2"/>
  <c r="M134" i="2"/>
  <c r="N134" i="2"/>
  <c r="M338" i="2"/>
  <c r="N338" i="2"/>
  <c r="M519" i="2"/>
  <c r="N519" i="2"/>
  <c r="N8" i="2"/>
  <c r="M8" i="2"/>
  <c r="M514" i="2"/>
  <c r="N514" i="2"/>
  <c r="M254" i="2"/>
  <c r="N254" i="2"/>
  <c r="M487" i="2"/>
  <c r="N487" i="2"/>
  <c r="N345" i="2"/>
  <c r="M345" i="2"/>
  <c r="M77" i="2"/>
  <c r="N77" i="2"/>
  <c r="N239" i="2"/>
  <c r="M239" i="2"/>
  <c r="M422" i="2"/>
  <c r="N422" i="2"/>
  <c r="M211" i="2"/>
  <c r="N211" i="2"/>
  <c r="N479" i="2"/>
  <c r="M479" i="2"/>
  <c r="N218" i="2"/>
  <c r="M218" i="2"/>
  <c r="N154" i="2"/>
  <c r="M154" i="2"/>
  <c r="M356" i="2"/>
  <c r="N356" i="2"/>
  <c r="N346" i="2"/>
  <c r="M346" i="2"/>
  <c r="M164" i="2"/>
  <c r="N164" i="2"/>
  <c r="M144" i="2"/>
  <c r="N144" i="2"/>
  <c r="N464" i="2"/>
  <c r="M464" i="2"/>
  <c r="N116" i="2"/>
  <c r="M116" i="2"/>
  <c r="M71" i="2"/>
  <c r="N71" i="2"/>
  <c r="N200" i="2"/>
  <c r="M200" i="2"/>
  <c r="M400" i="2"/>
  <c r="N400" i="2"/>
  <c r="N522" i="2"/>
  <c r="M522" i="2"/>
  <c r="M269" i="2"/>
  <c r="N269" i="2"/>
  <c r="M153" i="2"/>
  <c r="N153" i="2"/>
  <c r="M287" i="2"/>
  <c r="N287" i="2"/>
  <c r="N466" i="2"/>
  <c r="M466" i="2"/>
  <c r="M303" i="2"/>
  <c r="N303" i="2"/>
  <c r="M64" i="2"/>
  <c r="N64" i="2"/>
  <c r="M393" i="2"/>
  <c r="N393" i="2"/>
  <c r="N243" i="2"/>
  <c r="M243" i="2"/>
  <c r="M292" i="2"/>
  <c r="N292" i="2"/>
  <c r="N217" i="2"/>
  <c r="M217" i="2"/>
  <c r="M96" i="2"/>
  <c r="N96" i="2"/>
  <c r="M207" i="2"/>
  <c r="N207" i="2"/>
  <c r="N10" i="2"/>
  <c r="M10" i="2"/>
  <c r="N117" i="2"/>
  <c r="M117" i="2"/>
  <c r="N297" i="2"/>
  <c r="M297" i="2"/>
  <c r="N302" i="2"/>
  <c r="M302" i="2"/>
  <c r="M223" i="2"/>
  <c r="N223" i="2"/>
  <c r="N66" i="2"/>
  <c r="M66" i="2"/>
  <c r="M212" i="2"/>
  <c r="N212" i="2"/>
  <c r="N127" i="2"/>
  <c r="M127" i="2"/>
  <c r="M510" i="2"/>
  <c r="N510" i="2"/>
  <c r="M169" i="2"/>
  <c r="N169" i="2"/>
  <c r="M312" i="2"/>
  <c r="N312" i="2"/>
  <c r="M331" i="2"/>
  <c r="N331" i="2"/>
  <c r="M488" i="2"/>
  <c r="N488" i="2"/>
  <c r="M343" i="2"/>
  <c r="M92" i="2"/>
  <c r="N92" i="2"/>
  <c r="M196" i="2"/>
  <c r="N196" i="2"/>
  <c r="M387" i="2"/>
  <c r="N387" i="2"/>
  <c r="M168" i="2"/>
  <c r="N168" i="2"/>
  <c r="M308" i="2"/>
  <c r="N308" i="2"/>
  <c r="M249" i="2"/>
  <c r="N249" i="2"/>
  <c r="M309" i="2"/>
  <c r="N309" i="2"/>
  <c r="M225" i="2"/>
  <c r="N225" i="2"/>
  <c r="M30" i="2"/>
  <c r="N30" i="2"/>
  <c r="M180" i="2"/>
  <c r="N180" i="2"/>
  <c r="M266" i="2"/>
  <c r="N266" i="2"/>
  <c r="M484" i="2"/>
  <c r="N484" i="2"/>
  <c r="M61" i="2"/>
  <c r="N61" i="2"/>
  <c r="M498" i="2"/>
  <c r="N498" i="2"/>
  <c r="M408" i="2"/>
  <c r="N408" i="2"/>
  <c r="M411" i="2"/>
  <c r="N411" i="2"/>
  <c r="M281" i="2"/>
  <c r="N281" i="2"/>
  <c r="M238" i="2"/>
  <c r="N238" i="2"/>
  <c r="M42" i="2"/>
  <c r="N42" i="2"/>
  <c r="M263" i="2"/>
  <c r="N263" i="2"/>
  <c r="M181" i="2"/>
  <c r="N181" i="2"/>
  <c r="N323" i="2"/>
  <c r="M323" i="2"/>
  <c r="M6" i="2"/>
  <c r="N6" i="2"/>
  <c r="M86" i="2"/>
  <c r="N86" i="2"/>
  <c r="M70" i="2"/>
  <c r="N70" i="2"/>
  <c r="M307" i="2"/>
  <c r="N307" i="2"/>
  <c r="M99" i="2"/>
  <c r="N99" i="2"/>
  <c r="N456" i="2"/>
  <c r="M456" i="2"/>
  <c r="M7" i="2"/>
  <c r="N7" i="2"/>
  <c r="M162" i="2"/>
  <c r="N162" i="2"/>
  <c r="N364" i="2"/>
  <c r="M364" i="2"/>
  <c r="N158" i="2"/>
  <c r="M158" i="2"/>
  <c r="M496" i="2"/>
  <c r="N496" i="2"/>
  <c r="M443" i="2"/>
  <c r="N443" i="2"/>
  <c r="N370" i="2"/>
  <c r="M370" i="2"/>
  <c r="N227" i="2"/>
  <c r="M227" i="2"/>
  <c r="M79" i="2"/>
  <c r="N79" i="2"/>
  <c r="M219" i="2"/>
  <c r="N219" i="2"/>
  <c r="M416" i="2"/>
  <c r="N416" i="2"/>
  <c r="M18" i="2"/>
  <c r="N18" i="2"/>
  <c r="M434" i="2"/>
  <c r="N434" i="2"/>
  <c r="M121" i="2"/>
  <c r="N121" i="2"/>
  <c r="M133" i="2"/>
  <c r="N133" i="2"/>
  <c r="M478" i="2"/>
  <c r="N478" i="2"/>
  <c r="M62" i="2"/>
  <c r="N62" i="2"/>
  <c r="M89" i="2"/>
  <c r="N89" i="2"/>
  <c r="N401" i="2"/>
  <c r="M401" i="2"/>
  <c r="M451" i="2"/>
  <c r="N451" i="2"/>
  <c r="M351" i="2"/>
  <c r="N351" i="2"/>
  <c r="N35" i="2"/>
  <c r="M35" i="2"/>
  <c r="N362" i="2"/>
  <c r="M362" i="2"/>
  <c r="M215" i="2"/>
  <c r="N215" i="2"/>
  <c r="M106" i="2"/>
  <c r="N106" i="2"/>
  <c r="M500" i="2"/>
  <c r="N500" i="2"/>
  <c r="M108" i="2"/>
  <c r="N108" i="2"/>
  <c r="N391" i="2"/>
  <c r="M391" i="2"/>
  <c r="N59" i="2"/>
  <c r="M59" i="2"/>
  <c r="N83" i="2"/>
  <c r="M83" i="2"/>
  <c r="M301" i="2"/>
  <c r="N301" i="2"/>
  <c r="M197" i="2"/>
  <c r="N197" i="2"/>
  <c r="N232" i="2"/>
  <c r="M232" i="2"/>
  <c r="M240" i="2"/>
  <c r="N240" i="2"/>
  <c r="M140" i="2"/>
  <c r="N140" i="2"/>
  <c r="M49" i="2"/>
  <c r="N49" i="2"/>
  <c r="M490" i="2"/>
  <c r="N490" i="2"/>
  <c r="N58" i="2"/>
  <c r="M58" i="2"/>
  <c r="M102" i="2"/>
  <c r="N102" i="2"/>
  <c r="M204" i="2"/>
  <c r="N204" i="2"/>
  <c r="M396" i="2"/>
  <c r="N396" i="2"/>
  <c r="M372" i="2"/>
  <c r="N372" i="2"/>
  <c r="M326" i="2"/>
  <c r="N326" i="2"/>
  <c r="M165" i="2"/>
  <c r="N165" i="2"/>
  <c r="M333" i="2"/>
  <c r="N333" i="2"/>
  <c r="N110" i="2"/>
  <c r="M110" i="2"/>
  <c r="M38" i="2"/>
  <c r="N38" i="2"/>
  <c r="M128" i="2"/>
  <c r="N128" i="2"/>
  <c r="M11" i="2"/>
  <c r="N11" i="2"/>
  <c r="M386" i="2"/>
  <c r="N386" i="2"/>
  <c r="M304" i="2"/>
  <c r="N304" i="2"/>
  <c r="M423" i="2"/>
  <c r="N423" i="2"/>
  <c r="N221" i="2"/>
  <c r="M221" i="2"/>
  <c r="M447" i="2"/>
  <c r="N447" i="2"/>
  <c r="N27" i="2"/>
  <c r="M27" i="2"/>
  <c r="M69" i="2"/>
  <c r="N69" i="2"/>
  <c r="M283" i="2"/>
  <c r="N283" i="2"/>
  <c r="M376" i="2"/>
  <c r="N376" i="2"/>
  <c r="M286" i="2"/>
  <c r="N286" i="2"/>
  <c r="M501" i="2"/>
  <c r="N501" i="2"/>
  <c r="M485" i="2"/>
  <c r="N485" i="2"/>
  <c r="M14" i="2"/>
  <c r="N14" i="2"/>
  <c r="M431" i="2"/>
  <c r="N431" i="2"/>
  <c r="M256" i="2"/>
  <c r="N256" i="2"/>
  <c r="M91" i="2"/>
  <c r="N91" i="2"/>
  <c r="M371" i="2"/>
  <c r="N371" i="2"/>
  <c r="N320" i="2"/>
  <c r="M320" i="2"/>
  <c r="N15" i="2"/>
  <c r="M15" i="2"/>
  <c r="M170" i="2"/>
  <c r="N170" i="2"/>
  <c r="M390" i="2"/>
  <c r="N390" i="2"/>
  <c r="M20" i="2"/>
  <c r="N20" i="2"/>
  <c r="M82" i="2"/>
  <c r="N82" i="2"/>
  <c r="M334" i="2"/>
  <c r="N334" i="2"/>
  <c r="N439" i="2"/>
  <c r="M439" i="2"/>
  <c r="N339" i="2"/>
  <c r="M339" i="2"/>
  <c r="N88" i="2"/>
  <c r="M88" i="2"/>
  <c r="N251" i="2"/>
  <c r="M251" i="2"/>
  <c r="M474" i="2"/>
  <c r="N474" i="2"/>
  <c r="M65" i="2"/>
  <c r="N65" i="2"/>
  <c r="M260" i="2"/>
  <c r="N260" i="2"/>
  <c r="M257" i="2"/>
  <c r="N257" i="2"/>
  <c r="M413" i="2"/>
  <c r="N413" i="2"/>
  <c r="M93" i="2"/>
  <c r="N93" i="2"/>
  <c r="N118" i="2"/>
  <c r="M118" i="2"/>
  <c r="M148" i="2"/>
  <c r="N148" i="2"/>
  <c r="N409" i="2"/>
  <c r="M409" i="2"/>
  <c r="M43" i="2"/>
  <c r="N43" i="2"/>
  <c r="N367" i="2"/>
  <c r="M367" i="2"/>
  <c r="M32" i="2"/>
  <c r="N32" i="2"/>
  <c r="M100" i="2"/>
  <c r="N100" i="2"/>
  <c r="N354" i="2"/>
  <c r="M354" i="2"/>
  <c r="M438" i="2"/>
  <c r="N438" i="2"/>
  <c r="M424" i="2"/>
  <c r="N424" i="2"/>
  <c r="M290" i="2"/>
  <c r="N290" i="2"/>
  <c r="M493" i="2"/>
  <c r="N493" i="2"/>
  <c r="N124" i="2"/>
  <c r="M124" i="2"/>
  <c r="M125" i="2"/>
  <c r="N125" i="2"/>
  <c r="M378" i="2"/>
  <c r="N378" i="2"/>
  <c r="M264" i="2"/>
  <c r="N264" i="2"/>
  <c r="M72" i="2"/>
  <c r="N72" i="2"/>
  <c r="M467" i="2"/>
  <c r="N467" i="2"/>
  <c r="M199" i="2"/>
  <c r="N199" i="2"/>
  <c r="N483" i="2"/>
  <c r="M483" i="2"/>
  <c r="N317" i="2"/>
  <c r="M317" i="2"/>
  <c r="M4" i="2"/>
  <c r="N4" i="2"/>
  <c r="M114" i="2"/>
  <c r="N114" i="2"/>
  <c r="M213" i="2"/>
  <c r="N213" i="2"/>
  <c r="M404" i="2"/>
  <c r="N404" i="2"/>
  <c r="M388" i="2"/>
  <c r="N388" i="2"/>
  <c r="M363" i="2"/>
  <c r="N363" i="2"/>
  <c r="M300" i="2"/>
  <c r="N300" i="2"/>
  <c r="N56" i="2"/>
  <c r="M56" i="2"/>
  <c r="N246" i="2"/>
  <c r="M246" i="2"/>
  <c r="M46" i="2"/>
  <c r="N46" i="2"/>
  <c r="N276" i="2"/>
  <c r="M276" i="2"/>
  <c r="M135" i="2"/>
  <c r="N135" i="2"/>
  <c r="M171" i="2"/>
  <c r="N171" i="2"/>
  <c r="M236" i="2"/>
  <c r="N236" i="2"/>
  <c r="M105" i="2"/>
  <c r="N105" i="2"/>
  <c r="N60" i="2"/>
  <c r="M60" i="2"/>
  <c r="N280" i="2"/>
  <c r="M280" i="2"/>
  <c r="M113" i="2"/>
  <c r="N113" i="2"/>
  <c r="M252" i="2"/>
  <c r="N252" i="2"/>
  <c r="M448" i="2"/>
  <c r="N448" i="2"/>
  <c r="M53" i="2"/>
  <c r="N53" i="2"/>
  <c r="M415" i="2"/>
  <c r="N415" i="2"/>
  <c r="M210" i="2"/>
  <c r="N210" i="2"/>
  <c r="N273" i="2"/>
  <c r="M273" i="2"/>
  <c r="M347" i="2"/>
  <c r="N347" i="2"/>
  <c r="N120" i="2"/>
  <c r="M120" i="2"/>
  <c r="M259" i="2"/>
  <c r="N259" i="2"/>
  <c r="M504" i="2"/>
  <c r="N504" i="2"/>
  <c r="M157" i="2"/>
  <c r="N157" i="2"/>
  <c r="M399" i="2"/>
  <c r="N399" i="2"/>
  <c r="M143" i="2"/>
  <c r="N143" i="2"/>
  <c r="M185" i="2"/>
  <c r="N185" i="2"/>
  <c r="N495" i="2"/>
  <c r="M495" i="2"/>
  <c r="N340" i="2"/>
  <c r="M340" i="2"/>
  <c r="M201" i="2"/>
  <c r="N201" i="2"/>
  <c r="N417" i="2"/>
  <c r="M417" i="2"/>
  <c r="N73" i="2"/>
  <c r="M73" i="2"/>
  <c r="N402" i="2"/>
  <c r="M402" i="2"/>
  <c r="M511" i="2"/>
  <c r="N511" i="2"/>
  <c r="M382" i="2"/>
  <c r="N382" i="2"/>
  <c r="N187" i="2"/>
  <c r="M187" i="2"/>
  <c r="M261" i="2"/>
  <c r="N261" i="2"/>
  <c r="M160" i="2"/>
  <c r="N160" i="2"/>
  <c r="M395" i="2"/>
  <c r="N395" i="2"/>
  <c r="M335" i="2"/>
  <c r="N335" i="2"/>
  <c r="M244" i="2"/>
  <c r="N244" i="2"/>
  <c r="M142" i="2"/>
  <c r="N142" i="2"/>
  <c r="M403" i="2"/>
  <c r="N403" i="2"/>
  <c r="M380" i="2"/>
  <c r="N380" i="2"/>
  <c r="M67" i="2"/>
  <c r="N67" i="2"/>
  <c r="M255" i="2"/>
  <c r="N255" i="2"/>
  <c r="M139" i="2"/>
  <c r="N139" i="2"/>
  <c r="N480" i="2"/>
  <c r="M480" i="2"/>
  <c r="N318" i="2"/>
  <c r="M318" i="2"/>
  <c r="N12" i="2"/>
  <c r="M12" i="2"/>
  <c r="M151" i="2"/>
  <c r="N151" i="2"/>
  <c r="M294" i="2"/>
  <c r="N294" i="2"/>
  <c r="M412" i="2"/>
  <c r="N412" i="2"/>
  <c r="M405" i="2"/>
  <c r="N405" i="2"/>
  <c r="M373" i="2"/>
  <c r="N373" i="2"/>
  <c r="M296" i="2"/>
  <c r="N296" i="2"/>
  <c r="M486" i="2"/>
  <c r="N486" i="2"/>
  <c r="M344" i="2"/>
  <c r="N344" i="2"/>
  <c r="M115" i="2"/>
  <c r="N115" i="2"/>
  <c r="M375" i="2"/>
  <c r="N375" i="2"/>
  <c r="N460" i="2"/>
  <c r="M460" i="2"/>
  <c r="M314" i="2"/>
  <c r="N314" i="2"/>
  <c r="N57" i="2"/>
  <c r="M57" i="2"/>
  <c r="M76" i="2"/>
  <c r="N76" i="2"/>
  <c r="N182" i="2"/>
  <c r="M182" i="2"/>
  <c r="N242" i="2"/>
  <c r="M242" i="2"/>
  <c r="M231" i="2"/>
  <c r="N231" i="2"/>
  <c r="M271" i="2"/>
  <c r="N271" i="2"/>
  <c r="M319" i="2"/>
  <c r="N319" i="2"/>
  <c r="M262" i="2"/>
  <c r="N262" i="2"/>
  <c r="N24" i="2"/>
  <c r="M24" i="2"/>
  <c r="M138" i="2"/>
  <c r="N138" i="2"/>
  <c r="M381" i="2"/>
  <c r="N381" i="2"/>
  <c r="N94" i="2"/>
  <c r="M94" i="2"/>
  <c r="M190" i="2"/>
  <c r="N190" i="2"/>
  <c r="N31" i="2"/>
  <c r="M31" i="2"/>
  <c r="M233" i="2"/>
  <c r="N233" i="2"/>
  <c r="M437" i="2"/>
  <c r="N437" i="2"/>
  <c r="M410" i="2"/>
  <c r="N410" i="2"/>
  <c r="N315" i="2"/>
  <c r="M315" i="2"/>
  <c r="N229" i="2"/>
  <c r="M229" i="2"/>
  <c r="M40" i="2"/>
  <c r="N40" i="2"/>
  <c r="M235" i="2"/>
  <c r="N235" i="2"/>
  <c r="M433" i="2"/>
  <c r="N433" i="2"/>
  <c r="M313" i="2"/>
  <c r="N313" i="2"/>
  <c r="M330" i="2"/>
  <c r="N330" i="2"/>
  <c r="M414" i="2"/>
  <c r="N414" i="2"/>
  <c r="N277" i="2"/>
  <c r="M277" i="2"/>
  <c r="M268" i="2"/>
  <c r="N268" i="2"/>
  <c r="M131" i="2"/>
  <c r="N131" i="2"/>
  <c r="M328" i="2"/>
  <c r="N328" i="2"/>
  <c r="M512" i="2"/>
  <c r="N512" i="2"/>
  <c r="M173" i="2"/>
  <c r="N173" i="2"/>
  <c r="M473" i="2"/>
  <c r="N473" i="2"/>
  <c r="M216" i="2"/>
  <c r="N216" i="2"/>
  <c r="M101" i="2"/>
  <c r="N101" i="2"/>
  <c r="M109" i="2"/>
  <c r="N109" i="2"/>
  <c r="M9" i="2"/>
  <c r="N9" i="2"/>
  <c r="M272" i="2"/>
  <c r="N272" i="2"/>
  <c r="M436" i="2"/>
  <c r="N436" i="2"/>
  <c r="N141" i="2"/>
  <c r="M141" i="2"/>
  <c r="N418" i="2"/>
  <c r="M418" i="2"/>
  <c r="M137" i="2"/>
  <c r="N137" i="2"/>
  <c r="M440" i="2"/>
  <c r="N440" i="2"/>
  <c r="M184" i="2"/>
  <c r="N184" i="2"/>
  <c r="N205" i="2"/>
  <c r="M205" i="2"/>
  <c r="M44" i="2"/>
  <c r="N44" i="2"/>
  <c r="M90" i="2"/>
  <c r="N90" i="2"/>
  <c r="M491" i="2"/>
  <c r="N491" i="2"/>
  <c r="N523" i="2"/>
  <c r="M523" i="2"/>
  <c r="M166" i="2"/>
  <c r="N166" i="2"/>
  <c r="M419" i="2"/>
  <c r="N419" i="2"/>
  <c r="N397" i="2"/>
  <c r="M397" i="2"/>
  <c r="M515" i="2"/>
  <c r="N515" i="2"/>
  <c r="N74" i="2"/>
  <c r="M74" i="2"/>
  <c r="M368" i="2"/>
  <c r="N368" i="2"/>
  <c r="M48" i="2"/>
  <c r="N48" i="2"/>
  <c r="M222" i="2"/>
  <c r="N222" i="2"/>
  <c r="N29" i="2"/>
  <c r="M29" i="2"/>
  <c r="M159" i="2"/>
  <c r="N159" i="2"/>
  <c r="M324" i="2"/>
  <c r="N324" i="2"/>
  <c r="M428" i="2"/>
  <c r="N428" i="2"/>
  <c r="M429" i="2"/>
  <c r="N429" i="2"/>
  <c r="M398" i="2"/>
  <c r="N398" i="2"/>
  <c r="M270" i="2"/>
  <c r="N270" i="2"/>
  <c r="N463" i="2"/>
  <c r="M463" i="2"/>
  <c r="M176" i="2"/>
  <c r="N176" i="2"/>
  <c r="N509" i="2"/>
  <c r="M509" i="2"/>
  <c r="M183" i="2"/>
  <c r="N183" i="2"/>
  <c r="M430" i="2"/>
  <c r="N430" i="2"/>
  <c r="M220" i="2"/>
  <c r="N220" i="2"/>
  <c r="N322" i="2"/>
  <c r="M322" i="2"/>
  <c r="M198" i="2"/>
  <c r="N198" i="2"/>
  <c r="M209" i="2"/>
  <c r="N209" i="2"/>
  <c r="M81" i="2"/>
  <c r="N81" i="2"/>
  <c r="M224" i="2"/>
  <c r="N224" i="2"/>
  <c r="N342" i="2"/>
  <c r="M342" i="2"/>
  <c r="M449" i="2"/>
  <c r="N449" i="2"/>
  <c r="M23" i="2"/>
  <c r="N23" i="2"/>
  <c r="M465" i="2"/>
  <c r="N465" i="2"/>
  <c r="M189" i="2"/>
  <c r="N189" i="2"/>
  <c r="M353" i="2"/>
  <c r="N353" i="2"/>
  <c r="M444" i="2"/>
  <c r="N444" i="2"/>
  <c r="M505" i="2"/>
  <c r="N505" i="2"/>
  <c r="M285" i="2"/>
  <c r="N285" i="2"/>
  <c r="M477" i="2"/>
  <c r="N477" i="2"/>
  <c r="N111" i="2"/>
  <c r="M111" i="2"/>
  <c r="M39" i="2"/>
  <c r="N39" i="2"/>
  <c r="M156" i="2"/>
  <c r="N156" i="2"/>
  <c r="M360" i="2"/>
  <c r="N360" i="2"/>
  <c r="M95" i="2"/>
  <c r="N95" i="2"/>
  <c r="N206" i="2"/>
  <c r="M206" i="2"/>
  <c r="M228" i="2"/>
  <c r="N228" i="2"/>
  <c r="M78" i="2"/>
  <c r="N78" i="2"/>
  <c r="M250" i="2"/>
  <c r="N250" i="2"/>
  <c r="M454" i="2"/>
  <c r="N454" i="2"/>
  <c r="M146" i="2"/>
  <c r="N146" i="2"/>
  <c r="M214" i="2"/>
  <c r="N214" i="2"/>
  <c r="M87" i="2"/>
  <c r="N87" i="2"/>
  <c r="M336" i="2"/>
  <c r="N336" i="2"/>
  <c r="M25" i="2"/>
  <c r="N25" i="2"/>
  <c r="M147" i="2"/>
  <c r="N147" i="2"/>
  <c r="M349" i="2"/>
  <c r="N349" i="2"/>
  <c r="N520" i="2"/>
  <c r="M520" i="2"/>
  <c r="M359" i="2"/>
  <c r="N359" i="2"/>
  <c r="M16" i="2"/>
  <c r="N16" i="2"/>
  <c r="M374" i="2"/>
  <c r="N374" i="2"/>
  <c r="M172" i="2"/>
  <c r="N172" i="2"/>
  <c r="N279" i="2"/>
  <c r="M279" i="2"/>
  <c r="M17" i="2"/>
  <c r="N17" i="2"/>
  <c r="M329" i="2"/>
  <c r="N329" i="2"/>
  <c r="M513" i="2"/>
  <c r="N513" i="2"/>
  <c r="M149" i="2"/>
  <c r="N149" i="2"/>
  <c r="N426" i="2"/>
  <c r="M426" i="2"/>
  <c r="M325" i="2"/>
  <c r="N325" i="2"/>
  <c r="M310" i="2"/>
  <c r="N310" i="2"/>
  <c r="M52" i="2"/>
  <c r="N52" i="2"/>
  <c r="M406" i="2"/>
  <c r="N406" i="2"/>
  <c r="M299" i="2"/>
  <c r="N299" i="2"/>
  <c r="N191" i="2"/>
  <c r="M191" i="2"/>
  <c r="M267" i="2"/>
  <c r="N267" i="2"/>
  <c r="M19" i="2"/>
  <c r="N19" i="2"/>
  <c r="N174" i="2"/>
  <c r="M174" i="2"/>
  <c r="M427" i="2"/>
  <c r="N427" i="2"/>
  <c r="M421" i="2"/>
  <c r="N421" i="2"/>
  <c r="M150" i="2"/>
  <c r="N150" i="2"/>
  <c r="M68" i="2"/>
  <c r="N68" i="2"/>
  <c r="M284" i="2"/>
  <c r="N284" i="2"/>
  <c r="M476" i="2"/>
  <c r="N476" i="2"/>
  <c r="N80" i="2"/>
  <c r="M80" i="2"/>
  <c r="M37" i="2"/>
  <c r="N37" i="2"/>
  <c r="M167" i="2"/>
  <c r="N167" i="2"/>
  <c r="N361" i="2"/>
  <c r="M361" i="2"/>
  <c r="M508" i="2"/>
  <c r="N508" i="2"/>
  <c r="M517" i="2"/>
  <c r="N517" i="2"/>
  <c r="M442" i="2"/>
  <c r="N442" i="2"/>
  <c r="M472" i="2"/>
  <c r="N472" i="2"/>
  <c r="M482" i="2"/>
  <c r="N482" i="2"/>
  <c r="M5" i="2"/>
  <c r="N5" i="2"/>
  <c r="M389" i="2"/>
  <c r="N389" i="2"/>
  <c r="M475" i="2"/>
  <c r="N475" i="2"/>
  <c r="M516" i="2"/>
  <c r="N516" i="2"/>
  <c r="M455" i="2"/>
  <c r="N455" i="2"/>
  <c r="N3" i="2"/>
  <c r="M3" i="2"/>
  <c r="M295" i="2"/>
  <c r="N295" i="2"/>
  <c r="M311" i="2"/>
  <c r="N311" i="2"/>
  <c r="M202" i="2"/>
  <c r="N202" i="2"/>
  <c r="N450" i="2"/>
  <c r="M450" i="2"/>
  <c r="K238" i="2"/>
  <c r="L238" i="2" s="1"/>
  <c r="K283" i="2"/>
  <c r="L283" i="2" s="1"/>
  <c r="K6" i="2"/>
  <c r="L6" i="2" s="1"/>
  <c r="K355" i="2"/>
  <c r="L355" i="2" s="1"/>
  <c r="K123" i="2"/>
  <c r="L123" i="2" s="1"/>
  <c r="K457" i="2"/>
  <c r="L457" i="2" s="1"/>
  <c r="K179" i="2"/>
  <c r="L179" i="2" s="1"/>
  <c r="K47" i="2"/>
  <c r="L47" i="2" s="1"/>
  <c r="K497" i="2"/>
  <c r="L497" i="2" s="1"/>
  <c r="K348" i="2"/>
  <c r="L348" i="2" s="1"/>
  <c r="L226" i="2"/>
  <c r="K226" i="2"/>
  <c r="K337" i="2"/>
  <c r="L337" i="2" s="1"/>
  <c r="K112" i="2"/>
  <c r="L112" i="2" s="1"/>
  <c r="K97" i="2"/>
  <c r="L97" i="2" s="1"/>
  <c r="K258" i="2"/>
  <c r="L258" i="2" s="1"/>
  <c r="K503" i="2"/>
  <c r="L503" i="2" s="1"/>
  <c r="K208" i="2"/>
  <c r="L208" i="2" s="1"/>
  <c r="K107" i="2"/>
  <c r="L107" i="2" s="1"/>
  <c r="L152" i="2"/>
  <c r="K152" i="2"/>
  <c r="K502" i="2"/>
  <c r="L502" i="2" s="1"/>
  <c r="K41" i="2"/>
  <c r="L41" i="2" s="1"/>
  <c r="K155" i="2"/>
  <c r="L155" i="2" s="1"/>
  <c r="K357" i="2"/>
  <c r="L357" i="2" s="1"/>
  <c r="K122" i="2"/>
  <c r="L122" i="2" s="1"/>
  <c r="K377" i="2"/>
  <c r="L377" i="2" s="1"/>
  <c r="K237" i="2"/>
  <c r="L237" i="2" s="1"/>
  <c r="K298" i="2"/>
  <c r="L298" i="2" s="1"/>
  <c r="L316" i="2"/>
  <c r="K316" i="2"/>
  <c r="K492" i="2"/>
  <c r="L492" i="2" s="1"/>
  <c r="L26" i="2"/>
  <c r="K26" i="2"/>
  <c r="K366" i="2"/>
  <c r="L366" i="2" s="1"/>
  <c r="K521" i="2"/>
  <c r="L521" i="2" s="1"/>
  <c r="K194" i="2"/>
  <c r="L194" i="2" s="1"/>
  <c r="L446" i="2"/>
  <c r="K446" i="2"/>
  <c r="K104" i="2"/>
  <c r="L104" i="2" s="1"/>
  <c r="L499" i="2"/>
  <c r="K499" i="2"/>
  <c r="K282" i="2"/>
  <c r="L282" i="2" s="1"/>
  <c r="K161" i="2"/>
  <c r="L161" i="2" s="1"/>
  <c r="L471" i="2"/>
  <c r="K471" i="2"/>
  <c r="L462" i="2"/>
  <c r="K462" i="2"/>
  <c r="K305" i="2"/>
  <c r="L305" i="2" s="1"/>
  <c r="K28" i="2"/>
  <c r="L28" i="2" s="1"/>
  <c r="K195" i="2"/>
  <c r="L195" i="2" s="1"/>
  <c r="K469" i="2"/>
  <c r="L469" i="2" s="1"/>
  <c r="K441" i="2"/>
  <c r="L441" i="2" s="1"/>
  <c r="K352" i="2"/>
  <c r="L352" i="2" s="1"/>
  <c r="K425" i="2"/>
  <c r="L425" i="2" s="1"/>
  <c r="L420" i="2"/>
  <c r="K420" i="2"/>
  <c r="K481" i="2"/>
  <c r="L481" i="2" s="1"/>
  <c r="K130" i="2"/>
  <c r="L130" i="2" s="1"/>
  <c r="K45" i="2"/>
  <c r="L45" i="2" s="1"/>
  <c r="K175" i="2"/>
  <c r="L175" i="2" s="1"/>
  <c r="L369" i="2"/>
  <c r="K369" i="2"/>
  <c r="K85" i="2"/>
  <c r="L85" i="2" s="1"/>
  <c r="L234" i="2"/>
  <c r="K234" i="2"/>
  <c r="K177" i="2"/>
  <c r="L177" i="2" s="1"/>
  <c r="L327" i="2"/>
  <c r="K327" i="2"/>
  <c r="K248" i="2"/>
  <c r="L248" i="2" s="1"/>
  <c r="K13" i="2"/>
  <c r="L13" i="2" s="1"/>
  <c r="K432" i="2"/>
  <c r="L432" i="2" s="1"/>
  <c r="K332" i="2"/>
  <c r="L332" i="2" s="1"/>
  <c r="K193" i="2"/>
  <c r="L193" i="2" s="1"/>
  <c r="K132" i="2"/>
  <c r="L132" i="2" s="1"/>
  <c r="K126" i="2"/>
  <c r="L126" i="2" s="1"/>
  <c r="K365" i="2"/>
  <c r="L365" i="2" s="1"/>
  <c r="K33" i="2"/>
  <c r="L33" i="2" s="1"/>
  <c r="L253" i="2"/>
  <c r="K253" i="2"/>
  <c r="K271" i="2"/>
  <c r="L271" i="2" s="1"/>
  <c r="K338" i="2"/>
  <c r="L338" i="2" s="1"/>
  <c r="K119" i="2"/>
  <c r="L119" i="2" s="1"/>
  <c r="K288" i="2"/>
  <c r="L288" i="2" s="1"/>
  <c r="K519" i="2"/>
  <c r="L519" i="2" s="1"/>
  <c r="K407" i="2"/>
  <c r="L407" i="2" s="1"/>
  <c r="K306" i="2"/>
  <c r="L306" i="2" s="1"/>
  <c r="K458" i="2"/>
  <c r="L458" i="2" s="1"/>
  <c r="K321" i="2"/>
  <c r="L321" i="2" s="1"/>
  <c r="K63" i="2"/>
  <c r="L63" i="2" s="1"/>
  <c r="K163" i="2"/>
  <c r="L163" i="2" s="1"/>
  <c r="K383" i="2"/>
  <c r="L383" i="2" s="1"/>
  <c r="K341" i="2"/>
  <c r="L341" i="2" s="1"/>
  <c r="K394" i="2"/>
  <c r="L394" i="2" s="1"/>
  <c r="K75" i="2"/>
  <c r="L75" i="2" s="1"/>
  <c r="L145" i="2"/>
  <c r="K145" i="2"/>
  <c r="K459" i="2"/>
  <c r="L459" i="2" s="1"/>
  <c r="K435" i="2"/>
  <c r="L435" i="2" s="1"/>
  <c r="K34" i="2"/>
  <c r="L34" i="2" s="1"/>
  <c r="K384" i="2"/>
  <c r="L384" i="2" s="1"/>
  <c r="K21" i="2"/>
  <c r="L21" i="2" s="1"/>
  <c r="K230" i="2"/>
  <c r="L230" i="2" s="1"/>
  <c r="K468" i="2"/>
  <c r="L468" i="2" s="1"/>
  <c r="K129" i="2"/>
  <c r="L129" i="2" s="1"/>
  <c r="K350" i="2"/>
  <c r="L350" i="2" s="1"/>
  <c r="K278" i="2"/>
  <c r="L278" i="2" s="1"/>
  <c r="K98" i="2"/>
  <c r="L98" i="2" s="1"/>
  <c r="K188" i="2"/>
  <c r="L188" i="2" s="1"/>
  <c r="L461" i="2"/>
  <c r="K461" i="2"/>
  <c r="K494" i="2"/>
  <c r="L494" i="2" s="1"/>
  <c r="K36" i="2"/>
  <c r="L36" i="2" s="1"/>
  <c r="K203" i="2"/>
  <c r="L203" i="2" s="1"/>
  <c r="K507" i="2"/>
  <c r="L507" i="2" s="1"/>
  <c r="K453" i="2"/>
  <c r="L453" i="2" s="1"/>
  <c r="K392" i="2"/>
  <c r="L392" i="2" s="1"/>
  <c r="K291" i="2"/>
  <c r="L291" i="2" s="1"/>
  <c r="K178" i="2"/>
  <c r="L178" i="2" s="1"/>
  <c r="K489" i="2"/>
  <c r="L489" i="2" s="1"/>
  <c r="K245" i="2"/>
  <c r="L245" i="2" s="1"/>
  <c r="K84" i="2"/>
  <c r="L84" i="2" s="1"/>
  <c r="K186" i="2"/>
  <c r="L186" i="2" s="1"/>
  <c r="K379" i="2"/>
  <c r="L379" i="2" s="1"/>
  <c r="K103" i="2"/>
  <c r="L103" i="2" s="1"/>
  <c r="K265" i="2"/>
  <c r="L265" i="2" s="1"/>
  <c r="K506" i="2"/>
  <c r="L506" i="2"/>
  <c r="K241" i="2"/>
  <c r="L241" i="2" s="1"/>
  <c r="K275" i="2"/>
  <c r="L275" i="2" s="1"/>
  <c r="K22" i="2"/>
  <c r="L22" i="2" s="1"/>
  <c r="K518" i="2"/>
  <c r="L518" i="2" s="1"/>
  <c r="K55" i="2"/>
  <c r="L55" i="2" s="1"/>
  <c r="K50" i="2"/>
  <c r="L50" i="2" s="1"/>
  <c r="K293" i="2"/>
  <c r="L293" i="2" s="1"/>
  <c r="K452" i="2"/>
  <c r="L452" i="2" s="1"/>
  <c r="K445" i="2"/>
  <c r="L445" i="2" s="1"/>
  <c r="K385" i="2"/>
  <c r="L385" i="2" s="1"/>
  <c r="K470" i="2"/>
  <c r="K274" i="2"/>
  <c r="L274" i="2" s="1"/>
  <c r="K8" i="2"/>
  <c r="L8" i="2" s="1"/>
  <c r="K514" i="2"/>
  <c r="L514" i="2" s="1"/>
  <c r="K254" i="2"/>
  <c r="L254" i="2" s="1"/>
  <c r="K487" i="2"/>
  <c r="L487" i="2" s="1"/>
  <c r="K345" i="2"/>
  <c r="L345" i="2" s="1"/>
  <c r="K77" i="2"/>
  <c r="L77" i="2" s="1"/>
  <c r="K239" i="2"/>
  <c r="L239" i="2" s="1"/>
  <c r="K422" i="2"/>
  <c r="L422" i="2" s="1"/>
  <c r="K211" i="2"/>
  <c r="L211" i="2" s="1"/>
  <c r="K479" i="2"/>
  <c r="L479" i="2" s="1"/>
  <c r="K218" i="2"/>
  <c r="L218" i="2" s="1"/>
  <c r="K154" i="2"/>
  <c r="L154" i="2" s="1"/>
  <c r="K356" i="2"/>
  <c r="L356" i="2" s="1"/>
  <c r="K346" i="2"/>
  <c r="L346" i="2" s="1"/>
  <c r="K164" i="2"/>
  <c r="L164" i="2" s="1"/>
  <c r="K144" i="2"/>
  <c r="L144" i="2" s="1"/>
  <c r="K464" i="2"/>
  <c r="L464" i="2" s="1"/>
  <c r="K116" i="2"/>
  <c r="L116" i="2" s="1"/>
  <c r="K71" i="2"/>
  <c r="L71" i="2" s="1"/>
  <c r="K200" i="2"/>
  <c r="L200" i="2" s="1"/>
  <c r="K400" i="2"/>
  <c r="L400" i="2" s="1"/>
  <c r="K522" i="2"/>
  <c r="L522" i="2"/>
  <c r="K269" i="2"/>
  <c r="L269" i="2" s="1"/>
  <c r="K153" i="2"/>
  <c r="L153" i="2" s="1"/>
  <c r="K287" i="2"/>
  <c r="L287" i="2" s="1"/>
  <c r="K466" i="2"/>
  <c r="L466" i="2" s="1"/>
  <c r="K303" i="2"/>
  <c r="L303" i="2" s="1"/>
  <c r="K64" i="2"/>
  <c r="L64" i="2" s="1"/>
  <c r="K393" i="2"/>
  <c r="L393" i="2" s="1"/>
  <c r="K243" i="2"/>
  <c r="L243" i="2" s="1"/>
  <c r="K292" i="2"/>
  <c r="L292" i="2" s="1"/>
  <c r="K217" i="2"/>
  <c r="L217" i="2" s="1"/>
  <c r="K96" i="2"/>
  <c r="L96" i="2" s="1"/>
  <c r="K207" i="2"/>
  <c r="L207" i="2" s="1"/>
  <c r="K10" i="2"/>
  <c r="L10" i="2"/>
  <c r="K117" i="2"/>
  <c r="L117" i="2" s="1"/>
  <c r="K297" i="2"/>
  <c r="L297" i="2" s="1"/>
  <c r="K302" i="2"/>
  <c r="L302" i="2" s="1"/>
  <c r="K223" i="2"/>
  <c r="L223" i="2" s="1"/>
  <c r="K66" i="2"/>
  <c r="L66" i="2" s="1"/>
  <c r="L212" i="2"/>
  <c r="K212" i="2"/>
  <c r="K127" i="2"/>
  <c r="L127" i="2" s="1"/>
  <c r="K510" i="2"/>
  <c r="L510" i="2" s="1"/>
  <c r="L169" i="2"/>
  <c r="K169" i="2"/>
  <c r="L312" i="2"/>
  <c r="K312" i="2"/>
  <c r="K331" i="2"/>
  <c r="L331" i="2" s="1"/>
  <c r="K488" i="2"/>
  <c r="L488" i="2" s="1"/>
  <c r="K343" i="2"/>
  <c r="L343" i="2" s="1"/>
  <c r="K92" i="2"/>
  <c r="L92" i="2" s="1"/>
  <c r="K196" i="2"/>
  <c r="L196" i="2" s="1"/>
  <c r="K387" i="2"/>
  <c r="L387" i="2" s="1"/>
  <c r="K168" i="2"/>
  <c r="L168" i="2" s="1"/>
  <c r="K308" i="2"/>
  <c r="L308" i="2" s="1"/>
  <c r="K249" i="2"/>
  <c r="L249" i="2" s="1"/>
  <c r="K309" i="2"/>
  <c r="L309" i="2" s="1"/>
  <c r="K225" i="2"/>
  <c r="L225" i="2" s="1"/>
  <c r="K30" i="2"/>
  <c r="L30" i="2" s="1"/>
  <c r="L180" i="2"/>
  <c r="K180" i="2"/>
  <c r="K266" i="2"/>
  <c r="L266" i="2" s="1"/>
  <c r="K484" i="2"/>
  <c r="L484" i="2" s="1"/>
  <c r="L61" i="2"/>
  <c r="K61" i="2"/>
  <c r="L498" i="2"/>
  <c r="K498" i="2"/>
  <c r="L408" i="2"/>
  <c r="K408" i="2"/>
  <c r="K411" i="2"/>
  <c r="L411" i="2" s="1"/>
  <c r="K281" i="2"/>
  <c r="L281" i="2" s="1"/>
  <c r="K289" i="2"/>
  <c r="L289" i="2" s="1"/>
  <c r="L181" i="2"/>
  <c r="K181" i="2"/>
  <c r="K307" i="2"/>
  <c r="L307" i="2" s="1"/>
  <c r="K99" i="2"/>
  <c r="L99" i="2" s="1"/>
  <c r="K456" i="2"/>
  <c r="L456" i="2" s="1"/>
  <c r="K7" i="2"/>
  <c r="L7" i="2" s="1"/>
  <c r="K162" i="2"/>
  <c r="L162" i="2" s="1"/>
  <c r="K364" i="2"/>
  <c r="L364" i="2" s="1"/>
  <c r="K158" i="2"/>
  <c r="L158" i="2" s="1"/>
  <c r="K496" i="2"/>
  <c r="L496" i="2" s="1"/>
  <c r="K443" i="2"/>
  <c r="L443" i="2" s="1"/>
  <c r="K370" i="2"/>
  <c r="L370" i="2" s="1"/>
  <c r="K227" i="2"/>
  <c r="L227" i="2" s="1"/>
  <c r="K79" i="2"/>
  <c r="L79" i="2" s="1"/>
  <c r="K219" i="2"/>
  <c r="L219" i="2" s="1"/>
  <c r="K416" i="2"/>
  <c r="L416" i="2" s="1"/>
  <c r="K18" i="2"/>
  <c r="L18" i="2" s="1"/>
  <c r="K434" i="2"/>
  <c r="L434" i="2" s="1"/>
  <c r="K121" i="2"/>
  <c r="L121" i="2" s="1"/>
  <c r="L133" i="2"/>
  <c r="K133" i="2"/>
  <c r="K478" i="2"/>
  <c r="L478" i="2" s="1"/>
  <c r="K62" i="2"/>
  <c r="L62" i="2" s="1"/>
  <c r="K89" i="2"/>
  <c r="L89" i="2" s="1"/>
  <c r="K401" i="2"/>
  <c r="L401" i="2" s="1"/>
  <c r="K451" i="2"/>
  <c r="L451" i="2"/>
  <c r="K351" i="2"/>
  <c r="L351" i="2" s="1"/>
  <c r="K35" i="2"/>
  <c r="L35" i="2" s="1"/>
  <c r="K362" i="2"/>
  <c r="L362" i="2" s="1"/>
  <c r="K215" i="2"/>
  <c r="L215" i="2" s="1"/>
  <c r="K106" i="2"/>
  <c r="L106" i="2" s="1"/>
  <c r="K500" i="2"/>
  <c r="L500" i="2" s="1"/>
  <c r="K108" i="2"/>
  <c r="L108" i="2" s="1"/>
  <c r="K391" i="2"/>
  <c r="L391" i="2" s="1"/>
  <c r="K59" i="2"/>
  <c r="L59" i="2" s="1"/>
  <c r="K83" i="2"/>
  <c r="L83" i="2" s="1"/>
  <c r="K301" i="2"/>
  <c r="L301" i="2" s="1"/>
  <c r="K197" i="2"/>
  <c r="L197" i="2" s="1"/>
  <c r="K232" i="2"/>
  <c r="L232" i="2"/>
  <c r="K240" i="2"/>
  <c r="L240" i="2" s="1"/>
  <c r="K140" i="2"/>
  <c r="L140" i="2" s="1"/>
  <c r="K49" i="2"/>
  <c r="L49" i="2" s="1"/>
  <c r="K490" i="2"/>
  <c r="L490" i="2" s="1"/>
  <c r="K58" i="2"/>
  <c r="L58" i="2" s="1"/>
  <c r="K102" i="2"/>
  <c r="L102" i="2" s="1"/>
  <c r="K204" i="2"/>
  <c r="L204" i="2" s="1"/>
  <c r="K396" i="2"/>
  <c r="L396" i="2" s="1"/>
  <c r="K372" i="2"/>
  <c r="L372" i="2" s="1"/>
  <c r="K326" i="2"/>
  <c r="L326" i="2" s="1"/>
  <c r="K165" i="2"/>
  <c r="L165" i="2" s="1"/>
  <c r="K333" i="2"/>
  <c r="L333" i="2" s="1"/>
  <c r="K110" i="2"/>
  <c r="L110" i="2" s="1"/>
  <c r="K38" i="2"/>
  <c r="L38" i="2" s="1"/>
  <c r="K128" i="2"/>
  <c r="L128" i="2" s="1"/>
  <c r="K11" i="2"/>
  <c r="L11" i="2" s="1"/>
  <c r="K386" i="2"/>
  <c r="L386" i="2" s="1"/>
  <c r="K304" i="2"/>
  <c r="L304" i="2" s="1"/>
  <c r="K423" i="2"/>
  <c r="L423" i="2" s="1"/>
  <c r="K221" i="2"/>
  <c r="L221" i="2" s="1"/>
  <c r="K447" i="2"/>
  <c r="L447" i="2" s="1"/>
  <c r="K27" i="2"/>
  <c r="L27" i="2" s="1"/>
  <c r="K342" i="2"/>
  <c r="L342" i="2" s="1"/>
  <c r="K134" i="2"/>
  <c r="L134" i="2" s="1"/>
  <c r="K323" i="2"/>
  <c r="L323" i="2" s="1"/>
  <c r="K501" i="2"/>
  <c r="L501" i="2" s="1"/>
  <c r="K485" i="2"/>
  <c r="L485" i="2" s="1"/>
  <c r="K14" i="2"/>
  <c r="L14" i="2" s="1"/>
  <c r="K431" i="2"/>
  <c r="L431" i="2" s="1"/>
  <c r="K256" i="2"/>
  <c r="L256" i="2" s="1"/>
  <c r="K91" i="2"/>
  <c r="L91" i="2" s="1"/>
  <c r="L371" i="2"/>
  <c r="K371" i="2"/>
  <c r="K320" i="2"/>
  <c r="L320" i="2" s="1"/>
  <c r="K15" i="2"/>
  <c r="L15" i="2" s="1"/>
  <c r="K170" i="2"/>
  <c r="L170" i="2" s="1"/>
  <c r="K390" i="2"/>
  <c r="L390" i="2" s="1"/>
  <c r="K20" i="2"/>
  <c r="L20" i="2" s="1"/>
  <c r="K82" i="2"/>
  <c r="L82" i="2" s="1"/>
  <c r="K334" i="2"/>
  <c r="L334" i="2" s="1"/>
  <c r="K439" i="2"/>
  <c r="L439" i="2" s="1"/>
  <c r="K339" i="2"/>
  <c r="L339" i="2" s="1"/>
  <c r="K88" i="2"/>
  <c r="L88" i="2" s="1"/>
  <c r="K251" i="2"/>
  <c r="L251" i="2" s="1"/>
  <c r="K474" i="2"/>
  <c r="L474" i="2" s="1"/>
  <c r="K65" i="2"/>
  <c r="L65" i="2" s="1"/>
  <c r="K260" i="2"/>
  <c r="L260" i="2" s="1"/>
  <c r="K257" i="2"/>
  <c r="L257" i="2" s="1"/>
  <c r="K413" i="2"/>
  <c r="L413" i="2" s="1"/>
  <c r="K93" i="2"/>
  <c r="L93" i="2" s="1"/>
  <c r="K118" i="2"/>
  <c r="L118" i="2"/>
  <c r="K148" i="2"/>
  <c r="L148" i="2" s="1"/>
  <c r="K409" i="2"/>
  <c r="L409" i="2"/>
  <c r="K43" i="2"/>
  <c r="L43" i="2" s="1"/>
  <c r="K367" i="2"/>
  <c r="L367" i="2" s="1"/>
  <c r="K32" i="2"/>
  <c r="L32" i="2" s="1"/>
  <c r="K100" i="2"/>
  <c r="L100" i="2" s="1"/>
  <c r="K354" i="2"/>
  <c r="L354" i="2" s="1"/>
  <c r="K438" i="2"/>
  <c r="L438" i="2" s="1"/>
  <c r="K424" i="2"/>
  <c r="L424" i="2" s="1"/>
  <c r="L290" i="2"/>
  <c r="K290" i="2"/>
  <c r="K493" i="2"/>
  <c r="L493" i="2" s="1"/>
  <c r="K124" i="2"/>
  <c r="L124" i="2" s="1"/>
  <c r="K125" i="2"/>
  <c r="L125" i="2" s="1"/>
  <c r="L378" i="2"/>
  <c r="K378" i="2"/>
  <c r="K264" i="2"/>
  <c r="L264" i="2" s="1"/>
  <c r="K72" i="2"/>
  <c r="L72" i="2" s="1"/>
  <c r="K467" i="2"/>
  <c r="L467" i="2" s="1"/>
  <c r="L199" i="2"/>
  <c r="K199" i="2"/>
  <c r="K483" i="2"/>
  <c r="L483" i="2" s="1"/>
  <c r="K317" i="2"/>
  <c r="L317" i="2" s="1"/>
  <c r="K4" i="2"/>
  <c r="L4" i="2" s="1"/>
  <c r="K114" i="2"/>
  <c r="L114" i="2" s="1"/>
  <c r="K213" i="2"/>
  <c r="L213" i="2" s="1"/>
  <c r="L404" i="2"/>
  <c r="K404" i="2"/>
  <c r="K388" i="2"/>
  <c r="L388" i="2" s="1"/>
  <c r="K363" i="2"/>
  <c r="L363" i="2" s="1"/>
  <c r="K300" i="2"/>
  <c r="L300" i="2" s="1"/>
  <c r="K56" i="2"/>
  <c r="L56" i="2" s="1"/>
  <c r="K246" i="2"/>
  <c r="L246" i="2" s="1"/>
  <c r="K46" i="2"/>
  <c r="L46" i="2" s="1"/>
  <c r="K276" i="2"/>
  <c r="L276" i="2" s="1"/>
  <c r="K135" i="2"/>
  <c r="L135" i="2" s="1"/>
  <c r="K171" i="2"/>
  <c r="L171" i="2" s="1"/>
  <c r="K236" i="2"/>
  <c r="L236" i="2" s="1"/>
  <c r="L105" i="2"/>
  <c r="K105" i="2"/>
  <c r="K60" i="2"/>
  <c r="L60" i="2" s="1"/>
  <c r="K280" i="2"/>
  <c r="L280" i="2" s="1"/>
  <c r="K113" i="2"/>
  <c r="L113" i="2" s="1"/>
  <c r="K69" i="2"/>
  <c r="L69" i="2" s="1"/>
  <c r="L70" i="2"/>
  <c r="K70" i="2"/>
  <c r="K286" i="2"/>
  <c r="L286" i="2" s="1"/>
  <c r="L449" i="2"/>
  <c r="K449" i="2"/>
  <c r="L51" i="2"/>
  <c r="K51" i="2"/>
  <c r="K319" i="2"/>
  <c r="L319" i="2" s="1"/>
  <c r="K23" i="2"/>
  <c r="L23" i="2" s="1"/>
  <c r="K448" i="2"/>
  <c r="L448" i="2" s="1"/>
  <c r="K358" i="2"/>
  <c r="L358" i="2" s="1"/>
  <c r="K262" i="2"/>
  <c r="L262" i="2" s="1"/>
  <c r="L465" i="2"/>
  <c r="K465" i="2"/>
  <c r="K53" i="2"/>
  <c r="L53" i="2" s="1"/>
  <c r="K24" i="2"/>
  <c r="L24" i="2" s="1"/>
  <c r="K189" i="2"/>
  <c r="L189" i="2" s="1"/>
  <c r="K415" i="2"/>
  <c r="L415" i="2" s="1"/>
  <c r="K353" i="2"/>
  <c r="L353" i="2" s="1"/>
  <c r="K210" i="2"/>
  <c r="L210" i="2" s="1"/>
  <c r="K138" i="2"/>
  <c r="L138" i="2" s="1"/>
  <c r="K273" i="2"/>
  <c r="L273" i="2" s="1"/>
  <c r="K347" i="2"/>
  <c r="L347" i="2" s="1"/>
  <c r="K120" i="2"/>
  <c r="L120" i="2" s="1"/>
  <c r="K259" i="2"/>
  <c r="L259" i="2" s="1"/>
  <c r="K504" i="2"/>
  <c r="L504" i="2" s="1"/>
  <c r="K157" i="2"/>
  <c r="L157" i="2" s="1"/>
  <c r="L399" i="2"/>
  <c r="K399" i="2"/>
  <c r="K143" i="2"/>
  <c r="L143" i="2" s="1"/>
  <c r="K185" i="2"/>
  <c r="L185" i="2" s="1"/>
  <c r="K495" i="2"/>
  <c r="L495" i="2" s="1"/>
  <c r="K340" i="2"/>
  <c r="L340" i="2" s="1"/>
  <c r="K201" i="2"/>
  <c r="L201" i="2" s="1"/>
  <c r="K417" i="2"/>
  <c r="L417" i="2" s="1"/>
  <c r="K73" i="2"/>
  <c r="L73" i="2" s="1"/>
  <c r="K402" i="2"/>
  <c r="L402" i="2" s="1"/>
  <c r="K511" i="2"/>
  <c r="L511" i="2" s="1"/>
  <c r="K382" i="2"/>
  <c r="L382" i="2" s="1"/>
  <c r="K187" i="2"/>
  <c r="L187" i="2" s="1"/>
  <c r="K261" i="2"/>
  <c r="L261" i="2" s="1"/>
  <c r="K160" i="2"/>
  <c r="L160" i="2" s="1"/>
  <c r="K395" i="2"/>
  <c r="L395" i="2" s="1"/>
  <c r="L335" i="2"/>
  <c r="K335" i="2"/>
  <c r="K244" i="2"/>
  <c r="L244" i="2" s="1"/>
  <c r="K142" i="2"/>
  <c r="L142" i="2" s="1"/>
  <c r="K403" i="2"/>
  <c r="L403" i="2" s="1"/>
  <c r="K380" i="2"/>
  <c r="L380" i="2" s="1"/>
  <c r="K67" i="2"/>
  <c r="L67" i="2" s="1"/>
  <c r="K255" i="2"/>
  <c r="L255" i="2" s="1"/>
  <c r="K139" i="2"/>
  <c r="L139" i="2" s="1"/>
  <c r="K480" i="2"/>
  <c r="L480" i="2" s="1"/>
  <c r="K318" i="2"/>
  <c r="L318" i="2" s="1"/>
  <c r="K12" i="2"/>
  <c r="L12" i="2" s="1"/>
  <c r="K151" i="2"/>
  <c r="L151" i="2" s="1"/>
  <c r="K294" i="2"/>
  <c r="L294" i="2" s="1"/>
  <c r="K412" i="2"/>
  <c r="L412" i="2" s="1"/>
  <c r="K405" i="2"/>
  <c r="L405" i="2" s="1"/>
  <c r="K373" i="2"/>
  <c r="L373" i="2" s="1"/>
  <c r="K296" i="2"/>
  <c r="L296" i="2" s="1"/>
  <c r="K486" i="2"/>
  <c r="L486" i="2" s="1"/>
  <c r="K344" i="2"/>
  <c r="L344" i="2" s="1"/>
  <c r="K115" i="2"/>
  <c r="L115" i="2" s="1"/>
  <c r="K375" i="2"/>
  <c r="L375" i="2" s="1"/>
  <c r="K460" i="2"/>
  <c r="L460" i="2" s="1"/>
  <c r="K314" i="2"/>
  <c r="L314" i="2" s="1"/>
  <c r="K57" i="2"/>
  <c r="L57" i="2" s="1"/>
  <c r="K76" i="2"/>
  <c r="L76" i="2" s="1"/>
  <c r="K182" i="2"/>
  <c r="L182" i="2" s="1"/>
  <c r="K242" i="2"/>
  <c r="L242" i="2" s="1"/>
  <c r="K231" i="2"/>
  <c r="L231" i="2" s="1"/>
  <c r="K136" i="2"/>
  <c r="L136" i="2" s="1"/>
  <c r="L263" i="2"/>
  <c r="K263" i="2"/>
  <c r="K376" i="2"/>
  <c r="L376" i="2" s="1"/>
  <c r="K444" i="2"/>
  <c r="L444" i="2" s="1"/>
  <c r="K94" i="2"/>
  <c r="L94" i="2" s="1"/>
  <c r="K190" i="2"/>
  <c r="L190" i="2" s="1"/>
  <c r="K31" i="2"/>
  <c r="L31" i="2" s="1"/>
  <c r="K233" i="2"/>
  <c r="L233" i="2" s="1"/>
  <c r="K437" i="2"/>
  <c r="L437" i="2" s="1"/>
  <c r="K410" i="2"/>
  <c r="L410" i="2" s="1"/>
  <c r="K315" i="2"/>
  <c r="L315" i="2" s="1"/>
  <c r="K229" i="2"/>
  <c r="L229" i="2" s="1"/>
  <c r="K40" i="2"/>
  <c r="L40" i="2" s="1"/>
  <c r="K235" i="2"/>
  <c r="L235" i="2" s="1"/>
  <c r="L433" i="2"/>
  <c r="K433" i="2"/>
  <c r="K313" i="2"/>
  <c r="L313" i="2" s="1"/>
  <c r="L330" i="2"/>
  <c r="K330" i="2"/>
  <c r="K414" i="2"/>
  <c r="L414" i="2" s="1"/>
  <c r="K277" i="2"/>
  <c r="L277" i="2" s="1"/>
  <c r="K268" i="2"/>
  <c r="L268" i="2" s="1"/>
  <c r="K131" i="2"/>
  <c r="L131" i="2" s="1"/>
  <c r="K328" i="2"/>
  <c r="L328" i="2" s="1"/>
  <c r="K512" i="2"/>
  <c r="L512" i="2" s="1"/>
  <c r="K173" i="2"/>
  <c r="L173" i="2" s="1"/>
  <c r="K473" i="2"/>
  <c r="L473" i="2" s="1"/>
  <c r="K216" i="2"/>
  <c r="L216" i="2" s="1"/>
  <c r="K101" i="2"/>
  <c r="L101" i="2" s="1"/>
  <c r="K109" i="2"/>
  <c r="L109" i="2" s="1"/>
  <c r="K9" i="2"/>
  <c r="L9" i="2" s="1"/>
  <c r="K272" i="2"/>
  <c r="L272" i="2" s="1"/>
  <c r="K436" i="2"/>
  <c r="L436" i="2" s="1"/>
  <c r="K141" i="2"/>
  <c r="L141" i="2" s="1"/>
  <c r="K418" i="2"/>
  <c r="L418" i="2" s="1"/>
  <c r="K137" i="2"/>
  <c r="L137" i="2" s="1"/>
  <c r="L440" i="2"/>
  <c r="K440" i="2"/>
  <c r="K184" i="2"/>
  <c r="L184" i="2" s="1"/>
  <c r="K205" i="2"/>
  <c r="L205" i="2" s="1"/>
  <c r="K44" i="2"/>
  <c r="L44" i="2" s="1"/>
  <c r="K90" i="2"/>
  <c r="L90" i="2" s="1"/>
  <c r="K491" i="2"/>
  <c r="L491" i="2" s="1"/>
  <c r="K523" i="2"/>
  <c r="L523" i="2"/>
  <c r="K166" i="2"/>
  <c r="L166" i="2" s="1"/>
  <c r="K419" i="2"/>
  <c r="L419" i="2" s="1"/>
  <c r="K397" i="2"/>
  <c r="L397" i="2" s="1"/>
  <c r="K515" i="2"/>
  <c r="L515" i="2" s="1"/>
  <c r="K74" i="2"/>
  <c r="L74" i="2" s="1"/>
  <c r="K368" i="2"/>
  <c r="L368" i="2" s="1"/>
  <c r="L48" i="2"/>
  <c r="K48" i="2"/>
  <c r="K222" i="2"/>
  <c r="L222" i="2" s="1"/>
  <c r="K29" i="2"/>
  <c r="L29" i="2" s="1"/>
  <c r="K159" i="2"/>
  <c r="L159" i="2" s="1"/>
  <c r="K324" i="2"/>
  <c r="L324" i="2" s="1"/>
  <c r="K428" i="2"/>
  <c r="L428" i="2" s="1"/>
  <c r="K429" i="2"/>
  <c r="L429" i="2" s="1"/>
  <c r="L398" i="2"/>
  <c r="K398" i="2"/>
  <c r="K270" i="2"/>
  <c r="L270" i="2" s="1"/>
  <c r="K463" i="2"/>
  <c r="L463" i="2" s="1"/>
  <c r="K176" i="2"/>
  <c r="L176" i="2" s="1"/>
  <c r="K509" i="2"/>
  <c r="L509" i="2" s="1"/>
  <c r="K183" i="2"/>
  <c r="L183" i="2" s="1"/>
  <c r="L430" i="2"/>
  <c r="K430" i="2"/>
  <c r="L220" i="2"/>
  <c r="K220" i="2"/>
  <c r="K322" i="2"/>
  <c r="L322" i="2" s="1"/>
  <c r="K198" i="2"/>
  <c r="L198" i="2" s="1"/>
  <c r="K209" i="2"/>
  <c r="L209" i="2" s="1"/>
  <c r="K81" i="2"/>
  <c r="L81" i="2" s="1"/>
  <c r="K224" i="2"/>
  <c r="L224" i="2" s="1"/>
  <c r="L54" i="2"/>
  <c r="K54" i="2"/>
  <c r="K42" i="2"/>
  <c r="L42" i="2" s="1"/>
  <c r="K86" i="2"/>
  <c r="L86" i="2" s="1"/>
  <c r="K252" i="2"/>
  <c r="L252" i="2" s="1"/>
  <c r="K381" i="2"/>
  <c r="L381" i="2" s="1"/>
  <c r="K505" i="2"/>
  <c r="L505" i="2" s="1"/>
  <c r="K285" i="2"/>
  <c r="L285" i="2" s="1"/>
  <c r="K477" i="2"/>
  <c r="L477" i="2" s="1"/>
  <c r="K111" i="2"/>
  <c r="L111" i="2" s="1"/>
  <c r="K39" i="2"/>
  <c r="L39" i="2" s="1"/>
  <c r="K156" i="2"/>
  <c r="L156" i="2" s="1"/>
  <c r="K360" i="2"/>
  <c r="L360" i="2" s="1"/>
  <c r="K95" i="2"/>
  <c r="L95" i="2" s="1"/>
  <c r="K206" i="2"/>
  <c r="L206" i="2" s="1"/>
  <c r="K228" i="2"/>
  <c r="L228" i="2" s="1"/>
  <c r="K78" i="2"/>
  <c r="L78" i="2" s="1"/>
  <c r="K250" i="2"/>
  <c r="L250" i="2" s="1"/>
  <c r="L454" i="2"/>
  <c r="K454" i="2"/>
  <c r="L146" i="2"/>
  <c r="K146" i="2"/>
  <c r="K214" i="2"/>
  <c r="L214" i="2" s="1"/>
  <c r="K87" i="2"/>
  <c r="L87" i="2" s="1"/>
  <c r="K336" i="2"/>
  <c r="L336" i="2" s="1"/>
  <c r="K25" i="2"/>
  <c r="L25" i="2" s="1"/>
  <c r="K147" i="2"/>
  <c r="L147" i="2" s="1"/>
  <c r="K349" i="2"/>
  <c r="L349" i="2" s="1"/>
  <c r="K520" i="2"/>
  <c r="L520" i="2" s="1"/>
  <c r="K359" i="2"/>
  <c r="L359" i="2" s="1"/>
  <c r="K16" i="2"/>
  <c r="L16" i="2" s="1"/>
  <c r="K374" i="2"/>
  <c r="L374" i="2" s="1"/>
  <c r="K172" i="2"/>
  <c r="L172" i="2" s="1"/>
  <c r="K279" i="2"/>
  <c r="L279" i="2" s="1"/>
  <c r="K17" i="2"/>
  <c r="L17" i="2" s="1"/>
  <c r="K329" i="2"/>
  <c r="L329" i="2" s="1"/>
  <c r="K513" i="2"/>
  <c r="L513" i="2" s="1"/>
  <c r="K149" i="2"/>
  <c r="L149" i="2" s="1"/>
  <c r="K426" i="2"/>
  <c r="L426" i="2" s="1"/>
  <c r="K325" i="2"/>
  <c r="L325" i="2" s="1"/>
  <c r="K310" i="2"/>
  <c r="L310" i="2" s="1"/>
  <c r="L52" i="2"/>
  <c r="K52" i="2"/>
  <c r="K406" i="2"/>
  <c r="L406" i="2" s="1"/>
  <c r="K299" i="2"/>
  <c r="L299" i="2" s="1"/>
  <c r="K191" i="2"/>
  <c r="L191" i="2" s="1"/>
  <c r="L267" i="2"/>
  <c r="K267" i="2"/>
  <c r="K19" i="2"/>
  <c r="L19" i="2" s="1"/>
  <c r="K174" i="2"/>
  <c r="L174" i="2" s="1"/>
  <c r="K427" i="2"/>
  <c r="L427" i="2" s="1"/>
  <c r="K421" i="2"/>
  <c r="L421" i="2" s="1"/>
  <c r="L150" i="2"/>
  <c r="K150" i="2"/>
  <c r="K68" i="2"/>
  <c r="L68" i="2" s="1"/>
  <c r="K284" i="2"/>
  <c r="L284" i="2" s="1"/>
  <c r="K476" i="2"/>
  <c r="L476" i="2" s="1"/>
  <c r="K80" i="2"/>
  <c r="L80" i="2" s="1"/>
  <c r="K37" i="2"/>
  <c r="L37" i="2" s="1"/>
  <c r="K167" i="2"/>
  <c r="L167" i="2" s="1"/>
  <c r="K361" i="2"/>
  <c r="L361" i="2" s="1"/>
  <c r="K508" i="2"/>
  <c r="L508" i="2" s="1"/>
  <c r="K517" i="2"/>
  <c r="L517" i="2" s="1"/>
  <c r="K442" i="2"/>
  <c r="L442" i="2" s="1"/>
  <c r="K472" i="2"/>
  <c r="L472" i="2" s="1"/>
  <c r="K482" i="2"/>
  <c r="L482" i="2" s="1"/>
  <c r="K5" i="2"/>
  <c r="L5" i="2" s="1"/>
  <c r="K389" i="2"/>
  <c r="L389" i="2" s="1"/>
  <c r="K475" i="2"/>
  <c r="L475" i="2" s="1"/>
  <c r="K516" i="2"/>
  <c r="L516" i="2" s="1"/>
  <c r="K455" i="2"/>
  <c r="L455" i="2" s="1"/>
  <c r="K3" i="2"/>
  <c r="L3" i="2" s="1"/>
  <c r="L295" i="2"/>
  <c r="K295" i="2"/>
  <c r="K311" i="2"/>
  <c r="L311" i="2" s="1"/>
  <c r="K202" i="2"/>
  <c r="L202" i="2" s="1"/>
  <c r="K450" i="2"/>
  <c r="L450" i="2" s="1"/>
  <c r="P5" i="3" l="1"/>
  <c r="P348" i="3"/>
  <c r="P86" i="3"/>
  <c r="P746" i="3"/>
  <c r="P972" i="3"/>
  <c r="P823" i="3"/>
  <c r="P524" i="3"/>
  <c r="P813" i="3"/>
  <c r="P612" i="3"/>
  <c r="P946" i="3"/>
  <c r="P871" i="3"/>
  <c r="P951" i="3"/>
  <c r="P725" i="3"/>
  <c r="P884" i="3"/>
  <c r="P374" i="3"/>
  <c r="P531" i="3"/>
  <c r="P898" i="3"/>
  <c r="P540" i="3"/>
  <c r="P527" i="3"/>
  <c r="P92" i="3"/>
  <c r="P837" i="3"/>
  <c r="P526" i="3"/>
  <c r="P420" i="3"/>
  <c r="P1004" i="3"/>
  <c r="P414" i="3"/>
  <c r="P882" i="3"/>
  <c r="P603" i="3"/>
  <c r="P619" i="3"/>
  <c r="P229" i="3"/>
  <c r="P108" i="3"/>
  <c r="P542" i="3"/>
  <c r="P635" i="3"/>
  <c r="P969" i="3"/>
  <c r="P53" i="3"/>
  <c r="P120" i="3"/>
  <c r="P46" i="3"/>
  <c r="P932" i="3"/>
  <c r="P4" i="3"/>
  <c r="P358" i="3"/>
  <c r="P836" i="3"/>
  <c r="P916" i="3"/>
  <c r="P127" i="3"/>
  <c r="P369" i="3"/>
  <c r="P1021" i="3"/>
  <c r="P353" i="3"/>
  <c r="P592" i="3"/>
  <c r="P372" i="3"/>
  <c r="P198" i="3"/>
  <c r="P181" i="3"/>
  <c r="P738" i="3"/>
  <c r="P616" i="3"/>
  <c r="P464" i="3"/>
  <c r="P291" i="3"/>
  <c r="P78" i="3"/>
  <c r="P901" i="3"/>
  <c r="P765" i="3"/>
  <c r="P501" i="3"/>
  <c r="P177" i="3"/>
  <c r="P331" i="3"/>
  <c r="P299" i="3"/>
  <c r="P379" i="3"/>
  <c r="P536" i="3"/>
  <c r="P97" i="3"/>
  <c r="P230" i="3"/>
  <c r="P180" i="3"/>
  <c r="P815" i="3"/>
  <c r="P831" i="3"/>
  <c r="P777" i="3"/>
  <c r="P826" i="3"/>
  <c r="P714" i="3"/>
  <c r="P51" i="3"/>
  <c r="P101" i="3"/>
  <c r="P124" i="3"/>
  <c r="P999" i="3"/>
  <c r="P637" i="3"/>
  <c r="P988" i="3"/>
  <c r="P366" i="3"/>
  <c r="P973" i="3"/>
  <c r="P487" i="3"/>
  <c r="P959" i="3"/>
  <c r="P478" i="3"/>
  <c r="P139" i="3"/>
  <c r="P996" i="3"/>
  <c r="P533" i="3"/>
  <c r="P611" i="3"/>
  <c r="P644" i="3"/>
  <c r="P116" i="3"/>
  <c r="P522" i="3"/>
  <c r="P123" i="3"/>
  <c r="P748" i="3"/>
  <c r="P834" i="3"/>
  <c r="P967" i="3"/>
  <c r="P786" i="3"/>
  <c r="P203" i="3"/>
  <c r="P239" i="3"/>
  <c r="P255" i="3"/>
  <c r="P483" i="3"/>
  <c r="P659" i="3"/>
  <c r="P161" i="3"/>
  <c r="P12" i="3"/>
  <c r="P367" i="3"/>
  <c r="P158" i="3"/>
  <c r="P547" i="3"/>
  <c r="P1005" i="3"/>
  <c r="P577" i="3"/>
  <c r="P792" i="3"/>
  <c r="O321" i="2"/>
  <c r="O285" i="2"/>
  <c r="O319" i="2"/>
  <c r="O127" i="2"/>
  <c r="O302" i="2"/>
  <c r="O466" i="2"/>
  <c r="O479" i="2"/>
  <c r="O445" i="2"/>
  <c r="O55" i="2"/>
  <c r="O241" i="2"/>
  <c r="O278" i="2"/>
  <c r="O435" i="2"/>
  <c r="O122" i="2"/>
  <c r="O53" i="2"/>
  <c r="O452" i="2"/>
  <c r="O361" i="2"/>
  <c r="O279" i="2"/>
  <c r="O397" i="2"/>
  <c r="O229" i="2"/>
  <c r="O182" i="2"/>
  <c r="O460" i="2"/>
  <c r="O318" i="2"/>
  <c r="O439" i="2"/>
  <c r="O110" i="2"/>
  <c r="O58" i="2"/>
  <c r="O323" i="2"/>
  <c r="O136" i="2"/>
  <c r="O464" i="2"/>
  <c r="O459" i="2"/>
  <c r="O450" i="2"/>
  <c r="O191" i="2"/>
  <c r="O206" i="2"/>
  <c r="O322" i="2"/>
  <c r="O277" i="2"/>
  <c r="O315" i="2"/>
  <c r="O480" i="2"/>
  <c r="O187" i="2"/>
  <c r="O495" i="2"/>
  <c r="O280" i="2"/>
  <c r="O458" i="2"/>
  <c r="O457" i="2"/>
  <c r="O281" i="2"/>
  <c r="O297" i="2"/>
  <c r="O21" i="2"/>
  <c r="O425" i="2"/>
  <c r="O176" i="2"/>
  <c r="O49" i="2"/>
  <c r="O117" i="2"/>
  <c r="O200" i="2"/>
  <c r="O470" i="2"/>
  <c r="O248" i="2"/>
  <c r="O358" i="2"/>
  <c r="O174" i="2"/>
  <c r="O111" i="2"/>
  <c r="O74" i="2"/>
  <c r="O57" i="2"/>
  <c r="O417" i="2"/>
  <c r="O273" i="2"/>
  <c r="O60" i="2"/>
  <c r="O56" i="2"/>
  <c r="O317" i="2"/>
  <c r="O391" i="2"/>
  <c r="O227" i="2"/>
  <c r="O456" i="2"/>
  <c r="O274" i="2"/>
  <c r="O239" i="2"/>
  <c r="O50" i="2"/>
  <c r="O275" i="2"/>
  <c r="O392" i="2"/>
  <c r="O365" i="2"/>
  <c r="O289" i="2"/>
  <c r="O179" i="2"/>
  <c r="O426" i="2"/>
  <c r="O205" i="2"/>
  <c r="O94" i="2"/>
  <c r="O276" i="2"/>
  <c r="O483" i="2"/>
  <c r="O354" i="2"/>
  <c r="O320" i="2"/>
  <c r="O362" i="2"/>
  <c r="O370" i="2"/>
  <c r="O364" i="2"/>
  <c r="O175" i="2"/>
  <c r="O343" i="2"/>
  <c r="P473" i="3"/>
  <c r="P685" i="3"/>
  <c r="P651" i="3"/>
  <c r="P923" i="3"/>
  <c r="P576" i="3"/>
  <c r="P309" i="3"/>
  <c r="P145" i="3"/>
  <c r="P205" i="3"/>
  <c r="P955" i="3"/>
  <c r="P431" i="3"/>
  <c r="P267" i="3"/>
  <c r="P874" i="3"/>
  <c r="P970" i="3"/>
  <c r="P332" i="3"/>
  <c r="P602" i="3"/>
  <c r="P770" i="3"/>
  <c r="P992" i="3"/>
  <c r="P204" i="3"/>
  <c r="P804" i="3"/>
  <c r="P373" i="3"/>
  <c r="P600" i="3"/>
  <c r="P615" i="3"/>
  <c r="P703" i="3"/>
  <c r="P253" i="3"/>
  <c r="P682" i="3"/>
  <c r="P147" i="3"/>
  <c r="P148" i="3"/>
  <c r="P411" i="3"/>
  <c r="P820" i="3"/>
  <c r="P295" i="3"/>
  <c r="P351" i="3"/>
  <c r="P695" i="3"/>
  <c r="P495" i="3"/>
  <c r="P1007" i="3"/>
  <c r="P273" i="3"/>
  <c r="P349" i="3"/>
  <c r="P497" i="3"/>
  <c r="P741" i="3"/>
  <c r="P183" i="3"/>
  <c r="P583" i="3"/>
  <c r="P664" i="3"/>
  <c r="P621" i="3"/>
  <c r="O463" i="2"/>
  <c r="O120" i="2"/>
  <c r="O96" i="2"/>
  <c r="O152" i="2"/>
  <c r="O513" i="2"/>
  <c r="O398" i="2"/>
  <c r="O436" i="2"/>
  <c r="O76" i="2"/>
  <c r="O335" i="2"/>
  <c r="O157" i="2"/>
  <c r="O32" i="2"/>
  <c r="O283" i="2"/>
  <c r="O333" i="2"/>
  <c r="O396" i="2"/>
  <c r="O490" i="2"/>
  <c r="O106" i="2"/>
  <c r="O351" i="2"/>
  <c r="O434" i="2"/>
  <c r="O79" i="2"/>
  <c r="O496" i="2"/>
  <c r="O7" i="2"/>
  <c r="O70" i="2"/>
  <c r="O30" i="2"/>
  <c r="O308" i="2"/>
  <c r="O92" i="2"/>
  <c r="O345" i="2"/>
  <c r="O8" i="2"/>
  <c r="O506" i="2"/>
  <c r="O507" i="2"/>
  <c r="O341" i="2"/>
  <c r="O342" i="2"/>
  <c r="O35" i="2"/>
  <c r="O287" i="2"/>
  <c r="O178" i="2"/>
  <c r="O13" i="2"/>
  <c r="O471" i="2"/>
  <c r="O167" i="2"/>
  <c r="O454" i="2"/>
  <c r="O465" i="2"/>
  <c r="O159" i="2"/>
  <c r="O440" i="2"/>
  <c r="O138" i="2"/>
  <c r="O485" i="2"/>
  <c r="O3" i="2"/>
  <c r="O520" i="2"/>
  <c r="O509" i="2"/>
  <c r="O31" i="2"/>
  <c r="O73" i="2"/>
  <c r="O246" i="2"/>
  <c r="O251" i="2"/>
  <c r="O221" i="2"/>
  <c r="O232" i="2"/>
  <c r="O59" i="2"/>
  <c r="O169" i="2"/>
  <c r="O64" i="2"/>
  <c r="O153" i="2"/>
  <c r="O144" i="2"/>
  <c r="O422" i="2"/>
  <c r="O487" i="2"/>
  <c r="O519" i="2"/>
  <c r="O293" i="2"/>
  <c r="O22" i="2"/>
  <c r="O265" i="2"/>
  <c r="O84" i="2"/>
  <c r="O291" i="2"/>
  <c r="O203" i="2"/>
  <c r="O188" i="2"/>
  <c r="O129" i="2"/>
  <c r="O384" i="2"/>
  <c r="O145" i="2"/>
  <c r="O383" i="2"/>
  <c r="O119" i="2"/>
  <c r="O33" i="2"/>
  <c r="O193" i="2"/>
  <c r="O85" i="2"/>
  <c r="O352" i="2"/>
  <c r="O28" i="2"/>
  <c r="O161" i="2"/>
  <c r="O446" i="2"/>
  <c r="O26" i="2"/>
  <c r="O237" i="2"/>
  <c r="O155" i="2"/>
  <c r="O107" i="2"/>
  <c r="O348" i="2"/>
  <c r="O51" i="2"/>
  <c r="O212" i="2"/>
  <c r="O393" i="2"/>
  <c r="O356" i="2"/>
  <c r="O186" i="2"/>
  <c r="O350" i="2"/>
  <c r="O288" i="2"/>
  <c r="O234" i="2"/>
  <c r="O195" i="2"/>
  <c r="O258" i="2"/>
  <c r="O442" i="2"/>
  <c r="O310" i="2"/>
  <c r="O336" i="2"/>
  <c r="O224" i="2"/>
  <c r="O368" i="2"/>
  <c r="O101" i="2"/>
  <c r="O375" i="2"/>
  <c r="O380" i="2"/>
  <c r="O4" i="2"/>
  <c r="O424" i="2"/>
  <c r="O257" i="2"/>
  <c r="O91" i="2"/>
  <c r="O11" i="2"/>
  <c r="O61" i="2"/>
  <c r="O202" i="2"/>
  <c r="O455" i="2"/>
  <c r="O5" i="2"/>
  <c r="O517" i="2"/>
  <c r="O37" i="2"/>
  <c r="O68" i="2"/>
  <c r="O299" i="2"/>
  <c r="O325" i="2"/>
  <c r="O329" i="2"/>
  <c r="O374" i="2"/>
  <c r="O349" i="2"/>
  <c r="O87" i="2"/>
  <c r="O250" i="2"/>
  <c r="O95" i="2"/>
  <c r="O444" i="2"/>
  <c r="O23" i="2"/>
  <c r="O81" i="2"/>
  <c r="O220" i="2"/>
  <c r="O429" i="2"/>
  <c r="O166" i="2"/>
  <c r="O44" i="2"/>
  <c r="O137" i="2"/>
  <c r="O272" i="2"/>
  <c r="O216" i="2"/>
  <c r="O328" i="2"/>
  <c r="O414" i="2"/>
  <c r="O235" i="2"/>
  <c r="O410" i="2"/>
  <c r="O190" i="2"/>
  <c r="O231" i="2"/>
  <c r="O115" i="2"/>
  <c r="O373" i="2"/>
  <c r="O151" i="2"/>
  <c r="O139" i="2"/>
  <c r="O403" i="2"/>
  <c r="O395" i="2"/>
  <c r="O382" i="2"/>
  <c r="O185" i="2"/>
  <c r="O504" i="2"/>
  <c r="O448" i="2"/>
  <c r="O135" i="2"/>
  <c r="O404" i="2"/>
  <c r="O72" i="2"/>
  <c r="O438" i="2"/>
  <c r="O260" i="2"/>
  <c r="O82" i="2"/>
  <c r="O256" i="2"/>
  <c r="O501" i="2"/>
  <c r="O69" i="2"/>
  <c r="O423" i="2"/>
  <c r="O128" i="2"/>
  <c r="O165" i="2"/>
  <c r="O204" i="2"/>
  <c r="O197" i="2"/>
  <c r="O215" i="2"/>
  <c r="O451" i="2"/>
  <c r="O478" i="2"/>
  <c r="O18" i="2"/>
  <c r="O86" i="2"/>
  <c r="O263" i="2"/>
  <c r="O411" i="2"/>
  <c r="O484" i="2"/>
  <c r="O225" i="2"/>
  <c r="O168" i="2"/>
  <c r="O66" i="2"/>
  <c r="O217" i="2"/>
  <c r="O154" i="2"/>
  <c r="O130" i="2"/>
  <c r="O97" i="2"/>
  <c r="O409" i="2"/>
  <c r="O83" i="2"/>
  <c r="O253" i="2"/>
  <c r="O45" i="2"/>
  <c r="O104" i="2"/>
  <c r="O226" i="2"/>
  <c r="O284" i="2"/>
  <c r="O172" i="2"/>
  <c r="O39" i="2"/>
  <c r="O419" i="2"/>
  <c r="O512" i="2"/>
  <c r="O271" i="2"/>
  <c r="O294" i="2"/>
  <c r="O388" i="2"/>
  <c r="O467" i="2"/>
  <c r="O148" i="2"/>
  <c r="O170" i="2"/>
  <c r="O181" i="2"/>
  <c r="O29" i="2"/>
  <c r="O24" i="2"/>
  <c r="O124" i="2"/>
  <c r="O367" i="2"/>
  <c r="O118" i="2"/>
  <c r="O88" i="2"/>
  <c r="O15" i="2"/>
  <c r="O158" i="2"/>
  <c r="O488" i="2"/>
  <c r="O510" i="2"/>
  <c r="O223" i="2"/>
  <c r="O292" i="2"/>
  <c r="O303" i="2"/>
  <c r="O269" i="2"/>
  <c r="O71" i="2"/>
  <c r="O164" i="2"/>
  <c r="O254" i="2"/>
  <c r="O338" i="2"/>
  <c r="O385" i="2"/>
  <c r="O103" i="2"/>
  <c r="O98" i="2"/>
  <c r="O468" i="2"/>
  <c r="O75" i="2"/>
  <c r="O163" i="2"/>
  <c r="O306" i="2"/>
  <c r="O332" i="2"/>
  <c r="O327" i="2"/>
  <c r="O369" i="2"/>
  <c r="O481" i="2"/>
  <c r="O441" i="2"/>
  <c r="O305" i="2"/>
  <c r="O282" i="2"/>
  <c r="O194" i="2"/>
  <c r="O492" i="2"/>
  <c r="O41" i="2"/>
  <c r="O208" i="2"/>
  <c r="O497" i="2"/>
  <c r="O123" i="2"/>
  <c r="O141" i="2"/>
  <c r="O340" i="2"/>
  <c r="O312" i="2"/>
  <c r="O400" i="2"/>
  <c r="O211" i="2"/>
  <c r="O518" i="2"/>
  <c r="O461" i="2"/>
  <c r="O132" i="2"/>
  <c r="O366" i="2"/>
  <c r="O389" i="2"/>
  <c r="O427" i="2"/>
  <c r="O505" i="2"/>
  <c r="O90" i="2"/>
  <c r="O433" i="2"/>
  <c r="O296" i="2"/>
  <c r="O347" i="2"/>
  <c r="O171" i="2"/>
  <c r="O125" i="2"/>
  <c r="O334" i="2"/>
  <c r="O62" i="2"/>
  <c r="O311" i="2"/>
  <c r="O516" i="2"/>
  <c r="O482" i="2"/>
  <c r="O508" i="2"/>
  <c r="O150" i="2"/>
  <c r="O19" i="2"/>
  <c r="O406" i="2"/>
  <c r="O17" i="2"/>
  <c r="O16" i="2"/>
  <c r="O147" i="2"/>
  <c r="O214" i="2"/>
  <c r="O78" i="2"/>
  <c r="O360" i="2"/>
  <c r="O477" i="2"/>
  <c r="O353" i="2"/>
  <c r="O449" i="2"/>
  <c r="O209" i="2"/>
  <c r="O430" i="2"/>
  <c r="O428" i="2"/>
  <c r="O222" i="2"/>
  <c r="O515" i="2"/>
  <c r="O9" i="2"/>
  <c r="O473" i="2"/>
  <c r="O131" i="2"/>
  <c r="O330" i="2"/>
  <c r="O40" i="2"/>
  <c r="O437" i="2"/>
  <c r="O262" i="2"/>
  <c r="O314" i="2"/>
  <c r="O344" i="2"/>
  <c r="O405" i="2"/>
  <c r="O255" i="2"/>
  <c r="O142" i="2"/>
  <c r="O160" i="2"/>
  <c r="O511" i="2"/>
  <c r="O201" i="2"/>
  <c r="O143" i="2"/>
  <c r="O259" i="2"/>
  <c r="O210" i="2"/>
  <c r="O252" i="2"/>
  <c r="O105" i="2"/>
  <c r="O300" i="2"/>
  <c r="O213" i="2"/>
  <c r="O264" i="2"/>
  <c r="O493" i="2"/>
  <c r="O43" i="2"/>
  <c r="O93" i="2"/>
  <c r="O65" i="2"/>
  <c r="O20" i="2"/>
  <c r="O431" i="2"/>
  <c r="O286" i="2"/>
  <c r="O304" i="2"/>
  <c r="O38" i="2"/>
  <c r="O326" i="2"/>
  <c r="O102" i="2"/>
  <c r="O140" i="2"/>
  <c r="O301" i="2"/>
  <c r="O108" i="2"/>
  <c r="O133" i="2"/>
  <c r="O416" i="2"/>
  <c r="O99" i="2"/>
  <c r="O6" i="2"/>
  <c r="O42" i="2"/>
  <c r="O408" i="2"/>
  <c r="O266" i="2"/>
  <c r="O309" i="2"/>
  <c r="O387" i="2"/>
  <c r="O10" i="2"/>
  <c r="O218" i="2"/>
  <c r="O245" i="2"/>
  <c r="O36" i="2"/>
  <c r="O34" i="2"/>
  <c r="O377" i="2"/>
  <c r="O112" i="2"/>
  <c r="O402" i="2"/>
  <c r="O298" i="2"/>
  <c r="O80" i="2"/>
  <c r="O418" i="2"/>
  <c r="O242" i="2"/>
  <c r="O12" i="2"/>
  <c r="O339" i="2"/>
  <c r="O27" i="2"/>
  <c r="O401" i="2"/>
  <c r="O331" i="2"/>
  <c r="O207" i="2"/>
  <c r="O77" i="2"/>
  <c r="O514" i="2"/>
  <c r="O134" i="2"/>
  <c r="O379" i="2"/>
  <c r="O489" i="2"/>
  <c r="O453" i="2"/>
  <c r="O494" i="2"/>
  <c r="O230" i="2"/>
  <c r="O394" i="2"/>
  <c r="O63" i="2"/>
  <c r="O407" i="2"/>
  <c r="O54" i="2"/>
  <c r="O126" i="2"/>
  <c r="O432" i="2"/>
  <c r="O420" i="2"/>
  <c r="O469" i="2"/>
  <c r="O462" i="2"/>
  <c r="O499" i="2"/>
  <c r="O521" i="2"/>
  <c r="O316" i="2"/>
  <c r="O502" i="2"/>
  <c r="O503" i="2"/>
  <c r="O337" i="2"/>
  <c r="O47" i="2"/>
  <c r="O355" i="2"/>
  <c r="O357" i="2"/>
  <c r="O523" i="2"/>
  <c r="O295" i="2"/>
  <c r="O475" i="2"/>
  <c r="O472" i="2"/>
  <c r="O476" i="2"/>
  <c r="O421" i="2"/>
  <c r="O267" i="2"/>
  <c r="O52" i="2"/>
  <c r="O149" i="2"/>
  <c r="O359" i="2"/>
  <c r="O25" i="2"/>
  <c r="O146" i="2"/>
  <c r="O228" i="2"/>
  <c r="O156" i="2"/>
  <c r="O189" i="2"/>
  <c r="O198" i="2"/>
  <c r="O183" i="2"/>
  <c r="O270" i="2"/>
  <c r="O324" i="2"/>
  <c r="O48" i="2"/>
  <c r="O491" i="2"/>
  <c r="O184" i="2"/>
  <c r="O109" i="2"/>
  <c r="O173" i="2"/>
  <c r="O268" i="2"/>
  <c r="O313" i="2"/>
  <c r="O233" i="2"/>
  <c r="O381" i="2"/>
  <c r="O486" i="2"/>
  <c r="O412" i="2"/>
  <c r="O67" i="2"/>
  <c r="O244" i="2"/>
  <c r="O261" i="2"/>
  <c r="O399" i="2"/>
  <c r="O415" i="2"/>
  <c r="O113" i="2"/>
  <c r="O236" i="2"/>
  <c r="O46" i="2"/>
  <c r="O363" i="2"/>
  <c r="O114" i="2"/>
  <c r="O199" i="2"/>
  <c r="O378" i="2"/>
  <c r="O290" i="2"/>
  <c r="O100" i="2"/>
  <c r="O413" i="2"/>
  <c r="O474" i="2"/>
  <c r="O390" i="2"/>
  <c r="O371" i="2"/>
  <c r="O14" i="2"/>
  <c r="O376" i="2"/>
  <c r="O447" i="2"/>
  <c r="O386" i="2"/>
  <c r="O372" i="2"/>
  <c r="O240" i="2"/>
  <c r="O500" i="2"/>
  <c r="O89" i="2"/>
  <c r="O121" i="2"/>
  <c r="O219" i="2"/>
  <c r="O443" i="2"/>
  <c r="O162" i="2"/>
  <c r="O307" i="2"/>
  <c r="O238" i="2"/>
  <c r="O498" i="2"/>
  <c r="O180" i="2"/>
  <c r="O249" i="2"/>
  <c r="O196" i="2"/>
  <c r="O243" i="2"/>
  <c r="O522" i="2"/>
  <c r="O116" i="2"/>
  <c r="O346" i="2"/>
  <c r="O177" i="2"/>
  <c r="L470" i="2"/>
</calcChain>
</file>

<file path=xl/sharedStrings.xml><?xml version="1.0" encoding="utf-8"?>
<sst xmlns="http://schemas.openxmlformats.org/spreadsheetml/2006/main" count="3137" uniqueCount="1588">
  <si>
    <t>اصله</t>
  </si>
  <si>
    <t>مساحت آدرس</t>
  </si>
  <si>
    <t>نام نوع لکه</t>
  </si>
  <si>
    <t>آیلند ها</t>
  </si>
  <si>
    <t>010101002</t>
  </si>
  <si>
    <t>010101004</t>
  </si>
  <si>
    <t>010101010</t>
  </si>
  <si>
    <t>پارک های زیر 6 هکتار</t>
  </si>
  <si>
    <t>010101011</t>
  </si>
  <si>
    <t>010101012</t>
  </si>
  <si>
    <t>010101013</t>
  </si>
  <si>
    <t>010101014</t>
  </si>
  <si>
    <t>010101015</t>
  </si>
  <si>
    <t>010101016</t>
  </si>
  <si>
    <t>010101017</t>
  </si>
  <si>
    <t>010101018</t>
  </si>
  <si>
    <t>010101019</t>
  </si>
  <si>
    <t>010101020</t>
  </si>
  <si>
    <t>010101021</t>
  </si>
  <si>
    <t>010101022</t>
  </si>
  <si>
    <t>010101023</t>
  </si>
  <si>
    <t>حاشیه معابر</t>
  </si>
  <si>
    <t>010101024</t>
  </si>
  <si>
    <t>010101025</t>
  </si>
  <si>
    <t>010101026</t>
  </si>
  <si>
    <t>010101027</t>
  </si>
  <si>
    <t>010101028</t>
  </si>
  <si>
    <t>010101029</t>
  </si>
  <si>
    <t>010101030</t>
  </si>
  <si>
    <t>010101031</t>
  </si>
  <si>
    <t>010101032</t>
  </si>
  <si>
    <t>010101033</t>
  </si>
  <si>
    <t>010101034</t>
  </si>
  <si>
    <t>010101035</t>
  </si>
  <si>
    <t>010101036</t>
  </si>
  <si>
    <t>010101037</t>
  </si>
  <si>
    <t>010101038</t>
  </si>
  <si>
    <t>010101039</t>
  </si>
  <si>
    <t>010101040</t>
  </si>
  <si>
    <t>010101041</t>
  </si>
  <si>
    <t>010101042</t>
  </si>
  <si>
    <t>010101043</t>
  </si>
  <si>
    <t>010101044</t>
  </si>
  <si>
    <t>010101045</t>
  </si>
  <si>
    <t>010101046</t>
  </si>
  <si>
    <t>010101047</t>
  </si>
  <si>
    <t>010101048</t>
  </si>
  <si>
    <t>010101049</t>
  </si>
  <si>
    <t>010101050</t>
  </si>
  <si>
    <t>010101051</t>
  </si>
  <si>
    <t>010101052</t>
  </si>
  <si>
    <t>010101053</t>
  </si>
  <si>
    <t>010101054</t>
  </si>
  <si>
    <t>010101055</t>
  </si>
  <si>
    <t>010101056</t>
  </si>
  <si>
    <t>010101057</t>
  </si>
  <si>
    <t>010101058</t>
  </si>
  <si>
    <t>010101059</t>
  </si>
  <si>
    <t>010101060</t>
  </si>
  <si>
    <t>010101061</t>
  </si>
  <si>
    <t>010101062</t>
  </si>
  <si>
    <t>010101063</t>
  </si>
  <si>
    <t>لچکی ها</t>
  </si>
  <si>
    <t>010101065</t>
  </si>
  <si>
    <t>010101066</t>
  </si>
  <si>
    <t>010101068</t>
  </si>
  <si>
    <t>میادین</t>
  </si>
  <si>
    <t>010201007</t>
  </si>
  <si>
    <t>010201009</t>
  </si>
  <si>
    <t>010201010</t>
  </si>
  <si>
    <t>010201011</t>
  </si>
  <si>
    <t>010201012</t>
  </si>
  <si>
    <t>010201013</t>
  </si>
  <si>
    <t>010201015</t>
  </si>
  <si>
    <t>010201016</t>
  </si>
  <si>
    <t>010201017</t>
  </si>
  <si>
    <t>010201018</t>
  </si>
  <si>
    <t>010201019</t>
  </si>
  <si>
    <t>پارک های بالای 10 هکتار</t>
  </si>
  <si>
    <t>010201020</t>
  </si>
  <si>
    <t>010201021</t>
  </si>
  <si>
    <t>010201022</t>
  </si>
  <si>
    <t>010201023</t>
  </si>
  <si>
    <t>010201024</t>
  </si>
  <si>
    <t>010201025</t>
  </si>
  <si>
    <t>010201026</t>
  </si>
  <si>
    <t>010201027</t>
  </si>
  <si>
    <t>010201028</t>
  </si>
  <si>
    <t>010201029</t>
  </si>
  <si>
    <t>010201031</t>
  </si>
  <si>
    <t>010201032</t>
  </si>
  <si>
    <t>010201033</t>
  </si>
  <si>
    <t>010201034</t>
  </si>
  <si>
    <t>010201035</t>
  </si>
  <si>
    <t>010201036</t>
  </si>
  <si>
    <t>010201037</t>
  </si>
  <si>
    <t>010201038</t>
  </si>
  <si>
    <t>010201039</t>
  </si>
  <si>
    <t>010201040</t>
  </si>
  <si>
    <t>010201041</t>
  </si>
  <si>
    <t>010201042</t>
  </si>
  <si>
    <t>010201043</t>
  </si>
  <si>
    <t>010201044</t>
  </si>
  <si>
    <t>010201045</t>
  </si>
  <si>
    <t>010201046</t>
  </si>
  <si>
    <t>010201047</t>
  </si>
  <si>
    <t>010201048</t>
  </si>
  <si>
    <t>010201049</t>
  </si>
  <si>
    <t>010201050</t>
  </si>
  <si>
    <t>010201051</t>
  </si>
  <si>
    <t>010201052</t>
  </si>
  <si>
    <t>010201053</t>
  </si>
  <si>
    <t>010201054</t>
  </si>
  <si>
    <t>010201055</t>
  </si>
  <si>
    <t>010201056</t>
  </si>
  <si>
    <t>010201057</t>
  </si>
  <si>
    <t>010201058</t>
  </si>
  <si>
    <t>010201059</t>
  </si>
  <si>
    <t>010201060</t>
  </si>
  <si>
    <t>010201061</t>
  </si>
  <si>
    <t>010201062</t>
  </si>
  <si>
    <t>010201063</t>
  </si>
  <si>
    <t>010201066</t>
  </si>
  <si>
    <t>010201067</t>
  </si>
  <si>
    <t>010201070</t>
  </si>
  <si>
    <t>010202001</t>
  </si>
  <si>
    <t>010202005</t>
  </si>
  <si>
    <t>010202008</t>
  </si>
  <si>
    <t>010202009</t>
  </si>
  <si>
    <t>010202010</t>
  </si>
  <si>
    <t>010202011</t>
  </si>
  <si>
    <t>010202012</t>
  </si>
  <si>
    <t>010202017</t>
  </si>
  <si>
    <t>010202018</t>
  </si>
  <si>
    <t>010202021</t>
  </si>
  <si>
    <t>010202022</t>
  </si>
  <si>
    <t>010202023</t>
  </si>
  <si>
    <t>010202024</t>
  </si>
  <si>
    <t>010202025</t>
  </si>
  <si>
    <t>010202027</t>
  </si>
  <si>
    <t>010202028</t>
  </si>
  <si>
    <t>010202030</t>
  </si>
  <si>
    <t>010202031</t>
  </si>
  <si>
    <t>010202032</t>
  </si>
  <si>
    <t>010202033</t>
  </si>
  <si>
    <t>010202034</t>
  </si>
  <si>
    <t>010202035</t>
  </si>
  <si>
    <t>010202039</t>
  </si>
  <si>
    <t>010202041</t>
  </si>
  <si>
    <t>010202042</t>
  </si>
  <si>
    <t>010202043</t>
  </si>
  <si>
    <t>010202044</t>
  </si>
  <si>
    <t>010202045</t>
  </si>
  <si>
    <t>010202046</t>
  </si>
  <si>
    <t>010202047</t>
  </si>
  <si>
    <t>010202049</t>
  </si>
  <si>
    <t>010202050</t>
  </si>
  <si>
    <t>010202051</t>
  </si>
  <si>
    <t>010202052</t>
  </si>
  <si>
    <t>010202053</t>
  </si>
  <si>
    <t>010202054</t>
  </si>
  <si>
    <t>010202055</t>
  </si>
  <si>
    <t>010202056</t>
  </si>
  <si>
    <t>010202057</t>
  </si>
  <si>
    <t>010202059</t>
  </si>
  <si>
    <t>010202069</t>
  </si>
  <si>
    <t>010202073</t>
  </si>
  <si>
    <t>010202074</t>
  </si>
  <si>
    <t>010301002</t>
  </si>
  <si>
    <t>010301003</t>
  </si>
  <si>
    <t>010301005</t>
  </si>
  <si>
    <t>010301006</t>
  </si>
  <si>
    <t>010301008</t>
  </si>
  <si>
    <t>010301009</t>
  </si>
  <si>
    <t>010301010</t>
  </si>
  <si>
    <t>010301011</t>
  </si>
  <si>
    <t>010301012</t>
  </si>
  <si>
    <t>010301013</t>
  </si>
  <si>
    <t>010301014</t>
  </si>
  <si>
    <t>010301015</t>
  </si>
  <si>
    <t>010301016</t>
  </si>
  <si>
    <t>010301017</t>
  </si>
  <si>
    <t>010301018</t>
  </si>
  <si>
    <t>010301019</t>
  </si>
  <si>
    <t>010301020</t>
  </si>
  <si>
    <t>010301021</t>
  </si>
  <si>
    <t>010301022</t>
  </si>
  <si>
    <t>010301023</t>
  </si>
  <si>
    <t>010301024</t>
  </si>
  <si>
    <t>010301025</t>
  </si>
  <si>
    <t>010301026</t>
  </si>
  <si>
    <t>010301027</t>
  </si>
  <si>
    <t>010301028</t>
  </si>
  <si>
    <t>010301029</t>
  </si>
  <si>
    <t>010301030</t>
  </si>
  <si>
    <t>010301031</t>
  </si>
  <si>
    <t>010301032</t>
  </si>
  <si>
    <t>010301033</t>
  </si>
  <si>
    <t>010301034</t>
  </si>
  <si>
    <t>010301035</t>
  </si>
  <si>
    <t>010301036</t>
  </si>
  <si>
    <t>010301037</t>
  </si>
  <si>
    <t>010301038</t>
  </si>
  <si>
    <t>010301039</t>
  </si>
  <si>
    <t>010301040</t>
  </si>
  <si>
    <t>010301041</t>
  </si>
  <si>
    <t>010301042</t>
  </si>
  <si>
    <t>010301043</t>
  </si>
  <si>
    <t>010301044</t>
  </si>
  <si>
    <t>010301045</t>
  </si>
  <si>
    <t>010301046</t>
  </si>
  <si>
    <t>010301048</t>
  </si>
  <si>
    <t>010301049</t>
  </si>
  <si>
    <t>010301050</t>
  </si>
  <si>
    <t>010301055</t>
  </si>
  <si>
    <t>010301056</t>
  </si>
  <si>
    <t>010301057</t>
  </si>
  <si>
    <t>010301059</t>
  </si>
  <si>
    <t>010301060</t>
  </si>
  <si>
    <t>010301061</t>
  </si>
  <si>
    <t>010301062</t>
  </si>
  <si>
    <t>010301064</t>
  </si>
  <si>
    <t>010301066</t>
  </si>
  <si>
    <t>020101005</t>
  </si>
  <si>
    <t>020101006</t>
  </si>
  <si>
    <t>020101007</t>
  </si>
  <si>
    <t>020101008</t>
  </si>
  <si>
    <t>020101009</t>
  </si>
  <si>
    <t>020101010</t>
  </si>
  <si>
    <t>020101011</t>
  </si>
  <si>
    <t>020101012</t>
  </si>
  <si>
    <t>020101013</t>
  </si>
  <si>
    <t>020101014</t>
  </si>
  <si>
    <t>020101024</t>
  </si>
  <si>
    <t>020101029</t>
  </si>
  <si>
    <t>020101030</t>
  </si>
  <si>
    <t>020101031</t>
  </si>
  <si>
    <t>020101032</t>
  </si>
  <si>
    <t>020101033</t>
  </si>
  <si>
    <t>020101036</t>
  </si>
  <si>
    <t>020102002</t>
  </si>
  <si>
    <t>020102009</t>
  </si>
  <si>
    <t>020102010</t>
  </si>
  <si>
    <t>020102011</t>
  </si>
  <si>
    <t>020102012</t>
  </si>
  <si>
    <t>020102013</t>
  </si>
  <si>
    <t>020102014</t>
  </si>
  <si>
    <t>020102015</t>
  </si>
  <si>
    <t>020102016</t>
  </si>
  <si>
    <t>020102017</t>
  </si>
  <si>
    <t>020102018</t>
  </si>
  <si>
    <t>020102019</t>
  </si>
  <si>
    <t>020102020</t>
  </si>
  <si>
    <t>020102021</t>
  </si>
  <si>
    <t>020102023</t>
  </si>
  <si>
    <t>020102024</t>
  </si>
  <si>
    <t>020102025</t>
  </si>
  <si>
    <t>020102026</t>
  </si>
  <si>
    <t>020102031</t>
  </si>
  <si>
    <t>020102032</t>
  </si>
  <si>
    <t>020102039</t>
  </si>
  <si>
    <t>020103001</t>
  </si>
  <si>
    <t>020103005</t>
  </si>
  <si>
    <t>020103010</t>
  </si>
  <si>
    <t>020103011</t>
  </si>
  <si>
    <t>020103012</t>
  </si>
  <si>
    <t>020103013</t>
  </si>
  <si>
    <t>020103014</t>
  </si>
  <si>
    <t>020103015</t>
  </si>
  <si>
    <t>020103016</t>
  </si>
  <si>
    <t>020103017</t>
  </si>
  <si>
    <t>020103022</t>
  </si>
  <si>
    <t>020103024</t>
  </si>
  <si>
    <t>020103027</t>
  </si>
  <si>
    <t>020103028</t>
  </si>
  <si>
    <t>020103035</t>
  </si>
  <si>
    <t>020103036</t>
  </si>
  <si>
    <t>020103042</t>
  </si>
  <si>
    <t>020201001</t>
  </si>
  <si>
    <t>020201002</t>
  </si>
  <si>
    <t>020201003</t>
  </si>
  <si>
    <t>020201004</t>
  </si>
  <si>
    <t>020201005</t>
  </si>
  <si>
    <t>آیلند های بزرگراه</t>
  </si>
  <si>
    <t>020201006</t>
  </si>
  <si>
    <t>020201007</t>
  </si>
  <si>
    <t>جنگل کاری داخل محدوده</t>
  </si>
  <si>
    <t>020201008</t>
  </si>
  <si>
    <t>020201009</t>
  </si>
  <si>
    <t>020201010</t>
  </si>
  <si>
    <t>020201011</t>
  </si>
  <si>
    <t>020201012</t>
  </si>
  <si>
    <t>020201013</t>
  </si>
  <si>
    <t>020201014</t>
  </si>
  <si>
    <t>020201015</t>
  </si>
  <si>
    <t>020201016</t>
  </si>
  <si>
    <t>020201017</t>
  </si>
  <si>
    <t>020201018</t>
  </si>
  <si>
    <t>020201019</t>
  </si>
  <si>
    <t>020201020</t>
  </si>
  <si>
    <t>حاشیه های بزرگراه</t>
  </si>
  <si>
    <t>020201021</t>
  </si>
  <si>
    <t>020201022</t>
  </si>
  <si>
    <t>020201023</t>
  </si>
  <si>
    <t>020201024</t>
  </si>
  <si>
    <t>020201025</t>
  </si>
  <si>
    <t>020201026</t>
  </si>
  <si>
    <t>020201027</t>
  </si>
  <si>
    <t>020201028</t>
  </si>
  <si>
    <t>020201029</t>
  </si>
  <si>
    <t>020201030</t>
  </si>
  <si>
    <t>020201031</t>
  </si>
  <si>
    <t>020201032</t>
  </si>
  <si>
    <t>020201033</t>
  </si>
  <si>
    <t>020201034</t>
  </si>
  <si>
    <t>020201035</t>
  </si>
  <si>
    <t>020201036</t>
  </si>
  <si>
    <t>020201037</t>
  </si>
  <si>
    <t>020201039</t>
  </si>
  <si>
    <t>پارک های بین 6 تا 10 هکتار</t>
  </si>
  <si>
    <t>020201042</t>
  </si>
  <si>
    <t>020201043</t>
  </si>
  <si>
    <t>020202001</t>
  </si>
  <si>
    <t>020202002</t>
  </si>
  <si>
    <t>020202003</t>
  </si>
  <si>
    <t>020202004</t>
  </si>
  <si>
    <t>020202005</t>
  </si>
  <si>
    <t>020202006</t>
  </si>
  <si>
    <t>020202007</t>
  </si>
  <si>
    <t>020202008</t>
  </si>
  <si>
    <t>020301003</t>
  </si>
  <si>
    <t>020301008</t>
  </si>
  <si>
    <t>020301009</t>
  </si>
  <si>
    <t>020301016</t>
  </si>
  <si>
    <t>020301018</t>
  </si>
  <si>
    <t>020301019</t>
  </si>
  <si>
    <t>020301020</t>
  </si>
  <si>
    <t>020301023</t>
  </si>
  <si>
    <t>020301025</t>
  </si>
  <si>
    <t>020301031</t>
  </si>
  <si>
    <t>020301033</t>
  </si>
  <si>
    <t>020301037</t>
  </si>
  <si>
    <t>020301039</t>
  </si>
  <si>
    <t>020401001</t>
  </si>
  <si>
    <t>020401003</t>
  </si>
  <si>
    <t>020401005</t>
  </si>
  <si>
    <t>020401006</t>
  </si>
  <si>
    <t>020401007</t>
  </si>
  <si>
    <t>020401008</t>
  </si>
  <si>
    <t>020401009</t>
  </si>
  <si>
    <t>020401010</t>
  </si>
  <si>
    <t>020401012</t>
  </si>
  <si>
    <t>020401013</t>
  </si>
  <si>
    <t>020401016</t>
  </si>
  <si>
    <t>020401019</t>
  </si>
  <si>
    <t>020401021</t>
  </si>
  <si>
    <t>020401024</t>
  </si>
  <si>
    <t>020401026</t>
  </si>
  <si>
    <t>020401027</t>
  </si>
  <si>
    <t>020401028</t>
  </si>
  <si>
    <t>020401029</t>
  </si>
  <si>
    <t>020401030</t>
  </si>
  <si>
    <t>020401031</t>
  </si>
  <si>
    <t>020401033</t>
  </si>
  <si>
    <t>020401034</t>
  </si>
  <si>
    <t>020402004</t>
  </si>
  <si>
    <t>020402005</t>
  </si>
  <si>
    <t>020402007</t>
  </si>
  <si>
    <t>020402010</t>
  </si>
  <si>
    <t>020402011</t>
  </si>
  <si>
    <t>020402013</t>
  </si>
  <si>
    <t>020402014</t>
  </si>
  <si>
    <t>020402015</t>
  </si>
  <si>
    <t>020402016</t>
  </si>
  <si>
    <t>020402017</t>
  </si>
  <si>
    <t>020402018</t>
  </si>
  <si>
    <t>020402019</t>
  </si>
  <si>
    <t>020402020</t>
  </si>
  <si>
    <t>020402021</t>
  </si>
  <si>
    <t>020402022</t>
  </si>
  <si>
    <t>020402027</t>
  </si>
  <si>
    <t>020402028</t>
  </si>
  <si>
    <t>020402029</t>
  </si>
  <si>
    <t>020402031</t>
  </si>
  <si>
    <t>020402038</t>
  </si>
  <si>
    <t>020402039</t>
  </si>
  <si>
    <t>030101001</t>
  </si>
  <si>
    <t>030101004</t>
  </si>
  <si>
    <t>030101006</t>
  </si>
  <si>
    <t>030101007</t>
  </si>
  <si>
    <t>030101010</t>
  </si>
  <si>
    <t>030101011</t>
  </si>
  <si>
    <t>030101012</t>
  </si>
  <si>
    <t>030101014</t>
  </si>
  <si>
    <t>030101015</t>
  </si>
  <si>
    <t>030101018</t>
  </si>
  <si>
    <t>030101019</t>
  </si>
  <si>
    <t>030101020</t>
  </si>
  <si>
    <t>030101021</t>
  </si>
  <si>
    <t>030101022</t>
  </si>
  <si>
    <t>030101025</t>
  </si>
  <si>
    <t>030101026</t>
  </si>
  <si>
    <t>030101028</t>
  </si>
  <si>
    <t>030201001</t>
  </si>
  <si>
    <t>030201003</t>
  </si>
  <si>
    <t>030201008</t>
  </si>
  <si>
    <t>030201011</t>
  </si>
  <si>
    <t>030201015</t>
  </si>
  <si>
    <t>030201020</t>
  </si>
  <si>
    <t>030201021</t>
  </si>
  <si>
    <t>030201022</t>
  </si>
  <si>
    <t>030201023</t>
  </si>
  <si>
    <t>030201024</t>
  </si>
  <si>
    <t>030301001</t>
  </si>
  <si>
    <t>030301002</t>
  </si>
  <si>
    <t>030301003</t>
  </si>
  <si>
    <t>030301005</t>
  </si>
  <si>
    <t>030301006</t>
  </si>
  <si>
    <t>030301007</t>
  </si>
  <si>
    <t>030301009</t>
  </si>
  <si>
    <t>030301011</t>
  </si>
  <si>
    <t>030301012</t>
  </si>
  <si>
    <t>030301014</t>
  </si>
  <si>
    <t>030301015</t>
  </si>
  <si>
    <t>030301017</t>
  </si>
  <si>
    <t>030301018</t>
  </si>
  <si>
    <t>030301020</t>
  </si>
  <si>
    <t>030301021</t>
  </si>
  <si>
    <t>030301023</t>
  </si>
  <si>
    <t>030301024</t>
  </si>
  <si>
    <t>030301025</t>
  </si>
  <si>
    <t>030301026</t>
  </si>
  <si>
    <t>030301027</t>
  </si>
  <si>
    <t>030301028</t>
  </si>
  <si>
    <t>030301029</t>
  </si>
  <si>
    <t>030301030</t>
  </si>
  <si>
    <t>030301031</t>
  </si>
  <si>
    <t>030301032</t>
  </si>
  <si>
    <t>030301033</t>
  </si>
  <si>
    <t>030302001</t>
  </si>
  <si>
    <t>030302002</t>
  </si>
  <si>
    <t>030302003</t>
  </si>
  <si>
    <t>030401001</t>
  </si>
  <si>
    <t>030401003</t>
  </si>
  <si>
    <t>030401005</t>
  </si>
  <si>
    <t>030401007</t>
  </si>
  <si>
    <t>030401008</t>
  </si>
  <si>
    <t>030401009</t>
  </si>
  <si>
    <t>030401010</t>
  </si>
  <si>
    <t>030401011</t>
  </si>
  <si>
    <t>030401012</t>
  </si>
  <si>
    <t>030401015</t>
  </si>
  <si>
    <t>030401016</t>
  </si>
  <si>
    <t>030401017</t>
  </si>
  <si>
    <t>040101005</t>
  </si>
  <si>
    <t>040101006</t>
  </si>
  <si>
    <t>040101007</t>
  </si>
  <si>
    <t>040101008</t>
  </si>
  <si>
    <t>040101009</t>
  </si>
  <si>
    <t>040101010</t>
  </si>
  <si>
    <t>040101011</t>
  </si>
  <si>
    <t>040101012</t>
  </si>
  <si>
    <t>040101013</t>
  </si>
  <si>
    <t>040101014</t>
  </si>
  <si>
    <t>040101015</t>
  </si>
  <si>
    <t>040101016</t>
  </si>
  <si>
    <t>040101019</t>
  </si>
  <si>
    <t>040201001</t>
  </si>
  <si>
    <t>040201002</t>
  </si>
  <si>
    <t>040201003</t>
  </si>
  <si>
    <t>040201004</t>
  </si>
  <si>
    <t>040201005</t>
  </si>
  <si>
    <t>040201006</t>
  </si>
  <si>
    <t>040201007</t>
  </si>
  <si>
    <t>040201008</t>
  </si>
  <si>
    <t>040201009</t>
  </si>
  <si>
    <t>040201010</t>
  </si>
  <si>
    <t>040201011</t>
  </si>
  <si>
    <t>040201013</t>
  </si>
  <si>
    <t>040201014</t>
  </si>
  <si>
    <t>040201016</t>
  </si>
  <si>
    <t>040301001</t>
  </si>
  <si>
    <t>040301002</t>
  </si>
  <si>
    <t>040301004</t>
  </si>
  <si>
    <t>040301005</t>
  </si>
  <si>
    <t>040301006</t>
  </si>
  <si>
    <t>040301007</t>
  </si>
  <si>
    <t>040301008</t>
  </si>
  <si>
    <t>040301009</t>
  </si>
  <si>
    <t>040301010</t>
  </si>
  <si>
    <t>040301011</t>
  </si>
  <si>
    <t>040301012</t>
  </si>
  <si>
    <t>040301014</t>
  </si>
  <si>
    <t>040301015</t>
  </si>
  <si>
    <t>040301016</t>
  </si>
  <si>
    <t>040301017</t>
  </si>
  <si>
    <t>040301018</t>
  </si>
  <si>
    <t>040301019</t>
  </si>
  <si>
    <t>040301020</t>
  </si>
  <si>
    <t>040301021</t>
  </si>
  <si>
    <t>040301022</t>
  </si>
  <si>
    <t>040301023</t>
  </si>
  <si>
    <t>040301027</t>
  </si>
  <si>
    <t>040301028</t>
  </si>
  <si>
    <t>040301029</t>
  </si>
  <si>
    <t>040301030</t>
  </si>
  <si>
    <t>050101001</t>
  </si>
  <si>
    <t>050102004</t>
  </si>
  <si>
    <t>050102005</t>
  </si>
  <si>
    <t>050102012</t>
  </si>
  <si>
    <t>050102015</t>
  </si>
  <si>
    <t>050102017</t>
  </si>
  <si>
    <t>050102019</t>
  </si>
  <si>
    <t>050102020</t>
  </si>
  <si>
    <t>050102021</t>
  </si>
  <si>
    <t>050102029</t>
  </si>
  <si>
    <t>050102030</t>
  </si>
  <si>
    <t>050102031</t>
  </si>
  <si>
    <t>050102032</t>
  </si>
  <si>
    <t>050102033</t>
  </si>
  <si>
    <t>050102034</t>
  </si>
  <si>
    <t>050102035</t>
  </si>
  <si>
    <t>050102036</t>
  </si>
  <si>
    <t>050102037</t>
  </si>
  <si>
    <t>050102038</t>
  </si>
  <si>
    <t>050102039</t>
  </si>
  <si>
    <t>050102040</t>
  </si>
  <si>
    <t>050102041</t>
  </si>
  <si>
    <t>050102042</t>
  </si>
  <si>
    <t>050102043</t>
  </si>
  <si>
    <t>050102044</t>
  </si>
  <si>
    <t>050102045</t>
  </si>
  <si>
    <t>050102046</t>
  </si>
  <si>
    <t>050102047</t>
  </si>
  <si>
    <t>050102048</t>
  </si>
  <si>
    <t>050102049</t>
  </si>
  <si>
    <t>050102050</t>
  </si>
  <si>
    <t>050102051</t>
  </si>
  <si>
    <t>050102052</t>
  </si>
  <si>
    <t>050102054</t>
  </si>
  <si>
    <t>050102055</t>
  </si>
  <si>
    <t>050102059</t>
  </si>
  <si>
    <t>050102060</t>
  </si>
  <si>
    <t>050102062</t>
  </si>
  <si>
    <t>050102069</t>
  </si>
  <si>
    <t>050102070</t>
  </si>
  <si>
    <t>050102073</t>
  </si>
  <si>
    <t>050102079</t>
  </si>
  <si>
    <t>050102080</t>
  </si>
  <si>
    <t>050102081</t>
  </si>
  <si>
    <t>050102082</t>
  </si>
  <si>
    <t>050102083</t>
  </si>
  <si>
    <t>050102085</t>
  </si>
  <si>
    <t>050201001</t>
  </si>
  <si>
    <t>050201002</t>
  </si>
  <si>
    <t>050201003</t>
  </si>
  <si>
    <t>050201005</t>
  </si>
  <si>
    <t>050201006</t>
  </si>
  <si>
    <t>050201009</t>
  </si>
  <si>
    <t>050201010</t>
  </si>
  <si>
    <t>050201011</t>
  </si>
  <si>
    <t>050201012</t>
  </si>
  <si>
    <t>050201013</t>
  </si>
  <si>
    <t>050201014</t>
  </si>
  <si>
    <t>050201015</t>
  </si>
  <si>
    <t>050201016</t>
  </si>
  <si>
    <t>050201017</t>
  </si>
  <si>
    <t>050201018</t>
  </si>
  <si>
    <t>050201019</t>
  </si>
  <si>
    <t>050201020</t>
  </si>
  <si>
    <t>050201021</t>
  </si>
  <si>
    <t>050201022</t>
  </si>
  <si>
    <t>050201023</t>
  </si>
  <si>
    <t>050201024</t>
  </si>
  <si>
    <t>050201025</t>
  </si>
  <si>
    <t>050201026</t>
  </si>
  <si>
    <t>050201027</t>
  </si>
  <si>
    <t>050201028</t>
  </si>
  <si>
    <t>050201029</t>
  </si>
  <si>
    <t>050201030</t>
  </si>
  <si>
    <t>050201031</t>
  </si>
  <si>
    <t>050201032</t>
  </si>
  <si>
    <t>050201033</t>
  </si>
  <si>
    <t>050201034</t>
  </si>
  <si>
    <t>050201037</t>
  </si>
  <si>
    <t>050201039</t>
  </si>
  <si>
    <t>050201040</t>
  </si>
  <si>
    <t>050201044</t>
  </si>
  <si>
    <t>050201045</t>
  </si>
  <si>
    <t>050201048</t>
  </si>
  <si>
    <t>050201051</t>
  </si>
  <si>
    <t>050201052</t>
  </si>
  <si>
    <t>060101005</t>
  </si>
  <si>
    <t>060101006</t>
  </si>
  <si>
    <t>060101008</t>
  </si>
  <si>
    <t>060101009</t>
  </si>
  <si>
    <t>060101010</t>
  </si>
  <si>
    <t>060101011</t>
  </si>
  <si>
    <t>060101012</t>
  </si>
  <si>
    <t>060101015</t>
  </si>
  <si>
    <t>060101023</t>
  </si>
  <si>
    <t>060101032</t>
  </si>
  <si>
    <t>060102002</t>
  </si>
  <si>
    <t>060102005</t>
  </si>
  <si>
    <t>060102006</t>
  </si>
  <si>
    <t>060102007</t>
  </si>
  <si>
    <t>060102009</t>
  </si>
  <si>
    <t>060102010</t>
  </si>
  <si>
    <t>060102012</t>
  </si>
  <si>
    <t>060102013</t>
  </si>
  <si>
    <t>060102015</t>
  </si>
  <si>
    <t>060102016</t>
  </si>
  <si>
    <t>060102017</t>
  </si>
  <si>
    <t>060102018</t>
  </si>
  <si>
    <t>060102019</t>
  </si>
  <si>
    <t>060102020</t>
  </si>
  <si>
    <t>060102021</t>
  </si>
  <si>
    <t>060102022</t>
  </si>
  <si>
    <t>060102024</t>
  </si>
  <si>
    <t>060102025</t>
  </si>
  <si>
    <t>060102027</t>
  </si>
  <si>
    <t>060102028</t>
  </si>
  <si>
    <t>060102029</t>
  </si>
  <si>
    <t>060102031</t>
  </si>
  <si>
    <t>060102032</t>
  </si>
  <si>
    <t>060102033</t>
  </si>
  <si>
    <t>060102034</t>
  </si>
  <si>
    <t>060102035</t>
  </si>
  <si>
    <t>060102036</t>
  </si>
  <si>
    <t>060102037</t>
  </si>
  <si>
    <t>060102038</t>
  </si>
  <si>
    <t>060102040</t>
  </si>
  <si>
    <t>060201001</t>
  </si>
  <si>
    <t>060201002</t>
  </si>
  <si>
    <t>060201003</t>
  </si>
  <si>
    <t>060201006</t>
  </si>
  <si>
    <t>060201007</t>
  </si>
  <si>
    <t>060201008</t>
  </si>
  <si>
    <t>060201010</t>
  </si>
  <si>
    <t>060201011</t>
  </si>
  <si>
    <t>060201012</t>
  </si>
  <si>
    <t>060201017</t>
  </si>
  <si>
    <t>060201022</t>
  </si>
  <si>
    <t>060201025</t>
  </si>
  <si>
    <t>060202001</t>
  </si>
  <si>
    <t>060202002</t>
  </si>
  <si>
    <t>060202005</t>
  </si>
  <si>
    <t>060202006</t>
  </si>
  <si>
    <t>060202007</t>
  </si>
  <si>
    <t>060202010</t>
  </si>
  <si>
    <t>060202011</t>
  </si>
  <si>
    <t>060301001</t>
  </si>
  <si>
    <t>060301002</t>
  </si>
  <si>
    <t>060301003</t>
  </si>
  <si>
    <t>060301004</t>
  </si>
  <si>
    <t>060301005</t>
  </si>
  <si>
    <t>060301006</t>
  </si>
  <si>
    <t>060301007</t>
  </si>
  <si>
    <t>060301010</t>
  </si>
  <si>
    <t>060301015</t>
  </si>
  <si>
    <t>060301016</t>
  </si>
  <si>
    <t>060301017</t>
  </si>
  <si>
    <t>070101003</t>
  </si>
  <si>
    <t>070101007</t>
  </si>
  <si>
    <t>070101011</t>
  </si>
  <si>
    <t>070101012</t>
  </si>
  <si>
    <t>070101013</t>
  </si>
  <si>
    <t>070101015</t>
  </si>
  <si>
    <t>070101016</t>
  </si>
  <si>
    <t>070101017</t>
  </si>
  <si>
    <t>070101018</t>
  </si>
  <si>
    <t>070101019</t>
  </si>
  <si>
    <t>070101020</t>
  </si>
  <si>
    <t>070101021</t>
  </si>
  <si>
    <t>070101022</t>
  </si>
  <si>
    <t>070101023</t>
  </si>
  <si>
    <t>070101024</t>
  </si>
  <si>
    <t>070101025</t>
  </si>
  <si>
    <t>070101026</t>
  </si>
  <si>
    <t>070101027</t>
  </si>
  <si>
    <t>070101028</t>
  </si>
  <si>
    <t>070101030</t>
  </si>
  <si>
    <t>070101031</t>
  </si>
  <si>
    <t>070101032</t>
  </si>
  <si>
    <t>070101033</t>
  </si>
  <si>
    <t>070101034</t>
  </si>
  <si>
    <t>070101035</t>
  </si>
  <si>
    <t>070101036</t>
  </si>
  <si>
    <t>070101037</t>
  </si>
  <si>
    <t>070101038</t>
  </si>
  <si>
    <t>070101039</t>
  </si>
  <si>
    <t>070101040</t>
  </si>
  <si>
    <t>070101041</t>
  </si>
  <si>
    <t>070101042</t>
  </si>
  <si>
    <t>070101044</t>
  </si>
  <si>
    <t>070101045</t>
  </si>
  <si>
    <t>070101050</t>
  </si>
  <si>
    <t>070101051</t>
  </si>
  <si>
    <t>070101054</t>
  </si>
  <si>
    <t>070101062</t>
  </si>
  <si>
    <t>070101063</t>
  </si>
  <si>
    <t>070101064</t>
  </si>
  <si>
    <t>070101066</t>
  </si>
  <si>
    <t>070201002</t>
  </si>
  <si>
    <t>070201003</t>
  </si>
  <si>
    <t>070201005</t>
  </si>
  <si>
    <t>070201006</t>
  </si>
  <si>
    <t>070201007</t>
  </si>
  <si>
    <t>070201008</t>
  </si>
  <si>
    <t>070201009</t>
  </si>
  <si>
    <t>070201010</t>
  </si>
  <si>
    <t>070201012</t>
  </si>
  <si>
    <t>070201013</t>
  </si>
  <si>
    <t>070201014</t>
  </si>
  <si>
    <t>070201015</t>
  </si>
  <si>
    <t>070201016</t>
  </si>
  <si>
    <t>070201018</t>
  </si>
  <si>
    <t>070201019</t>
  </si>
  <si>
    <t>کمربند سبز حفاظتی</t>
  </si>
  <si>
    <t>070201020</t>
  </si>
  <si>
    <t>070201021</t>
  </si>
  <si>
    <t>070201022</t>
  </si>
  <si>
    <t>070201023</t>
  </si>
  <si>
    <t>070201024</t>
  </si>
  <si>
    <t>070201025</t>
  </si>
  <si>
    <t>070201026</t>
  </si>
  <si>
    <t>070201027</t>
  </si>
  <si>
    <t>070201028</t>
  </si>
  <si>
    <t>070201029</t>
  </si>
  <si>
    <t>070201030</t>
  </si>
  <si>
    <t>070201032</t>
  </si>
  <si>
    <t>070201033</t>
  </si>
  <si>
    <t>070201034</t>
  </si>
  <si>
    <t>070201035</t>
  </si>
  <si>
    <t>070201036</t>
  </si>
  <si>
    <t>070201037</t>
  </si>
  <si>
    <t>070201038</t>
  </si>
  <si>
    <t>070201039</t>
  </si>
  <si>
    <t>070201040</t>
  </si>
  <si>
    <t>070201041</t>
  </si>
  <si>
    <t>070201042</t>
  </si>
  <si>
    <t>070201043</t>
  </si>
  <si>
    <t>070201044</t>
  </si>
  <si>
    <t>070201045</t>
  </si>
  <si>
    <t>070201046</t>
  </si>
  <si>
    <t>070201047</t>
  </si>
  <si>
    <t>070201048</t>
  </si>
  <si>
    <t>070201049</t>
  </si>
  <si>
    <t>070201050</t>
  </si>
  <si>
    <t>070201051</t>
  </si>
  <si>
    <t>070201052</t>
  </si>
  <si>
    <t>070201053</t>
  </si>
  <si>
    <t>070201054</t>
  </si>
  <si>
    <t>070201055</t>
  </si>
  <si>
    <t>070201056</t>
  </si>
  <si>
    <t>070201057</t>
  </si>
  <si>
    <t>070201058</t>
  </si>
  <si>
    <t>070201059</t>
  </si>
  <si>
    <t>070201060</t>
  </si>
  <si>
    <t>070202001</t>
  </si>
  <si>
    <t>070202002</t>
  </si>
  <si>
    <t>070202003</t>
  </si>
  <si>
    <t>070202004</t>
  </si>
  <si>
    <t>070202005</t>
  </si>
  <si>
    <t>070202006</t>
  </si>
  <si>
    <t>070202007</t>
  </si>
  <si>
    <t>070202011</t>
  </si>
  <si>
    <t>070202012</t>
  </si>
  <si>
    <t>070202014</t>
  </si>
  <si>
    <t>070202015</t>
  </si>
  <si>
    <t>070202016</t>
  </si>
  <si>
    <t>070202017</t>
  </si>
  <si>
    <t>070202018</t>
  </si>
  <si>
    <t>070202019</t>
  </si>
  <si>
    <t>070202020</t>
  </si>
  <si>
    <t>070202026</t>
  </si>
  <si>
    <t>070202027</t>
  </si>
  <si>
    <t>070203001</t>
  </si>
  <si>
    <t>070203003</t>
  </si>
  <si>
    <t>070203004</t>
  </si>
  <si>
    <t>070203005</t>
  </si>
  <si>
    <t>070203006</t>
  </si>
  <si>
    <t>070203007</t>
  </si>
  <si>
    <t>070203009</t>
  </si>
  <si>
    <t>070203010</t>
  </si>
  <si>
    <t>070203011</t>
  </si>
  <si>
    <t>070203012</t>
  </si>
  <si>
    <t>070203013</t>
  </si>
  <si>
    <t>070203014</t>
  </si>
  <si>
    <t>070203015</t>
  </si>
  <si>
    <t>070203016</t>
  </si>
  <si>
    <t>070203017</t>
  </si>
  <si>
    <t>070203018</t>
  </si>
  <si>
    <t>070203019</t>
  </si>
  <si>
    <t>070204001</t>
  </si>
  <si>
    <t>070205002</t>
  </si>
  <si>
    <t>070205003</t>
  </si>
  <si>
    <t>070205004</t>
  </si>
  <si>
    <t>070205005</t>
  </si>
  <si>
    <t>070301001</t>
  </si>
  <si>
    <t>070301003</t>
  </si>
  <si>
    <t>070301005</t>
  </si>
  <si>
    <t>070301007</t>
  </si>
  <si>
    <t>070301010</t>
  </si>
  <si>
    <t>070301011</t>
  </si>
  <si>
    <t>070301012</t>
  </si>
  <si>
    <t>070301013</t>
  </si>
  <si>
    <t>070301014</t>
  </si>
  <si>
    <t>070301015</t>
  </si>
  <si>
    <t>070301016</t>
  </si>
  <si>
    <t>070301017</t>
  </si>
  <si>
    <t>070301018</t>
  </si>
  <si>
    <t>070301019</t>
  </si>
  <si>
    <t>070301020</t>
  </si>
  <si>
    <t>070301021</t>
  </si>
  <si>
    <t>070301022</t>
  </si>
  <si>
    <t>070301023</t>
  </si>
  <si>
    <t>070301024</t>
  </si>
  <si>
    <t>070302001</t>
  </si>
  <si>
    <t>070302002</t>
  </si>
  <si>
    <t>070302003</t>
  </si>
  <si>
    <t>070302004</t>
  </si>
  <si>
    <t>070302005</t>
  </si>
  <si>
    <t>080101002</t>
  </si>
  <si>
    <t>080101003</t>
  </si>
  <si>
    <t>080101004</t>
  </si>
  <si>
    <t>080101005</t>
  </si>
  <si>
    <t>080101006</t>
  </si>
  <si>
    <t>080101007</t>
  </si>
  <si>
    <t>080101008</t>
  </si>
  <si>
    <t>080101009</t>
  </si>
  <si>
    <t>080101010</t>
  </si>
  <si>
    <t>080101011</t>
  </si>
  <si>
    <t>080101012</t>
  </si>
  <si>
    <t>080101014</t>
  </si>
  <si>
    <t>080101015</t>
  </si>
  <si>
    <t>080101016</t>
  </si>
  <si>
    <t>080101017</t>
  </si>
  <si>
    <t>080101018</t>
  </si>
  <si>
    <t>080101019</t>
  </si>
  <si>
    <t>080101020</t>
  </si>
  <si>
    <t>080101021</t>
  </si>
  <si>
    <t>080101022</t>
  </si>
  <si>
    <t>080101023</t>
  </si>
  <si>
    <t>080101024</t>
  </si>
  <si>
    <t>080101025</t>
  </si>
  <si>
    <t>080101026</t>
  </si>
  <si>
    <t>080101031</t>
  </si>
  <si>
    <t>080101032</t>
  </si>
  <si>
    <t>080101033</t>
  </si>
  <si>
    <t>080101034</t>
  </si>
  <si>
    <t>080101035</t>
  </si>
  <si>
    <t>080101036</t>
  </si>
  <si>
    <t>080101037</t>
  </si>
  <si>
    <t>080101038</t>
  </si>
  <si>
    <t>080201001</t>
  </si>
  <si>
    <t>080201004</t>
  </si>
  <si>
    <t>080201006</t>
  </si>
  <si>
    <t>080201007</t>
  </si>
  <si>
    <t>080201008</t>
  </si>
  <si>
    <t>080201011</t>
  </si>
  <si>
    <t>080201012</t>
  </si>
  <si>
    <t>080201013</t>
  </si>
  <si>
    <t>080201014</t>
  </si>
  <si>
    <t>080201015</t>
  </si>
  <si>
    <t>080201016</t>
  </si>
  <si>
    <t>080201017</t>
  </si>
  <si>
    <t>080201018</t>
  </si>
  <si>
    <t>080201019</t>
  </si>
  <si>
    <t>080201020</t>
  </si>
  <si>
    <t>080201021</t>
  </si>
  <si>
    <t>080201022</t>
  </si>
  <si>
    <t>080201023</t>
  </si>
  <si>
    <t>080201024</t>
  </si>
  <si>
    <t>080201025</t>
  </si>
  <si>
    <t>080201028</t>
  </si>
  <si>
    <t>080201031</t>
  </si>
  <si>
    <t>080201034</t>
  </si>
  <si>
    <t>080201037</t>
  </si>
  <si>
    <t>080201038</t>
  </si>
  <si>
    <t>080202001</t>
  </si>
  <si>
    <t>080202002</t>
  </si>
  <si>
    <t>080202003</t>
  </si>
  <si>
    <t>080202004</t>
  </si>
  <si>
    <t>080202005</t>
  </si>
  <si>
    <t>080301003</t>
  </si>
  <si>
    <t>080301004</t>
  </si>
  <si>
    <t>080301005</t>
  </si>
  <si>
    <t>080301006</t>
  </si>
  <si>
    <t>080301007</t>
  </si>
  <si>
    <t>080301008</t>
  </si>
  <si>
    <t>080301009</t>
  </si>
  <si>
    <t>080301010</t>
  </si>
  <si>
    <t>080301011</t>
  </si>
  <si>
    <t>080301013</t>
  </si>
  <si>
    <t>080301014</t>
  </si>
  <si>
    <t>080301015</t>
  </si>
  <si>
    <t>080301016</t>
  </si>
  <si>
    <t>080301017</t>
  </si>
  <si>
    <t>080301018</t>
  </si>
  <si>
    <t>080301019</t>
  </si>
  <si>
    <t>080301020</t>
  </si>
  <si>
    <t>080301021</t>
  </si>
  <si>
    <t>080301022</t>
  </si>
  <si>
    <t>080301023</t>
  </si>
  <si>
    <t>080301024</t>
  </si>
  <si>
    <t>080301026</t>
  </si>
  <si>
    <t>080301027</t>
  </si>
  <si>
    <t>080301028</t>
  </si>
  <si>
    <t>080301029</t>
  </si>
  <si>
    <t>080301030</t>
  </si>
  <si>
    <t>080301034</t>
  </si>
  <si>
    <t>080301035</t>
  </si>
  <si>
    <t>080301036</t>
  </si>
  <si>
    <t>080301037</t>
  </si>
  <si>
    <t>080301038</t>
  </si>
  <si>
    <t>080301039</t>
  </si>
  <si>
    <t>080301041</t>
  </si>
  <si>
    <t>080301042</t>
  </si>
  <si>
    <t>090101001</t>
  </si>
  <si>
    <t>090101004</t>
  </si>
  <si>
    <t>090101005</t>
  </si>
  <si>
    <t>090101006</t>
  </si>
  <si>
    <t>090101007</t>
  </si>
  <si>
    <t>090101009</t>
  </si>
  <si>
    <t>090101010</t>
  </si>
  <si>
    <t>090101011</t>
  </si>
  <si>
    <t>090101013</t>
  </si>
  <si>
    <t>090101015</t>
  </si>
  <si>
    <t>090101017</t>
  </si>
  <si>
    <t>090101018</t>
  </si>
  <si>
    <t>090101019</t>
  </si>
  <si>
    <t>090101020</t>
  </si>
  <si>
    <t>090101021</t>
  </si>
  <si>
    <t>090101022</t>
  </si>
  <si>
    <t>090102003</t>
  </si>
  <si>
    <t>090102006</t>
  </si>
  <si>
    <t>090102007</t>
  </si>
  <si>
    <t>090102008</t>
  </si>
  <si>
    <t>090102009</t>
  </si>
  <si>
    <t>090102010</t>
  </si>
  <si>
    <t>090102011</t>
  </si>
  <si>
    <t>090102012</t>
  </si>
  <si>
    <t>090102014</t>
  </si>
  <si>
    <t>090102015</t>
  </si>
  <si>
    <t>090102017</t>
  </si>
  <si>
    <t>090102018</t>
  </si>
  <si>
    <t>090102020</t>
  </si>
  <si>
    <t>090102021</t>
  </si>
  <si>
    <t>090102022</t>
  </si>
  <si>
    <t>090102023</t>
  </si>
  <si>
    <t>090102024</t>
  </si>
  <si>
    <t>090102025</t>
  </si>
  <si>
    <t>090102031</t>
  </si>
  <si>
    <t>090102033</t>
  </si>
  <si>
    <t>090102034</t>
  </si>
  <si>
    <t>090103001</t>
  </si>
  <si>
    <t>090103002</t>
  </si>
  <si>
    <t>090103003</t>
  </si>
  <si>
    <t>090103004</t>
  </si>
  <si>
    <t>090103005</t>
  </si>
  <si>
    <t>090103006</t>
  </si>
  <si>
    <t>090103007</t>
  </si>
  <si>
    <t>090103008</t>
  </si>
  <si>
    <t>090103009</t>
  </si>
  <si>
    <t>090104002</t>
  </si>
  <si>
    <t>090104003</t>
  </si>
  <si>
    <t>090104004</t>
  </si>
  <si>
    <t>090104005</t>
  </si>
  <si>
    <t>090104007</t>
  </si>
  <si>
    <t>090104008</t>
  </si>
  <si>
    <t>090104009</t>
  </si>
  <si>
    <t>090104010</t>
  </si>
  <si>
    <t>090104011</t>
  </si>
  <si>
    <t>090104012</t>
  </si>
  <si>
    <t>090104013</t>
  </si>
  <si>
    <t>090104014</t>
  </si>
  <si>
    <t>090104015</t>
  </si>
  <si>
    <t>090104016</t>
  </si>
  <si>
    <t>090104017</t>
  </si>
  <si>
    <t>090104021</t>
  </si>
  <si>
    <t>090104022</t>
  </si>
  <si>
    <t>090104023</t>
  </si>
  <si>
    <t>090104024</t>
  </si>
  <si>
    <t>090104026</t>
  </si>
  <si>
    <t>090104027</t>
  </si>
  <si>
    <t>090201003</t>
  </si>
  <si>
    <t>090201004</t>
  </si>
  <si>
    <t>090201010</t>
  </si>
  <si>
    <t>090201011</t>
  </si>
  <si>
    <t>090201012</t>
  </si>
  <si>
    <t>090201014</t>
  </si>
  <si>
    <t>090201016</t>
  </si>
  <si>
    <t>090201017</t>
  </si>
  <si>
    <t>090201019</t>
  </si>
  <si>
    <t>090201020</t>
  </si>
  <si>
    <t>090201022</t>
  </si>
  <si>
    <t>090201023</t>
  </si>
  <si>
    <t>090201024</t>
  </si>
  <si>
    <t>090201026</t>
  </si>
  <si>
    <t>090201027</t>
  </si>
  <si>
    <t>090201028</t>
  </si>
  <si>
    <t>090201029</t>
  </si>
  <si>
    <t>090201030</t>
  </si>
  <si>
    <t>090201031</t>
  </si>
  <si>
    <t>090201032</t>
  </si>
  <si>
    <t>090202002</t>
  </si>
  <si>
    <t>090202007</t>
  </si>
  <si>
    <t>090202009</t>
  </si>
  <si>
    <t>090202010</t>
  </si>
  <si>
    <t>090202011</t>
  </si>
  <si>
    <t>090202012</t>
  </si>
  <si>
    <t>090202013</t>
  </si>
  <si>
    <t>090202014</t>
  </si>
  <si>
    <t>090202015</t>
  </si>
  <si>
    <t>090202016</t>
  </si>
  <si>
    <t>090202019</t>
  </si>
  <si>
    <t>090202020</t>
  </si>
  <si>
    <t>090202021</t>
  </si>
  <si>
    <t>090202023</t>
  </si>
  <si>
    <t>090202024</t>
  </si>
  <si>
    <t>090202027</t>
  </si>
  <si>
    <t>090202029</t>
  </si>
  <si>
    <t>090202030</t>
  </si>
  <si>
    <t>090202032</t>
  </si>
  <si>
    <t>090202033</t>
  </si>
  <si>
    <t>090202034</t>
  </si>
  <si>
    <t>090202035</t>
  </si>
  <si>
    <t>090202036</t>
  </si>
  <si>
    <t>090202037</t>
  </si>
  <si>
    <t>090202038</t>
  </si>
  <si>
    <t>090202039</t>
  </si>
  <si>
    <t>090202040</t>
  </si>
  <si>
    <t>090202041</t>
  </si>
  <si>
    <t>090202042</t>
  </si>
  <si>
    <t>090202043</t>
  </si>
  <si>
    <t>090202044</t>
  </si>
  <si>
    <t>090203001</t>
  </si>
  <si>
    <t>090203002</t>
  </si>
  <si>
    <t>090203003</t>
  </si>
  <si>
    <t>090203004</t>
  </si>
  <si>
    <t>090203005</t>
  </si>
  <si>
    <t>090203006</t>
  </si>
  <si>
    <t>090203007</t>
  </si>
  <si>
    <t>090203008</t>
  </si>
  <si>
    <t>090301001</t>
  </si>
  <si>
    <t>090301002</t>
  </si>
  <si>
    <t>090301003</t>
  </si>
  <si>
    <t>090301005</t>
  </si>
  <si>
    <t>090301007</t>
  </si>
  <si>
    <t>090301008</t>
  </si>
  <si>
    <t>090301009</t>
  </si>
  <si>
    <t>090301011</t>
  </si>
  <si>
    <t>090301012</t>
  </si>
  <si>
    <t>090301013</t>
  </si>
  <si>
    <t>090301014</t>
  </si>
  <si>
    <t>090301015</t>
  </si>
  <si>
    <t>090301016</t>
  </si>
  <si>
    <t>090301017</t>
  </si>
  <si>
    <t>090301018</t>
  </si>
  <si>
    <t>090301019</t>
  </si>
  <si>
    <t>090301020</t>
  </si>
  <si>
    <t>090301021</t>
  </si>
  <si>
    <t>090301022</t>
  </si>
  <si>
    <t>090301023</t>
  </si>
  <si>
    <t>090301024</t>
  </si>
  <si>
    <t>090301025</t>
  </si>
  <si>
    <t>090301026</t>
  </si>
  <si>
    <t>090301029</t>
  </si>
  <si>
    <t>090301031</t>
  </si>
  <si>
    <t>090301034</t>
  </si>
  <si>
    <t>090301035</t>
  </si>
  <si>
    <t>090301036</t>
  </si>
  <si>
    <t>090301037</t>
  </si>
  <si>
    <t>090301039</t>
  </si>
  <si>
    <t>090301040</t>
  </si>
  <si>
    <t>090301041</t>
  </si>
  <si>
    <t>090301042</t>
  </si>
  <si>
    <t>090301043</t>
  </si>
  <si>
    <t>090301044</t>
  </si>
  <si>
    <t>090302001</t>
  </si>
  <si>
    <t>090302002</t>
  </si>
  <si>
    <t>090302003</t>
  </si>
  <si>
    <t>090302004</t>
  </si>
  <si>
    <t>090302005</t>
  </si>
  <si>
    <t>090302006</t>
  </si>
  <si>
    <t>090302007</t>
  </si>
  <si>
    <t>090302008</t>
  </si>
  <si>
    <t>090302009</t>
  </si>
  <si>
    <t>090302010</t>
  </si>
  <si>
    <t>090303001</t>
  </si>
  <si>
    <t>090303002</t>
  </si>
  <si>
    <t>090303003</t>
  </si>
  <si>
    <t>100101001</t>
  </si>
  <si>
    <t>100101005</t>
  </si>
  <si>
    <t>100101006</t>
  </si>
  <si>
    <t>100101007</t>
  </si>
  <si>
    <t>100101009</t>
  </si>
  <si>
    <t>100101011</t>
  </si>
  <si>
    <t>100101013</t>
  </si>
  <si>
    <t>100101014</t>
  </si>
  <si>
    <t>100101017</t>
  </si>
  <si>
    <t>100101018</t>
  </si>
  <si>
    <t>100101019</t>
  </si>
  <si>
    <t>100101021</t>
  </si>
  <si>
    <t>100101022</t>
  </si>
  <si>
    <t>100101023</t>
  </si>
  <si>
    <t>100101024</t>
  </si>
  <si>
    <t>100101025</t>
  </si>
  <si>
    <t>100101026</t>
  </si>
  <si>
    <t>100101027</t>
  </si>
  <si>
    <t>100101028</t>
  </si>
  <si>
    <t>100101029</t>
  </si>
  <si>
    <t>100101030</t>
  </si>
  <si>
    <t>100101031</t>
  </si>
  <si>
    <t>100101032</t>
  </si>
  <si>
    <t>100101034</t>
  </si>
  <si>
    <t>100101041</t>
  </si>
  <si>
    <t>100102001</t>
  </si>
  <si>
    <t>100102002</t>
  </si>
  <si>
    <t>100102003</t>
  </si>
  <si>
    <t>100102004</t>
  </si>
  <si>
    <t>100102005</t>
  </si>
  <si>
    <t>100102006</t>
  </si>
  <si>
    <t>100102007</t>
  </si>
  <si>
    <t>100102008</t>
  </si>
  <si>
    <t>100102009</t>
  </si>
  <si>
    <t>100102010</t>
  </si>
  <si>
    <t>100102011</t>
  </si>
  <si>
    <t>100102012</t>
  </si>
  <si>
    <t>100102013</t>
  </si>
  <si>
    <t>100102014</t>
  </si>
  <si>
    <t>100103001</t>
  </si>
  <si>
    <t>100103002</t>
  </si>
  <si>
    <t>100103003</t>
  </si>
  <si>
    <t>100103008</t>
  </si>
  <si>
    <t>100103009</t>
  </si>
  <si>
    <t>100103010</t>
  </si>
  <si>
    <t>100103011</t>
  </si>
  <si>
    <t>100103012</t>
  </si>
  <si>
    <t>100103013</t>
  </si>
  <si>
    <t>100103014</t>
  </si>
  <si>
    <t>100103016</t>
  </si>
  <si>
    <t>100103017</t>
  </si>
  <si>
    <t>100103019</t>
  </si>
  <si>
    <t>100103020</t>
  </si>
  <si>
    <t>100103021</t>
  </si>
  <si>
    <t>100103022</t>
  </si>
  <si>
    <t>100103023</t>
  </si>
  <si>
    <t>100103027</t>
  </si>
  <si>
    <t>100103028</t>
  </si>
  <si>
    <t>100103030</t>
  </si>
  <si>
    <t>100103031</t>
  </si>
  <si>
    <t>100103032</t>
  </si>
  <si>
    <t>100103033</t>
  </si>
  <si>
    <t>100103034</t>
  </si>
  <si>
    <t>100103035</t>
  </si>
  <si>
    <t>100103036</t>
  </si>
  <si>
    <t>100103037</t>
  </si>
  <si>
    <t>100103038</t>
  </si>
  <si>
    <t>100103039</t>
  </si>
  <si>
    <t>100103040</t>
  </si>
  <si>
    <t>100103042</t>
  </si>
  <si>
    <t>100103043</t>
  </si>
  <si>
    <t>100104001</t>
  </si>
  <si>
    <t>100104003</t>
  </si>
  <si>
    <t>100104005</t>
  </si>
  <si>
    <t>100104006</t>
  </si>
  <si>
    <t>100104007</t>
  </si>
  <si>
    <t>100201008</t>
  </si>
  <si>
    <t>100201009</t>
  </si>
  <si>
    <t>100201010</t>
  </si>
  <si>
    <t>100201011</t>
  </si>
  <si>
    <t>100201012</t>
  </si>
  <si>
    <t>100201013</t>
  </si>
  <si>
    <t>100201014</t>
  </si>
  <si>
    <t>100201015</t>
  </si>
  <si>
    <t>100201016</t>
  </si>
  <si>
    <t>100201017</t>
  </si>
  <si>
    <t>100201018</t>
  </si>
  <si>
    <t>100201019</t>
  </si>
  <si>
    <t>100201021</t>
  </si>
  <si>
    <t>100201022</t>
  </si>
  <si>
    <t>100201023</t>
  </si>
  <si>
    <t>100201024</t>
  </si>
  <si>
    <t>100201025</t>
  </si>
  <si>
    <t>100201027</t>
  </si>
  <si>
    <t>100201029</t>
  </si>
  <si>
    <t>100201030</t>
  </si>
  <si>
    <t>100201031</t>
  </si>
  <si>
    <t>100201032</t>
  </si>
  <si>
    <t>100201033</t>
  </si>
  <si>
    <t>100201034</t>
  </si>
  <si>
    <t>100201035</t>
  </si>
  <si>
    <t>100201036</t>
  </si>
  <si>
    <t>100201037</t>
  </si>
  <si>
    <t>100201038</t>
  </si>
  <si>
    <t>100201039</t>
  </si>
  <si>
    <t>100201040</t>
  </si>
  <si>
    <t>100201041</t>
  </si>
  <si>
    <t>100201042</t>
  </si>
  <si>
    <t>100202001</t>
  </si>
  <si>
    <t>100202002</t>
  </si>
  <si>
    <t>100202004</t>
  </si>
  <si>
    <t>100202008</t>
  </si>
  <si>
    <t>100202014</t>
  </si>
  <si>
    <t>100202016</t>
  </si>
  <si>
    <t>100202019</t>
  </si>
  <si>
    <t>100202021</t>
  </si>
  <si>
    <t>100202022</t>
  </si>
  <si>
    <t>100202023</t>
  </si>
  <si>
    <t>100202024</t>
  </si>
  <si>
    <t>100202025</t>
  </si>
  <si>
    <t>100202026</t>
  </si>
  <si>
    <t>100202027</t>
  </si>
  <si>
    <t>100202028</t>
  </si>
  <si>
    <t>100202029</t>
  </si>
  <si>
    <t>100202030</t>
  </si>
  <si>
    <t>100202031</t>
  </si>
  <si>
    <t>100202032</t>
  </si>
  <si>
    <t>100202033</t>
  </si>
  <si>
    <t>100202034</t>
  </si>
  <si>
    <t>100202035</t>
  </si>
  <si>
    <t>100202036</t>
  </si>
  <si>
    <t>100202037</t>
  </si>
  <si>
    <t>100202038</t>
  </si>
  <si>
    <t>100202046</t>
  </si>
  <si>
    <t>100202047</t>
  </si>
  <si>
    <t>100202048</t>
  </si>
  <si>
    <t>100202049</t>
  </si>
  <si>
    <t>100202054</t>
  </si>
  <si>
    <t>100202055</t>
  </si>
  <si>
    <t>100202056</t>
  </si>
  <si>
    <t>100202057</t>
  </si>
  <si>
    <t>100202059</t>
  </si>
  <si>
    <t>100202060</t>
  </si>
  <si>
    <t>100202061</t>
  </si>
  <si>
    <t>100202062</t>
  </si>
  <si>
    <t>100202063</t>
  </si>
  <si>
    <t>100202064</t>
  </si>
  <si>
    <t>100202065</t>
  </si>
  <si>
    <t>100202066</t>
  </si>
  <si>
    <t>100202067</t>
  </si>
  <si>
    <t>100301002</t>
  </si>
  <si>
    <t>100301004</t>
  </si>
  <si>
    <t>100301005</t>
  </si>
  <si>
    <t>100301006</t>
  </si>
  <si>
    <t>100301007</t>
  </si>
  <si>
    <t>100301008</t>
  </si>
  <si>
    <t>100301009</t>
  </si>
  <si>
    <t>100301010</t>
  </si>
  <si>
    <t>100301011</t>
  </si>
  <si>
    <t>100301012</t>
  </si>
  <si>
    <t>100301013</t>
  </si>
  <si>
    <t>100301014</t>
  </si>
  <si>
    <t>100301015</t>
  </si>
  <si>
    <t>100301016</t>
  </si>
  <si>
    <t>100301017</t>
  </si>
  <si>
    <t>100301018</t>
  </si>
  <si>
    <t>100301019</t>
  </si>
  <si>
    <t>100301023</t>
  </si>
  <si>
    <t>100301029</t>
  </si>
  <si>
    <t>100301030</t>
  </si>
  <si>
    <t>100301031</t>
  </si>
  <si>
    <t>100302001</t>
  </si>
  <si>
    <t>100302003</t>
  </si>
  <si>
    <t>100302005</t>
  </si>
  <si>
    <t>100302006</t>
  </si>
  <si>
    <t>100302007</t>
  </si>
  <si>
    <t>100302008</t>
  </si>
  <si>
    <t>100302009</t>
  </si>
  <si>
    <t>100302010</t>
  </si>
  <si>
    <t>100302012</t>
  </si>
  <si>
    <t>100302013</t>
  </si>
  <si>
    <t>100302015</t>
  </si>
  <si>
    <t>100302016</t>
  </si>
  <si>
    <t>100302017</t>
  </si>
  <si>
    <t>100302018</t>
  </si>
  <si>
    <t>100302019</t>
  </si>
  <si>
    <t>100302020</t>
  </si>
  <si>
    <t>100302021</t>
  </si>
  <si>
    <t>100302022</t>
  </si>
  <si>
    <t>100302023</t>
  </si>
  <si>
    <t>100302024</t>
  </si>
  <si>
    <t>100302025</t>
  </si>
  <si>
    <t>100302026</t>
  </si>
  <si>
    <t>100302027</t>
  </si>
  <si>
    <t>100302028</t>
  </si>
  <si>
    <t>100302029</t>
  </si>
  <si>
    <t>100302032</t>
  </si>
  <si>
    <t>100302033</t>
  </si>
  <si>
    <t>100302035</t>
  </si>
  <si>
    <t>100302038</t>
  </si>
  <si>
    <t>100302039</t>
  </si>
  <si>
    <t>100302040</t>
  </si>
  <si>
    <t>100302041</t>
  </si>
  <si>
    <t>100302042</t>
  </si>
  <si>
    <t>100302043</t>
  </si>
  <si>
    <t>100303002</t>
  </si>
  <si>
    <t>100303003</t>
  </si>
  <si>
    <t>100303006</t>
  </si>
  <si>
    <t>100303007</t>
  </si>
  <si>
    <t>100303008</t>
  </si>
  <si>
    <t>100303009</t>
  </si>
  <si>
    <t>100303011</t>
  </si>
  <si>
    <t>100303012</t>
  </si>
  <si>
    <t>100303013</t>
  </si>
  <si>
    <t>100303015</t>
  </si>
  <si>
    <t>100303016</t>
  </si>
  <si>
    <t>100303021</t>
  </si>
  <si>
    <t>100303022</t>
  </si>
  <si>
    <t>100303026</t>
  </si>
  <si>
    <t>100303027</t>
  </si>
  <si>
    <t>100303029</t>
  </si>
  <si>
    <t>100303031</t>
  </si>
  <si>
    <t>100303032</t>
  </si>
  <si>
    <t>100303033</t>
  </si>
  <si>
    <t>100303034</t>
  </si>
  <si>
    <t>110101004</t>
  </si>
  <si>
    <t>110101009</t>
  </si>
  <si>
    <t>110101013</t>
  </si>
  <si>
    <t>110101014</t>
  </si>
  <si>
    <t>110101015</t>
  </si>
  <si>
    <t>110101016</t>
  </si>
  <si>
    <t>110101021</t>
  </si>
  <si>
    <t>110101029</t>
  </si>
  <si>
    <t>110101030</t>
  </si>
  <si>
    <t>110101031</t>
  </si>
  <si>
    <t>110101032</t>
  </si>
  <si>
    <t>110101034</t>
  </si>
  <si>
    <t>110101036</t>
  </si>
  <si>
    <t>110101037</t>
  </si>
  <si>
    <t>110101040</t>
  </si>
  <si>
    <t>110101052</t>
  </si>
  <si>
    <t>110101056</t>
  </si>
  <si>
    <t>110102001</t>
  </si>
  <si>
    <t>110201007</t>
  </si>
  <si>
    <t>110201009</t>
  </si>
  <si>
    <t>110201011</t>
  </si>
  <si>
    <t>110201012</t>
  </si>
  <si>
    <t>110201013</t>
  </si>
  <si>
    <t>110201014</t>
  </si>
  <si>
    <t>110201015</t>
  </si>
  <si>
    <t>110201016</t>
  </si>
  <si>
    <t>110201017</t>
  </si>
  <si>
    <t>110201019</t>
  </si>
  <si>
    <t>110201020</t>
  </si>
  <si>
    <t>110201022</t>
  </si>
  <si>
    <t>110201027</t>
  </si>
  <si>
    <t>110201030</t>
  </si>
  <si>
    <t>110201032</t>
  </si>
  <si>
    <t>110201033</t>
  </si>
  <si>
    <t>110201034</t>
  </si>
  <si>
    <t>110201035</t>
  </si>
  <si>
    <t>110202003</t>
  </si>
  <si>
    <t>110202012</t>
  </si>
  <si>
    <t>110202013</t>
  </si>
  <si>
    <t>110202014</t>
  </si>
  <si>
    <t>110202015</t>
  </si>
  <si>
    <t>110202016</t>
  </si>
  <si>
    <t>110202018</t>
  </si>
  <si>
    <t>110202020</t>
  </si>
  <si>
    <t>110202021</t>
  </si>
  <si>
    <t>110202022</t>
  </si>
  <si>
    <t>110202023</t>
  </si>
  <si>
    <t>110202025</t>
  </si>
  <si>
    <t>110202027</t>
  </si>
  <si>
    <t>110202028</t>
  </si>
  <si>
    <t>110202029</t>
  </si>
  <si>
    <t>110202030</t>
  </si>
  <si>
    <t>110202031</t>
  </si>
  <si>
    <t>110202032</t>
  </si>
  <si>
    <t>110202033</t>
  </si>
  <si>
    <t>110202034</t>
  </si>
  <si>
    <t>110202035</t>
  </si>
  <si>
    <t>110202036</t>
  </si>
  <si>
    <t>110202037</t>
  </si>
  <si>
    <t>110202038</t>
  </si>
  <si>
    <t>110202039</t>
  </si>
  <si>
    <t>110202040</t>
  </si>
  <si>
    <t>110202041</t>
  </si>
  <si>
    <t>110202043</t>
  </si>
  <si>
    <t>110202045</t>
  </si>
  <si>
    <t>110202046</t>
  </si>
  <si>
    <t>110202047</t>
  </si>
  <si>
    <t>110202050</t>
  </si>
  <si>
    <t>110202051</t>
  </si>
  <si>
    <t>110203001</t>
  </si>
  <si>
    <t>120101001</t>
  </si>
  <si>
    <t>120101002</t>
  </si>
  <si>
    <t>120101003</t>
  </si>
  <si>
    <t>120101004</t>
  </si>
  <si>
    <t>120101005</t>
  </si>
  <si>
    <t>120101006</t>
  </si>
  <si>
    <t>120101007</t>
  </si>
  <si>
    <t>120101008</t>
  </si>
  <si>
    <t>120101009</t>
  </si>
  <si>
    <t>120101010</t>
  </si>
  <si>
    <t>120101011</t>
  </si>
  <si>
    <t>120101012</t>
  </si>
  <si>
    <t>120101013</t>
  </si>
  <si>
    <t>120101014</t>
  </si>
  <si>
    <t>120101015</t>
  </si>
  <si>
    <t>120101016</t>
  </si>
  <si>
    <t>120101017</t>
  </si>
  <si>
    <t>120101018</t>
  </si>
  <si>
    <t>120101019</t>
  </si>
  <si>
    <t>120101020</t>
  </si>
  <si>
    <t>120101021</t>
  </si>
  <si>
    <t>120101022</t>
  </si>
  <si>
    <t>120101023</t>
  </si>
  <si>
    <t>120101026</t>
  </si>
  <si>
    <t>120101027</t>
  </si>
  <si>
    <t>120101028</t>
  </si>
  <si>
    <t>120101029</t>
  </si>
  <si>
    <t>120101030</t>
  </si>
  <si>
    <t>120101031</t>
  </si>
  <si>
    <t>120101032</t>
  </si>
  <si>
    <t>120101033</t>
  </si>
  <si>
    <t>120101034</t>
  </si>
  <si>
    <t>120101035</t>
  </si>
  <si>
    <t>120101036</t>
  </si>
  <si>
    <t>120101037</t>
  </si>
  <si>
    <t>120101038</t>
  </si>
  <si>
    <t>120101039</t>
  </si>
  <si>
    <t>120101040</t>
  </si>
  <si>
    <t>120101041</t>
  </si>
  <si>
    <t>120101042</t>
  </si>
  <si>
    <t>120101043</t>
  </si>
  <si>
    <t>120101044</t>
  </si>
  <si>
    <t>120101045</t>
  </si>
  <si>
    <t>120101046</t>
  </si>
  <si>
    <t>120101047</t>
  </si>
  <si>
    <t>120101048</t>
  </si>
  <si>
    <t>120101049</t>
  </si>
  <si>
    <t>120101050</t>
  </si>
  <si>
    <t>120101051</t>
  </si>
  <si>
    <t>120101052</t>
  </si>
  <si>
    <t>120101053</t>
  </si>
  <si>
    <t>120101055</t>
  </si>
  <si>
    <t>120101056</t>
  </si>
  <si>
    <t>120101057</t>
  </si>
  <si>
    <t>120101058</t>
  </si>
  <si>
    <t>120101059</t>
  </si>
  <si>
    <t>120101060</t>
  </si>
  <si>
    <t>120101061</t>
  </si>
  <si>
    <t>120101062</t>
  </si>
  <si>
    <t>120101063</t>
  </si>
  <si>
    <t>120101064</t>
  </si>
  <si>
    <t>120101076</t>
  </si>
  <si>
    <t>120101078</t>
  </si>
  <si>
    <t>120101079</t>
  </si>
  <si>
    <t>120101080</t>
  </si>
  <si>
    <t>120101081</t>
  </si>
  <si>
    <t>120101091</t>
  </si>
  <si>
    <t>120101092</t>
  </si>
  <si>
    <t>120101096</t>
  </si>
  <si>
    <t>120101097</t>
  </si>
  <si>
    <t>120101099</t>
  </si>
  <si>
    <t>120101100</t>
  </si>
  <si>
    <t>120101101</t>
  </si>
  <si>
    <t>120101103</t>
  </si>
  <si>
    <t>120101104</t>
  </si>
  <si>
    <t>120101105</t>
  </si>
  <si>
    <t>120201001</t>
  </si>
  <si>
    <t>120201002</t>
  </si>
  <si>
    <t>120201003</t>
  </si>
  <si>
    <t>120201004</t>
  </si>
  <si>
    <t>120201005</t>
  </si>
  <si>
    <t>120201006</t>
  </si>
  <si>
    <t>120201008</t>
  </si>
  <si>
    <t>120201009</t>
  </si>
  <si>
    <t>120201010</t>
  </si>
  <si>
    <t>120201011</t>
  </si>
  <si>
    <t>120201012</t>
  </si>
  <si>
    <t>120201013</t>
  </si>
  <si>
    <t>120201014</t>
  </si>
  <si>
    <t>120201015</t>
  </si>
  <si>
    <t>120201016</t>
  </si>
  <si>
    <t>120201017</t>
  </si>
  <si>
    <t>120201018</t>
  </si>
  <si>
    <t>120201019</t>
  </si>
  <si>
    <t>120201020</t>
  </si>
  <si>
    <t>120201021</t>
  </si>
  <si>
    <t>120201022</t>
  </si>
  <si>
    <t>120201023</t>
  </si>
  <si>
    <t>120201024</t>
  </si>
  <si>
    <t>120201025</t>
  </si>
  <si>
    <t>120201026</t>
  </si>
  <si>
    <t>120201027</t>
  </si>
  <si>
    <t>120201028</t>
  </si>
  <si>
    <t>120201029</t>
  </si>
  <si>
    <t>120201030</t>
  </si>
  <si>
    <t>120201031</t>
  </si>
  <si>
    <t>120201032</t>
  </si>
  <si>
    <t>120201033</t>
  </si>
  <si>
    <t>120201034</t>
  </si>
  <si>
    <t>120201035</t>
  </si>
  <si>
    <t>120201036</t>
  </si>
  <si>
    <t>120201037</t>
  </si>
  <si>
    <t>120201038</t>
  </si>
  <si>
    <t>120201039</t>
  </si>
  <si>
    <t>120201040</t>
  </si>
  <si>
    <t>120201041</t>
  </si>
  <si>
    <t>120201042</t>
  </si>
  <si>
    <t>120201043</t>
  </si>
  <si>
    <t>120201044</t>
  </si>
  <si>
    <t>120201045</t>
  </si>
  <si>
    <t>120201046</t>
  </si>
  <si>
    <t>120201048</t>
  </si>
  <si>
    <t>120201049</t>
  </si>
  <si>
    <t>120201050</t>
  </si>
  <si>
    <t>120201052</t>
  </si>
  <si>
    <t>120201053</t>
  </si>
  <si>
    <t>120201054</t>
  </si>
  <si>
    <t>120201055</t>
  </si>
  <si>
    <t>120201057</t>
  </si>
  <si>
    <t>120201058</t>
  </si>
  <si>
    <t>120201061</t>
  </si>
  <si>
    <t>120201065</t>
  </si>
  <si>
    <t>120201066</t>
  </si>
  <si>
    <t>120201068</t>
  </si>
  <si>
    <t>120201075</t>
  </si>
  <si>
    <t>120201076</t>
  </si>
  <si>
    <t>120301002</t>
  </si>
  <si>
    <t>120301003</t>
  </si>
  <si>
    <t>120301004</t>
  </si>
  <si>
    <t>120301005</t>
  </si>
  <si>
    <t>120301006</t>
  </si>
  <si>
    <t>120301007</t>
  </si>
  <si>
    <t>120301008</t>
  </si>
  <si>
    <t>120301010</t>
  </si>
  <si>
    <t>130101005</t>
  </si>
  <si>
    <t>130101006</t>
  </si>
  <si>
    <t>130101010</t>
  </si>
  <si>
    <t>130101011</t>
  </si>
  <si>
    <t>130101012</t>
  </si>
  <si>
    <t>130101013</t>
  </si>
  <si>
    <t>130101016</t>
  </si>
  <si>
    <t>130101021</t>
  </si>
  <si>
    <t>130101023</t>
  </si>
  <si>
    <t>130101024</t>
  </si>
  <si>
    <t>130101027</t>
  </si>
  <si>
    <t>130101028</t>
  </si>
  <si>
    <t>130201002</t>
  </si>
  <si>
    <t>130201003</t>
  </si>
  <si>
    <t>130201004</t>
  </si>
  <si>
    <t>130201005</t>
  </si>
  <si>
    <t>130201006</t>
  </si>
  <si>
    <t>130201007</t>
  </si>
  <si>
    <t>130201008</t>
  </si>
  <si>
    <t>130201009</t>
  </si>
  <si>
    <t>130201010</t>
  </si>
  <si>
    <t>130201011</t>
  </si>
  <si>
    <t>130201013</t>
  </si>
  <si>
    <t>130201014</t>
  </si>
  <si>
    <t>130201017</t>
  </si>
  <si>
    <t>130201018</t>
  </si>
  <si>
    <t>130201019</t>
  </si>
  <si>
    <t>130201021</t>
  </si>
  <si>
    <t>130201023</t>
  </si>
  <si>
    <t>130201026</t>
  </si>
  <si>
    <t>130201032</t>
  </si>
  <si>
    <t>130201034</t>
  </si>
  <si>
    <t>130201037</t>
  </si>
  <si>
    <t>160701001</t>
  </si>
  <si>
    <t>160701002</t>
  </si>
  <si>
    <t>اصله مستقل</t>
  </si>
  <si>
    <t>متر مربع درخت</t>
  </si>
  <si>
    <t>کد</t>
  </si>
  <si>
    <t>A_tree</t>
  </si>
  <si>
    <t xml:space="preserve">n * A_tree </t>
  </si>
  <si>
    <t>check</t>
  </si>
  <si>
    <t>Kd</t>
  </si>
  <si>
    <t>A0</t>
  </si>
  <si>
    <t>A_tree_cal</t>
  </si>
  <si>
    <t>Psh</t>
  </si>
  <si>
    <t>Ks</t>
  </si>
  <si>
    <t>A0 Inc</t>
  </si>
  <si>
    <t>کد لکه</t>
  </si>
  <si>
    <t>تعداد کل درخت‏های لکه
(اصله)</t>
  </si>
  <si>
    <t>مساحت لکه
(مترمربع)</t>
  </si>
  <si>
    <t>نوع لکه</t>
  </si>
  <si>
    <t>سطح پوشش مفروض برای هر درخت
(متر مربع)</t>
  </si>
  <si>
    <t>مساحت کل درختان تحت آبیاری
(متر مربع درخت)
(Atree)</t>
  </si>
  <si>
    <t>تعداد کل درخت‏های تحت آبیاری
(اصله مستقل)
(N)</t>
  </si>
  <si>
    <r>
      <t xml:space="preserve">حاصل ضرب
</t>
    </r>
    <r>
      <rPr>
        <b/>
        <sz val="8"/>
        <color rgb="FFFF0000"/>
        <rFont val="B Koodak"/>
        <charset val="178"/>
      </rPr>
      <t>تعداد کل درخت‏های تحت آبیاری</t>
    </r>
    <r>
      <rPr>
        <b/>
        <sz val="8"/>
        <color theme="0"/>
        <rFont val="B Koodak"/>
        <charset val="178"/>
      </rPr>
      <t xml:space="preserve">
در
</t>
    </r>
    <r>
      <rPr>
        <b/>
        <sz val="8"/>
        <color rgb="FFFF0000"/>
        <rFont val="B Koodak"/>
        <charset val="178"/>
      </rPr>
      <t>سطح پوشش مفروض برای هر درخت</t>
    </r>
    <r>
      <rPr>
        <b/>
        <sz val="8"/>
        <color theme="0"/>
        <rFont val="B Koodak"/>
        <charset val="178"/>
      </rPr>
      <t xml:space="preserve">
(Acheck = Atree * N)</t>
    </r>
  </si>
  <si>
    <t>آیا
Achech  &gt;  Atree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</si>
</sst>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B Koodak"/>
      <charset val="178"/>
    </font>
    <font>
      <sz val="12"/>
      <color theme="0"/>
      <name val="Calibri"/>
      <family val="2"/>
      <scheme val="minor"/>
    </font>
    <font>
      <b/>
      <sz val="10"/>
      <color theme="0"/>
      <name val="B Koodak"/>
      <charset val="178"/>
    </font>
    <font>
      <sz val="10"/>
      <color theme="1"/>
      <name val="Calibri"/>
      <family val="2"/>
      <scheme val="minor"/>
    </font>
    <font>
      <b/>
      <sz val="8"/>
      <color theme="0"/>
      <name val="B Koodak"/>
      <charset val="178"/>
    </font>
    <font>
      <b/>
      <sz val="8"/>
      <color theme="0"/>
      <name val="Cambria"/>
      <family val="1"/>
      <scheme val="major"/>
    </font>
    <font>
      <sz val="12"/>
      <color rgb="FF000000"/>
      <name val="Calibri"/>
      <family val="2"/>
    </font>
    <font>
      <sz val="8"/>
      <name val="Calibri"/>
      <family val="2"/>
      <scheme val="minor"/>
    </font>
    <font>
      <sz val="8"/>
      <color theme="1"/>
      <name val="B Koodak"/>
      <charset val="178"/>
    </font>
    <font>
      <b/>
      <sz val="8"/>
      <color rgb="FFFF0000"/>
      <name val="B Koodak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2" fontId="5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164" fontId="1" fillId="0" borderId="0" xfId="0" applyNumberFormat="1" applyFont="1" applyFill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2" fontId="8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37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B Koodak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B Koodak"/>
        <charset val="178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Koodak"/>
        <charset val="178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B Koodak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BBBAAA-515B-4FF8-B386-C0C5406010BA}" name="Table13" displayName="Table13" ref="B2:O523" totalsRowShown="0" headerRowDxfId="0" dataDxfId="36" headerRowBorderDxfId="4" tableBorderDxfId="35">
  <autoFilter ref="B2:O523" xr:uid="{F63F9849-FA06-4FD1-A7BA-BB8815230A62}"/>
  <sortState xmlns:xlrd2="http://schemas.microsoft.com/office/spreadsheetml/2017/richdata2" ref="B3:O523">
    <sortCondition ref="B2:B523"/>
  </sortState>
  <tableColumns count="14">
    <tableColumn id="1" xr3:uid="{9A0A26AA-C9DC-4FC1-8616-8D40DECCA907}" name="کد لکه" dataDxfId="34"/>
    <tableColumn id="2" xr3:uid="{1B07801C-82F3-49A0-8058-33E9FDF062AE}" name="تعداد کل درخت‏های لکه_x000a_(اصله)" dataDxfId="33"/>
    <tableColumn id="3" xr3:uid="{610B70A1-ADB4-4376-B206-102719FDD64C}" name="تعداد کل درخت‏های تحت آبیاری_x000a_(اصله مستقل)_x000a_(N)" dataDxfId="32"/>
    <tableColumn id="4" xr3:uid="{6D7527AA-D675-436B-BD73-FE09D3251AB2}" name="مساحت کل درختان تحت آبیاری_x000a_(متر مربع درخت)_x000a_(Atree)" dataDxfId="31"/>
    <tableColumn id="5" xr3:uid="{17918510-24E0-4EB7-A80B-3F384957E43D}" name="مساحت لکه_x000a_(مترمربع)" dataDxfId="3"/>
    <tableColumn id="6" xr3:uid="{736DB201-26F2-4E5A-A0D7-6DBCC1292202}" name="نوع لکه" dataDxfId="1"/>
    <tableColumn id="12" xr3:uid="{7545ECE8-1F82-41D1-9300-BB864AA5AAD8}" name="سطح پوشش مفروض برای هر درخت_x000a_(متر مربع)" dataDxfId="2"/>
    <tableColumn id="11" xr3:uid="{622A2634-B4E8-4F13-B421-08F99F0C77B8}" name="حاصل ضرب_x000a_تعداد کل درخت‏های تحت آبیاری_x000a_در_x000a_سطح پوشش مفروض برای هر درخت_x000a_(Acheck = Atree * N)" dataDxfId="30">
      <calculatedColumnFormula>Table13[[#This Row],[تعداد کل درخت‏های تحت آبیاری
(اصله مستقل)
(N)]]*Table13[[#This Row],[سطح پوشش مفروض برای هر درخت
(متر مربع)]]</calculatedColumnFormula>
    </tableColumn>
    <tableColumn id="10" xr3:uid="{000F92D9-A203-4FE6-9731-F52CE8DD2FDE}" name="آیا_x000a_Achech  &gt;  Atree" dataDxfId="10">
      <calculatedColumnFormula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calculatedColumnFormula>
    </tableColumn>
    <tableColumn id="13" xr3:uid="{FD4D1BF7-66D4-4B8A-8DB7-D4A5349E34A2}" name="Psh" dataDxfId="29">
      <calculatedColumnFormula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calculatedColumnFormula>
    </tableColumn>
    <tableColumn id="9" xr3:uid="{8926F276-BAC8-408A-ACB3-89A666EBDC18}" name="Kd" dataDxfId="28">
      <calculatedColumnFormula>IF(Table13[[#This Row],[آیا
Achech  &gt;  Atree]]=1, 1, Table13[[#This Row],[Psh]]+(0.15*(1-Table13[[#This Row],[Psh]])))</calculatedColumnFormula>
    </tableColumn>
    <tableColumn id="14" xr3:uid="{4E76CC16-5110-4FAA-9706-29D75392779C}" name="Ks" dataDxfId="27">
      <calculatedColumnFormula>IF(Table13[[#This Row],[آیا
Achech  &gt;  Atree]]=1, 0.65, 1)</calculatedColumnFormula>
    </tableColumn>
    <tableColumn id="8" xr3:uid="{F02AB6ED-02C1-4E29-9D9D-71F592CF6286}" name="A0" dataDxfId="26">
      <calculatedColumnFormula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calculatedColumnFormula>
    </tableColumn>
    <tableColumn id="7" xr3:uid="{80A763B5-43D9-499B-A76A-0475064125A3}" name="A_tree_cal" dataDxfId="25">
      <calculatedColumnFormula>IF(Table13[[#This Row],[آیا
Achech  &gt;  Atree]]=1,Table13[[#This Row],[A0]]/Table13[[#This Row],[تعداد کل درخت‏های تحت آبیاری
(اصله مستقل)
(N)]],Table13[[#This Row],[سطح پوشش مفروض برای هر درخت
(متر مربع)]])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D49ED3-F18F-4040-84AF-DFBABD6F415F}" name="Table134" displayName="Table134" ref="B2:P1035" totalsRowShown="0" headerRowDxfId="24" dataDxfId="22" headerRowBorderDxfId="23" tableBorderDxfId="21">
  <autoFilter ref="B2:P1035" xr:uid="{F63F9849-FA06-4FD1-A7BA-BB8815230A62}"/>
  <sortState xmlns:xlrd2="http://schemas.microsoft.com/office/spreadsheetml/2017/richdata2" ref="B3:P1035">
    <sortCondition ref="B2:B1035"/>
  </sortState>
  <tableColumns count="15">
    <tableColumn id="1" xr3:uid="{CECAFF04-547F-4DF5-A4F9-6B7D09ADAFB2}" name="کد" dataDxfId="20"/>
    <tableColumn id="2" xr3:uid="{A6209CD6-D865-4DB5-B1A1-4A48EBBDAD84}" name="اصله" dataDxfId="19"/>
    <tableColumn id="3" xr3:uid="{91E8F9EF-07A9-4791-B1F1-FC911785511F}" name="اصله مستقل" dataDxfId="18"/>
    <tableColumn id="4" xr3:uid="{899ECB7A-B3E8-49CE-A347-084B929B1BDF}" name="متر مربع درخت" dataDxfId="17"/>
    <tableColumn id="5" xr3:uid="{50E59D8F-8BB6-43EC-B2CB-6C55BD157F5C}" name="مساحت آدرس" dataDxfId="16"/>
    <tableColumn id="6" xr3:uid="{B896E192-328D-4692-B1C6-606AC35BBDA9}" name="نام نوع لکه" dataDxfId="15"/>
    <tableColumn id="12" xr3:uid="{1CB6ACD6-0C93-476A-905E-B3B63E59915B}" name="A_tree" dataDxfId="14"/>
    <tableColumn id="11" xr3:uid="{12A60441-37C2-4F4B-B9A7-9121131B387E}" name="n * A_tree " dataDxfId="13">
      <calculatedColumnFormula>Table134[[#This Row],[اصله مستقل]]*Table134[[#This Row],[A_tree]]</calculatedColumnFormula>
    </tableColumn>
    <tableColumn id="10" xr3:uid="{09055A0B-F756-48C1-BB6F-7BEC7F8DFB99}" name="check" dataDxfId="9">
      <calculatedColumnFormula>IF(Table134[[#This Row],[n * A_tree ]]&gt;Table134[[#This Row],[مساحت آدرس]],1,0)</calculatedColumnFormula>
    </tableColumn>
    <tableColumn id="9" xr3:uid="{DAB9E341-80B6-4A2C-996B-F5B6392BB77A}" name="Psh" dataDxfId="8">
      <calculatedColumnFormula>IF(Table134[[#This Row],[check]]=1,1,Table134[[#This Row],[A_tree]]*Table134[[#This Row],[اصله مستقل]]/Table134[[#This Row],[مساحت آدرس]])</calculatedColumnFormula>
    </tableColumn>
    <tableColumn id="14" xr3:uid="{FB235609-979A-4F63-AAE5-43DF6D8876F9}" name="Kd" dataDxfId="7">
      <calculatedColumnFormula>IF(Table134[[#This Row],[check]]=1,1,(Table134[[#This Row],[Psh]]+0.15*(1-Table134[[#This Row],[Psh]])))</calculatedColumnFormula>
    </tableColumn>
    <tableColumn id="13" xr3:uid="{09AA6712-451D-4788-8858-5C366EBF3C16}" name="Ks" dataDxfId="5">
      <calculatedColumnFormula>IF(Table134[[#This Row],[check]]=1,0.65,1)</calculatedColumnFormula>
    </tableColumn>
    <tableColumn id="17" xr3:uid="{42EFE359-767C-4200-A1F6-6C6DC1F4F7B3}" name="A0 Inc" dataDxfId="6">
      <calculatedColumnFormula>IF(OR(Table134[[#This Row],[نام نوع لکه]]="لچکی ها",Table134[[#This Row],[نام نوع لکه]]="میادین"), 1.1, 1.2)</calculatedColumnFormula>
    </tableColumn>
    <tableColumn id="8" xr3:uid="{25FBBEA1-2863-423F-9FCB-356432BD35D3}" name="A0" dataDxfId="12">
      <calculatedColumnFormula>IF(Table134[[#This Row],[check]]=1,Table134[[#This Row],[مساحت آدرس]]*Table134[[#This Row],[A0 Inc]],Table134[[#This Row],[A_tree]]*Table134[[#This Row],[اصله مستقل]])</calculatedColumnFormula>
    </tableColumn>
    <tableColumn id="7" xr3:uid="{B9C33D38-6BAF-4240-A1F2-89444367FE78}" name="A_tree_cal" dataDxfId="11">
      <calculatedColumnFormula>IF(Table134[[#This Row],[check]]=1,Table134[[#This Row],[A0]]/Table134[[#This Row],[اصله مستقل]],Table134[[#This Row],[A_tree]])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89416-1259-46F7-AE11-D71C8D6FB314}">
  <dimension ref="B1:P523"/>
  <sheetViews>
    <sheetView rightToLeft="1" tabSelected="1" zoomScale="130" zoomScaleNormal="130" workbookViewId="0">
      <selection activeCell="I7" sqref="I7"/>
    </sheetView>
  </sheetViews>
  <sheetFormatPr defaultRowHeight="15.6" x14ac:dyDescent="0.3"/>
  <cols>
    <col min="1" max="1" width="5.5546875" style="1" customWidth="1"/>
    <col min="2" max="2" width="10" style="1" bestFit="1" customWidth="1"/>
    <col min="3" max="8" width="13.88671875" style="1" customWidth="1"/>
    <col min="9" max="9" width="18.44140625" style="1" bestFit="1" customWidth="1"/>
    <col min="10" max="10" width="15.88671875" style="1" bestFit="1" customWidth="1"/>
    <col min="11" max="15" width="13.88671875" style="1" customWidth="1"/>
    <col min="16" max="16384" width="8.88671875" style="1"/>
  </cols>
  <sheetData>
    <row r="1" spans="2:15" ht="30" customHeight="1" x14ac:dyDescent="0.3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2:15" s="6" customFormat="1" ht="133.19999999999999" customHeight="1" x14ac:dyDescent="0.3">
      <c r="B2" s="18" t="s">
        <v>1579</v>
      </c>
      <c r="C2" s="18" t="s">
        <v>1580</v>
      </c>
      <c r="D2" s="18" t="s">
        <v>1585</v>
      </c>
      <c r="E2" s="18" t="s">
        <v>1584</v>
      </c>
      <c r="F2" s="18" t="s">
        <v>1581</v>
      </c>
      <c r="G2" s="18" t="s">
        <v>1582</v>
      </c>
      <c r="H2" s="18" t="s">
        <v>1583</v>
      </c>
      <c r="I2" s="18" t="s">
        <v>1586</v>
      </c>
      <c r="J2" s="18" t="s">
        <v>1587</v>
      </c>
      <c r="K2" s="15" t="s">
        <v>1576</v>
      </c>
      <c r="L2" s="15" t="s">
        <v>1573</v>
      </c>
      <c r="M2" s="15" t="s">
        <v>1577</v>
      </c>
      <c r="N2" s="15" t="s">
        <v>1574</v>
      </c>
      <c r="O2" s="15" t="s">
        <v>1575</v>
      </c>
    </row>
    <row r="3" spans="2:15" x14ac:dyDescent="0.3">
      <c r="B3" s="4" t="s">
        <v>6</v>
      </c>
      <c r="C3" s="4">
        <v>111</v>
      </c>
      <c r="D3" s="4">
        <v>2</v>
      </c>
      <c r="E3" s="4">
        <v>3</v>
      </c>
      <c r="F3" s="4">
        <v>3242</v>
      </c>
      <c r="G3" s="16" t="s">
        <v>7</v>
      </c>
      <c r="H3" s="4">
        <v>9</v>
      </c>
      <c r="I3" s="4">
        <f>Table13[[#This Row],[تعداد کل درخت‏های تحت آبیاری
(اصله مستقل)
(N)]]*Table13[[#This Row],[سطح پوشش مفروض برای هر درخت
(متر مربع)]]</f>
        <v>18</v>
      </c>
      <c r="J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" s="8">
        <f>IF(Table13[[#This Row],[آیا
Achech  &gt;  Atree]]=1, 1, Table13[[#This Row],[Psh]]+(0.15*(1-Table13[[#This Row],[Psh]])))</f>
        <v>1</v>
      </c>
      <c r="M3" s="8">
        <f>IF(Table13[[#This Row],[آیا
Achech  &gt;  Atree]]=1, 0.65, 1)</f>
        <v>0.65</v>
      </c>
      <c r="N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</v>
      </c>
      <c r="O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1.5</v>
      </c>
    </row>
    <row r="4" spans="2:15" x14ac:dyDescent="0.3">
      <c r="B4" s="4" t="s">
        <v>8</v>
      </c>
      <c r="C4" s="4">
        <v>111</v>
      </c>
      <c r="D4" s="4">
        <v>4</v>
      </c>
      <c r="E4" s="4">
        <v>6</v>
      </c>
      <c r="F4" s="4">
        <v>3662</v>
      </c>
      <c r="G4" s="16" t="s">
        <v>7</v>
      </c>
      <c r="H4" s="4">
        <v>9</v>
      </c>
      <c r="I4" s="4">
        <f>Table13[[#This Row],[تعداد کل درخت‏های تحت آبیاری
(اصله مستقل)
(N)]]*Table13[[#This Row],[سطح پوشش مفروض برای هر درخت
(متر مربع)]]</f>
        <v>36</v>
      </c>
      <c r="J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" s="8">
        <f>IF(Table13[[#This Row],[آیا
Achech  &gt;  Atree]]=1, 1, Table13[[#This Row],[Psh]]+(0.15*(1-Table13[[#This Row],[Psh]])))</f>
        <v>1</v>
      </c>
      <c r="M4" s="8">
        <f>IF(Table13[[#This Row],[آیا
Achech  &gt;  Atree]]=1, 0.65, 1)</f>
        <v>0.65</v>
      </c>
      <c r="N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</v>
      </c>
      <c r="O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1.5</v>
      </c>
    </row>
    <row r="5" spans="2:15" x14ac:dyDescent="0.3">
      <c r="B5" s="4" t="s">
        <v>9</v>
      </c>
      <c r="C5" s="4">
        <v>399</v>
      </c>
      <c r="D5" s="4">
        <v>25</v>
      </c>
      <c r="E5" s="4">
        <v>40</v>
      </c>
      <c r="F5" s="4">
        <v>12768</v>
      </c>
      <c r="G5" s="16" t="s">
        <v>7</v>
      </c>
      <c r="H5" s="4">
        <v>9</v>
      </c>
      <c r="I5" s="4">
        <f>Table13[[#This Row],[تعداد کل درخت‏های تحت آبیاری
(اصله مستقل)
(N)]]*Table13[[#This Row],[سطح پوشش مفروض برای هر درخت
(متر مربع)]]</f>
        <v>225</v>
      </c>
      <c r="J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5" s="8">
        <f>IF(Table13[[#This Row],[آیا
Achech  &gt;  Atree]]=1, 1, Table13[[#This Row],[Psh]]+(0.15*(1-Table13[[#This Row],[Psh]])))</f>
        <v>1</v>
      </c>
      <c r="M5" s="8">
        <f>IF(Table13[[#This Row],[آیا
Achech  &gt;  Atree]]=1, 0.65, 1)</f>
        <v>0.65</v>
      </c>
      <c r="N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40</v>
      </c>
      <c r="O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1.6</v>
      </c>
    </row>
    <row r="6" spans="2:15" x14ac:dyDescent="0.3">
      <c r="B6" s="4" t="s">
        <v>10</v>
      </c>
      <c r="C6" s="4">
        <v>223</v>
      </c>
      <c r="D6" s="4">
        <v>41</v>
      </c>
      <c r="E6" s="4">
        <v>41</v>
      </c>
      <c r="F6" s="4">
        <v>789</v>
      </c>
      <c r="G6" s="16" t="s">
        <v>7</v>
      </c>
      <c r="H6" s="4">
        <v>9</v>
      </c>
      <c r="I6" s="4">
        <f>Table13[[#This Row],[تعداد کل درخت‏های تحت آبیاری
(اصله مستقل)
(N)]]*Table13[[#This Row],[سطح پوشش مفروض برای هر درخت
(متر مربع)]]</f>
        <v>369</v>
      </c>
      <c r="J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6" s="8">
        <f>IF(Table13[[#This Row],[آیا
Achech  &gt;  Atree]]=1, 1, Table13[[#This Row],[Psh]]+(0.15*(1-Table13[[#This Row],[Psh]])))</f>
        <v>1</v>
      </c>
      <c r="M6" s="8">
        <f>IF(Table13[[#This Row],[آیا
Achech  &gt;  Atree]]=1, 0.65, 1)</f>
        <v>0.65</v>
      </c>
      <c r="N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41</v>
      </c>
      <c r="O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7" spans="2:15" x14ac:dyDescent="0.3">
      <c r="B7" s="4" t="s">
        <v>11</v>
      </c>
      <c r="C7" s="4">
        <v>1092</v>
      </c>
      <c r="D7" s="4">
        <v>49</v>
      </c>
      <c r="E7" s="4">
        <v>65</v>
      </c>
      <c r="F7" s="4">
        <v>7547</v>
      </c>
      <c r="G7" s="16" t="s">
        <v>7</v>
      </c>
      <c r="H7" s="4">
        <v>9</v>
      </c>
      <c r="I7" s="4">
        <f>Table13[[#This Row],[تعداد کل درخت‏های تحت آبیاری
(اصله مستقل)
(N)]]*Table13[[#This Row],[سطح پوشش مفروض برای هر درخت
(متر مربع)]]</f>
        <v>441</v>
      </c>
      <c r="J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7" s="8">
        <f>IF(Table13[[#This Row],[آیا
Achech  &gt;  Atree]]=1, 1, Table13[[#This Row],[Psh]]+(0.15*(1-Table13[[#This Row],[Psh]])))</f>
        <v>1</v>
      </c>
      <c r="M7" s="8">
        <f>IF(Table13[[#This Row],[آیا
Achech  &gt;  Atree]]=1, 0.65, 1)</f>
        <v>0.65</v>
      </c>
      <c r="N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65</v>
      </c>
      <c r="O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1.3265306122448979</v>
      </c>
    </row>
    <row r="8" spans="2:15" x14ac:dyDescent="0.3">
      <c r="B8" s="4" t="s">
        <v>12</v>
      </c>
      <c r="C8" s="4">
        <v>67</v>
      </c>
      <c r="D8" s="4">
        <v>4</v>
      </c>
      <c r="E8" s="4">
        <v>6</v>
      </c>
      <c r="F8" s="4">
        <v>1223</v>
      </c>
      <c r="G8" s="16" t="s">
        <v>7</v>
      </c>
      <c r="H8" s="4">
        <v>9</v>
      </c>
      <c r="I8" s="4">
        <f>Table13[[#This Row],[تعداد کل درخت‏های تحت آبیاری
(اصله مستقل)
(N)]]*Table13[[#This Row],[سطح پوشش مفروض برای هر درخت
(متر مربع)]]</f>
        <v>36</v>
      </c>
      <c r="J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8" s="8">
        <f>IF(Table13[[#This Row],[آیا
Achech  &gt;  Atree]]=1, 1, Table13[[#This Row],[Psh]]+(0.15*(1-Table13[[#This Row],[Psh]])))</f>
        <v>1</v>
      </c>
      <c r="M8" s="8">
        <f>IF(Table13[[#This Row],[آیا
Achech  &gt;  Atree]]=1, 0.65, 1)</f>
        <v>0.65</v>
      </c>
      <c r="N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</v>
      </c>
      <c r="O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1.5</v>
      </c>
    </row>
    <row r="9" spans="2:15" x14ac:dyDescent="0.3">
      <c r="B9" s="4" t="s">
        <v>13</v>
      </c>
      <c r="C9" s="4">
        <v>116</v>
      </c>
      <c r="D9" s="4">
        <v>38</v>
      </c>
      <c r="E9" s="4">
        <v>55</v>
      </c>
      <c r="F9" s="4">
        <v>4250</v>
      </c>
      <c r="G9" s="16" t="s">
        <v>7</v>
      </c>
      <c r="H9" s="4">
        <v>9</v>
      </c>
      <c r="I9" s="4">
        <f>Table13[[#This Row],[تعداد کل درخت‏های تحت آبیاری
(اصله مستقل)
(N)]]*Table13[[#This Row],[سطح پوشش مفروض برای هر درخت
(متر مربع)]]</f>
        <v>342</v>
      </c>
      <c r="J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9" s="8">
        <f>IF(Table13[[#This Row],[آیا
Achech  &gt;  Atree]]=1, 1, Table13[[#This Row],[Psh]]+(0.15*(1-Table13[[#This Row],[Psh]])))</f>
        <v>1</v>
      </c>
      <c r="M9" s="8">
        <f>IF(Table13[[#This Row],[آیا
Achech  &gt;  Atree]]=1, 0.65, 1)</f>
        <v>0.65</v>
      </c>
      <c r="N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55</v>
      </c>
      <c r="O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1.4473684210526316</v>
      </c>
    </row>
    <row r="10" spans="2:15" x14ac:dyDescent="0.3">
      <c r="B10" s="4" t="s">
        <v>14</v>
      </c>
      <c r="C10" s="4">
        <v>68</v>
      </c>
      <c r="D10" s="4">
        <v>2</v>
      </c>
      <c r="E10" s="4">
        <v>3</v>
      </c>
      <c r="F10" s="4">
        <v>1588</v>
      </c>
      <c r="G10" s="16" t="s">
        <v>7</v>
      </c>
      <c r="H10" s="4">
        <v>9</v>
      </c>
      <c r="I10" s="4">
        <f>Table13[[#This Row],[تعداد کل درخت‏های تحت آبیاری
(اصله مستقل)
(N)]]*Table13[[#This Row],[سطح پوشش مفروض برای هر درخت
(متر مربع)]]</f>
        <v>18</v>
      </c>
      <c r="J1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0" s="8">
        <f>IF(Table13[[#This Row],[آیا
Achech  &gt;  Atree]]=1, 1, Table13[[#This Row],[Psh]]+(0.15*(1-Table13[[#This Row],[Psh]])))</f>
        <v>1</v>
      </c>
      <c r="M10" s="8">
        <f>IF(Table13[[#This Row],[آیا
Achech  &gt;  Atree]]=1, 0.65, 1)</f>
        <v>0.65</v>
      </c>
      <c r="N1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</v>
      </c>
      <c r="O1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1.5</v>
      </c>
    </row>
    <row r="11" spans="2:15" x14ac:dyDescent="0.3">
      <c r="B11" s="4" t="s">
        <v>15</v>
      </c>
      <c r="C11" s="4">
        <v>100</v>
      </c>
      <c r="D11" s="4">
        <v>11</v>
      </c>
      <c r="E11" s="4">
        <v>25</v>
      </c>
      <c r="F11" s="4">
        <v>1983</v>
      </c>
      <c r="G11" s="16" t="s">
        <v>7</v>
      </c>
      <c r="H11" s="4">
        <v>9</v>
      </c>
      <c r="I11" s="4">
        <f>Table13[[#This Row],[تعداد کل درخت‏های تحت آبیاری
(اصله مستقل)
(N)]]*Table13[[#This Row],[سطح پوشش مفروض برای هر درخت
(متر مربع)]]</f>
        <v>99</v>
      </c>
      <c r="J1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1" s="8">
        <f>IF(Table13[[#This Row],[آیا
Achech  &gt;  Atree]]=1, 1, Table13[[#This Row],[Psh]]+(0.15*(1-Table13[[#This Row],[Psh]])))</f>
        <v>1</v>
      </c>
      <c r="M11" s="8">
        <f>IF(Table13[[#This Row],[آیا
Achech  &gt;  Atree]]=1, 0.65, 1)</f>
        <v>0.65</v>
      </c>
      <c r="N1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25</v>
      </c>
      <c r="O1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2.2727272727272729</v>
      </c>
    </row>
    <row r="12" spans="2:15" x14ac:dyDescent="0.3">
      <c r="B12" s="4" t="s">
        <v>16</v>
      </c>
      <c r="C12" s="4">
        <v>193</v>
      </c>
      <c r="D12" s="4">
        <v>4</v>
      </c>
      <c r="E12" s="4">
        <v>4</v>
      </c>
      <c r="F12" s="4">
        <v>4943</v>
      </c>
      <c r="G12" s="16" t="s">
        <v>7</v>
      </c>
      <c r="H12" s="4">
        <v>9</v>
      </c>
      <c r="I12" s="4">
        <f>Table13[[#This Row],[تعداد کل درخت‏های تحت آبیاری
(اصله مستقل)
(N)]]*Table13[[#This Row],[سطح پوشش مفروض برای هر درخت
(متر مربع)]]</f>
        <v>36</v>
      </c>
      <c r="J1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2" s="8">
        <f>IF(Table13[[#This Row],[آیا
Achech  &gt;  Atree]]=1, 1, Table13[[#This Row],[Psh]]+(0.15*(1-Table13[[#This Row],[Psh]])))</f>
        <v>1</v>
      </c>
      <c r="M12" s="8">
        <f>IF(Table13[[#This Row],[آیا
Achech  &gt;  Atree]]=1, 0.65, 1)</f>
        <v>0.65</v>
      </c>
      <c r="N1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</v>
      </c>
      <c r="O1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13" spans="2:15" x14ac:dyDescent="0.3">
      <c r="B13" s="4" t="s">
        <v>17</v>
      </c>
      <c r="C13" s="4">
        <v>69</v>
      </c>
      <c r="D13" s="4">
        <v>14</v>
      </c>
      <c r="E13" s="4">
        <v>25</v>
      </c>
      <c r="F13" s="4">
        <v>944</v>
      </c>
      <c r="G13" s="16" t="s">
        <v>7</v>
      </c>
      <c r="H13" s="4">
        <v>9</v>
      </c>
      <c r="I13" s="4">
        <f>Table13[[#This Row],[تعداد کل درخت‏های تحت آبیاری
(اصله مستقل)
(N)]]*Table13[[#This Row],[سطح پوشش مفروض برای هر درخت
(متر مربع)]]</f>
        <v>126</v>
      </c>
      <c r="J1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3" s="8">
        <f>IF(Table13[[#This Row],[آیا
Achech  &gt;  Atree]]=1, 1, Table13[[#This Row],[Psh]]+(0.15*(1-Table13[[#This Row],[Psh]])))</f>
        <v>1</v>
      </c>
      <c r="M13" s="8">
        <f>IF(Table13[[#This Row],[آیا
Achech  &gt;  Atree]]=1, 0.65, 1)</f>
        <v>0.65</v>
      </c>
      <c r="N1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25</v>
      </c>
      <c r="O1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1.7857142857142858</v>
      </c>
    </row>
    <row r="14" spans="2:15" x14ac:dyDescent="0.3">
      <c r="B14" s="4" t="s">
        <v>18</v>
      </c>
      <c r="C14" s="4">
        <v>79</v>
      </c>
      <c r="D14" s="4">
        <v>12</v>
      </c>
      <c r="E14" s="4">
        <v>20</v>
      </c>
      <c r="F14" s="4">
        <v>1773</v>
      </c>
      <c r="G14" s="16" t="s">
        <v>7</v>
      </c>
      <c r="H14" s="4">
        <v>9</v>
      </c>
      <c r="I14" s="4">
        <f>Table13[[#This Row],[تعداد کل درخت‏های تحت آبیاری
(اصله مستقل)
(N)]]*Table13[[#This Row],[سطح پوشش مفروض برای هر درخت
(متر مربع)]]</f>
        <v>108</v>
      </c>
      <c r="J1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4" s="8">
        <f>IF(Table13[[#This Row],[آیا
Achech  &gt;  Atree]]=1, 1, Table13[[#This Row],[Psh]]+(0.15*(1-Table13[[#This Row],[Psh]])))</f>
        <v>1</v>
      </c>
      <c r="M14" s="8">
        <f>IF(Table13[[#This Row],[آیا
Achech  &gt;  Atree]]=1, 0.65, 1)</f>
        <v>0.65</v>
      </c>
      <c r="N1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20</v>
      </c>
      <c r="O1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1.6666666666666667</v>
      </c>
    </row>
    <row r="15" spans="2:15" x14ac:dyDescent="0.3">
      <c r="B15" s="4" t="s">
        <v>19</v>
      </c>
      <c r="C15" s="4">
        <v>50</v>
      </c>
      <c r="D15" s="4">
        <v>2</v>
      </c>
      <c r="E15" s="4">
        <v>3</v>
      </c>
      <c r="F15" s="4">
        <v>510</v>
      </c>
      <c r="G15" s="16" t="s">
        <v>7</v>
      </c>
      <c r="H15" s="4">
        <v>9</v>
      </c>
      <c r="I15" s="4">
        <f>Table13[[#This Row],[تعداد کل درخت‏های تحت آبیاری
(اصله مستقل)
(N)]]*Table13[[#This Row],[سطح پوشش مفروض برای هر درخت
(متر مربع)]]</f>
        <v>18</v>
      </c>
      <c r="J1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5" s="8">
        <f>IF(Table13[[#This Row],[آیا
Achech  &gt;  Atree]]=1, 1, Table13[[#This Row],[Psh]]+(0.15*(1-Table13[[#This Row],[Psh]])))</f>
        <v>1</v>
      </c>
      <c r="M15" s="8">
        <f>IF(Table13[[#This Row],[آیا
Achech  &gt;  Atree]]=1, 0.65, 1)</f>
        <v>0.65</v>
      </c>
      <c r="N1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</v>
      </c>
      <c r="O1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1.5</v>
      </c>
    </row>
    <row r="16" spans="2:15" x14ac:dyDescent="0.3">
      <c r="B16" s="4" t="s">
        <v>72</v>
      </c>
      <c r="C16" s="4">
        <v>84</v>
      </c>
      <c r="D16" s="4">
        <v>70</v>
      </c>
      <c r="E16" s="4">
        <v>76</v>
      </c>
      <c r="F16" s="4">
        <v>1150</v>
      </c>
      <c r="G16" s="16" t="s">
        <v>7</v>
      </c>
      <c r="H16" s="4">
        <v>9</v>
      </c>
      <c r="I16" s="4">
        <f>Table13[[#This Row],[تعداد کل درخت‏های تحت آبیاری
(اصله مستقل)
(N)]]*Table13[[#This Row],[سطح پوشش مفروض برای هر درخت
(متر مربع)]]</f>
        <v>630</v>
      </c>
      <c r="J1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6" s="8">
        <f>IF(Table13[[#This Row],[آیا
Achech  &gt;  Atree]]=1, 1, Table13[[#This Row],[Psh]]+(0.15*(1-Table13[[#This Row],[Psh]])))</f>
        <v>1</v>
      </c>
      <c r="M16" s="8">
        <f>IF(Table13[[#This Row],[آیا
Achech  &gt;  Atree]]=1, 0.65, 1)</f>
        <v>0.65</v>
      </c>
      <c r="N1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76</v>
      </c>
      <c r="O1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1.0857142857142856</v>
      </c>
    </row>
    <row r="17" spans="2:15" x14ac:dyDescent="0.3">
      <c r="B17" s="4" t="s">
        <v>73</v>
      </c>
      <c r="C17" s="4">
        <v>75</v>
      </c>
      <c r="D17" s="4">
        <v>13</v>
      </c>
      <c r="E17" s="4">
        <v>13</v>
      </c>
      <c r="F17" s="4">
        <v>1741</v>
      </c>
      <c r="G17" s="16" t="s">
        <v>7</v>
      </c>
      <c r="H17" s="4">
        <v>9</v>
      </c>
      <c r="I17" s="4">
        <f>Table13[[#This Row],[تعداد کل درخت‏های تحت آبیاری
(اصله مستقل)
(N)]]*Table13[[#This Row],[سطح پوشش مفروض برای هر درخت
(متر مربع)]]</f>
        <v>117</v>
      </c>
      <c r="J1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7" s="8">
        <f>IF(Table13[[#This Row],[آیا
Achech  &gt;  Atree]]=1, 1, Table13[[#This Row],[Psh]]+(0.15*(1-Table13[[#This Row],[Psh]])))</f>
        <v>1</v>
      </c>
      <c r="M17" s="8">
        <f>IF(Table13[[#This Row],[آیا
Achech  &gt;  Atree]]=1, 0.65, 1)</f>
        <v>0.65</v>
      </c>
      <c r="N1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13</v>
      </c>
      <c r="O1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18" spans="2:15" x14ac:dyDescent="0.3">
      <c r="B18" s="4" t="s">
        <v>74</v>
      </c>
      <c r="C18" s="4">
        <v>127</v>
      </c>
      <c r="D18" s="4">
        <v>15</v>
      </c>
      <c r="E18" s="4">
        <v>22</v>
      </c>
      <c r="F18" s="4">
        <v>2595</v>
      </c>
      <c r="G18" s="16" t="s">
        <v>7</v>
      </c>
      <c r="H18" s="4">
        <v>9</v>
      </c>
      <c r="I18" s="4">
        <f>Table13[[#This Row],[تعداد کل درخت‏های تحت آبیاری
(اصله مستقل)
(N)]]*Table13[[#This Row],[سطح پوشش مفروض برای هر درخت
(متر مربع)]]</f>
        <v>135</v>
      </c>
      <c r="J1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8" s="8">
        <f>IF(Table13[[#This Row],[آیا
Achech  &gt;  Atree]]=1, 1, Table13[[#This Row],[Psh]]+(0.15*(1-Table13[[#This Row],[Psh]])))</f>
        <v>1</v>
      </c>
      <c r="M18" s="8">
        <f>IF(Table13[[#This Row],[آیا
Achech  &gt;  Atree]]=1, 0.65, 1)</f>
        <v>0.65</v>
      </c>
      <c r="N1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22</v>
      </c>
      <c r="O1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1.4666666666666666</v>
      </c>
    </row>
    <row r="19" spans="2:15" x14ac:dyDescent="0.3">
      <c r="B19" s="4" t="s">
        <v>75</v>
      </c>
      <c r="C19" s="4">
        <v>58</v>
      </c>
      <c r="D19" s="4">
        <v>25</v>
      </c>
      <c r="E19" s="4">
        <v>25</v>
      </c>
      <c r="F19" s="4">
        <v>863</v>
      </c>
      <c r="G19" s="16" t="s">
        <v>7</v>
      </c>
      <c r="H19" s="4">
        <v>9</v>
      </c>
      <c r="I19" s="4">
        <f>Table13[[#This Row],[تعداد کل درخت‏های تحت آبیاری
(اصله مستقل)
(N)]]*Table13[[#This Row],[سطح پوشش مفروض برای هر درخت
(متر مربع)]]</f>
        <v>225</v>
      </c>
      <c r="J1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9" s="8">
        <f>IF(Table13[[#This Row],[آیا
Achech  &gt;  Atree]]=1, 1, Table13[[#This Row],[Psh]]+(0.15*(1-Table13[[#This Row],[Psh]])))</f>
        <v>1</v>
      </c>
      <c r="M19" s="8">
        <f>IF(Table13[[#This Row],[آیا
Achech  &gt;  Atree]]=1, 0.65, 1)</f>
        <v>0.65</v>
      </c>
      <c r="N1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25</v>
      </c>
      <c r="O1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20" spans="2:15" x14ac:dyDescent="0.3">
      <c r="B20" s="4" t="s">
        <v>76</v>
      </c>
      <c r="C20" s="4">
        <v>179</v>
      </c>
      <c r="D20" s="4">
        <v>15</v>
      </c>
      <c r="E20" s="4">
        <v>32</v>
      </c>
      <c r="F20" s="4">
        <v>3884</v>
      </c>
      <c r="G20" s="16" t="s">
        <v>7</v>
      </c>
      <c r="H20" s="4">
        <v>9</v>
      </c>
      <c r="I20" s="4">
        <f>Table13[[#This Row],[تعداد کل درخت‏های تحت آبیاری
(اصله مستقل)
(N)]]*Table13[[#This Row],[سطح پوشش مفروض برای هر درخت
(متر مربع)]]</f>
        <v>135</v>
      </c>
      <c r="J2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0" s="8">
        <f>IF(Table13[[#This Row],[آیا
Achech  &gt;  Atree]]=1, 1, Table13[[#This Row],[Psh]]+(0.15*(1-Table13[[#This Row],[Psh]])))</f>
        <v>1</v>
      </c>
      <c r="M20" s="8">
        <f>IF(Table13[[#This Row],[آیا
Achech  &gt;  Atree]]=1, 0.65, 1)</f>
        <v>0.65</v>
      </c>
      <c r="N2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32</v>
      </c>
      <c r="O2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2.1333333333333333</v>
      </c>
    </row>
    <row r="21" spans="2:15" x14ac:dyDescent="0.3">
      <c r="B21" s="4" t="s">
        <v>77</v>
      </c>
      <c r="C21" s="4">
        <v>5018</v>
      </c>
      <c r="D21" s="4">
        <v>785</v>
      </c>
      <c r="E21" s="4">
        <v>16385</v>
      </c>
      <c r="F21" s="4">
        <v>113887</v>
      </c>
      <c r="G21" s="16" t="s">
        <v>78</v>
      </c>
      <c r="H21" s="4">
        <v>9</v>
      </c>
      <c r="I21" s="4">
        <f>Table13[[#This Row],[تعداد کل درخت‏های تحت آبیاری
(اصله مستقل)
(N)]]*Table13[[#This Row],[سطح پوشش مفروض برای هر درخت
(متر مربع)]]</f>
        <v>7065</v>
      </c>
      <c r="J2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0.43118706133658835</v>
      </c>
      <c r="L21" s="8">
        <f>IF(Table13[[#This Row],[آیا
Achech  &gt;  Atree]]=1, 1, Table13[[#This Row],[Psh]]+(0.15*(1-Table13[[#This Row],[Psh]])))</f>
        <v>0.51650900213610007</v>
      </c>
      <c r="M21" s="8">
        <f>IF(Table13[[#This Row],[آیا
Achech  &gt;  Atree]]=1, 0.65, 1)</f>
        <v>1</v>
      </c>
      <c r="N2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7065</v>
      </c>
      <c r="O2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2" spans="2:15" x14ac:dyDescent="0.3">
      <c r="B22" s="4" t="s">
        <v>79</v>
      </c>
      <c r="C22" s="4">
        <v>661</v>
      </c>
      <c r="D22" s="4">
        <v>66</v>
      </c>
      <c r="E22" s="4">
        <v>357</v>
      </c>
      <c r="F22" s="4">
        <v>6631</v>
      </c>
      <c r="G22" s="16" t="s">
        <v>7</v>
      </c>
      <c r="H22" s="4">
        <v>9</v>
      </c>
      <c r="I22" s="4">
        <f>Table13[[#This Row],[تعداد کل درخت‏های تحت آبیاری
(اصله مستقل)
(N)]]*Table13[[#This Row],[سطح پوشش مفروض برای هر درخت
(متر مربع)]]</f>
        <v>594</v>
      </c>
      <c r="J2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2" s="8">
        <f>IF(Table13[[#This Row],[آیا
Achech  &gt;  Atree]]=1, 1, Table13[[#This Row],[Psh]]+(0.15*(1-Table13[[#This Row],[Psh]])))</f>
        <v>1</v>
      </c>
      <c r="M22" s="8">
        <f>IF(Table13[[#This Row],[آیا
Achech  &gt;  Atree]]=1, 0.65, 1)</f>
        <v>0.65</v>
      </c>
      <c r="N2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357</v>
      </c>
      <c r="O2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5.4090909090909092</v>
      </c>
    </row>
    <row r="23" spans="2:15" x14ac:dyDescent="0.3">
      <c r="B23" s="4" t="s">
        <v>80</v>
      </c>
      <c r="C23" s="4">
        <v>256</v>
      </c>
      <c r="D23" s="4">
        <v>13</v>
      </c>
      <c r="E23" s="4">
        <v>58</v>
      </c>
      <c r="F23" s="4">
        <v>5373</v>
      </c>
      <c r="G23" s="16" t="s">
        <v>7</v>
      </c>
      <c r="H23" s="4">
        <v>9</v>
      </c>
      <c r="I23" s="4">
        <f>Table13[[#This Row],[تعداد کل درخت‏های تحت آبیاری
(اصله مستقل)
(N)]]*Table13[[#This Row],[سطح پوشش مفروض برای هر درخت
(متر مربع)]]</f>
        <v>117</v>
      </c>
      <c r="J2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3" s="8">
        <f>IF(Table13[[#This Row],[آیا
Achech  &gt;  Atree]]=1, 1, Table13[[#This Row],[Psh]]+(0.15*(1-Table13[[#This Row],[Psh]])))</f>
        <v>1</v>
      </c>
      <c r="M23" s="8">
        <f>IF(Table13[[#This Row],[آیا
Achech  &gt;  Atree]]=1, 0.65, 1)</f>
        <v>0.65</v>
      </c>
      <c r="N2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58</v>
      </c>
      <c r="O2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4.4615384615384617</v>
      </c>
    </row>
    <row r="24" spans="2:15" x14ac:dyDescent="0.3">
      <c r="B24" s="4" t="s">
        <v>81</v>
      </c>
      <c r="C24" s="4">
        <v>47</v>
      </c>
      <c r="D24" s="4">
        <v>2</v>
      </c>
      <c r="E24" s="4">
        <v>2</v>
      </c>
      <c r="F24" s="4">
        <v>558</v>
      </c>
      <c r="G24" s="16" t="s">
        <v>7</v>
      </c>
      <c r="H24" s="4">
        <v>9</v>
      </c>
      <c r="I24" s="4">
        <f>Table13[[#This Row],[تعداد کل درخت‏های تحت آبیاری
(اصله مستقل)
(N)]]*Table13[[#This Row],[سطح پوشش مفروض برای هر درخت
(متر مربع)]]</f>
        <v>18</v>
      </c>
      <c r="J2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4" s="8">
        <f>IF(Table13[[#This Row],[آیا
Achech  &gt;  Atree]]=1, 1, Table13[[#This Row],[Psh]]+(0.15*(1-Table13[[#This Row],[Psh]])))</f>
        <v>1</v>
      </c>
      <c r="M24" s="8">
        <f>IF(Table13[[#This Row],[آیا
Achech  &gt;  Atree]]=1, 0.65, 1)</f>
        <v>0.65</v>
      </c>
      <c r="N2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</v>
      </c>
      <c r="O2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25" spans="2:15" x14ac:dyDescent="0.3">
      <c r="B25" s="4" t="s">
        <v>82</v>
      </c>
      <c r="C25" s="4">
        <v>273</v>
      </c>
      <c r="D25" s="4">
        <v>10</v>
      </c>
      <c r="E25" s="4">
        <v>10</v>
      </c>
      <c r="F25" s="4">
        <v>4553</v>
      </c>
      <c r="G25" s="16" t="s">
        <v>7</v>
      </c>
      <c r="H25" s="4">
        <v>9</v>
      </c>
      <c r="I25" s="4">
        <f>Table13[[#This Row],[تعداد کل درخت‏های تحت آبیاری
(اصله مستقل)
(N)]]*Table13[[#This Row],[سطح پوشش مفروض برای هر درخت
(متر مربع)]]</f>
        <v>90</v>
      </c>
      <c r="J2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5" s="8">
        <f>IF(Table13[[#This Row],[آیا
Achech  &gt;  Atree]]=1, 1, Table13[[#This Row],[Psh]]+(0.15*(1-Table13[[#This Row],[Psh]])))</f>
        <v>1</v>
      </c>
      <c r="M25" s="8">
        <f>IF(Table13[[#This Row],[آیا
Achech  &gt;  Atree]]=1, 0.65, 1)</f>
        <v>0.65</v>
      </c>
      <c r="N2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10</v>
      </c>
      <c r="O2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26" spans="2:15" x14ac:dyDescent="0.3">
      <c r="B26" s="4" t="s">
        <v>128</v>
      </c>
      <c r="C26" s="4">
        <v>532</v>
      </c>
      <c r="D26" s="4">
        <v>44</v>
      </c>
      <c r="E26" s="4">
        <v>44</v>
      </c>
      <c r="F26" s="4">
        <v>9478</v>
      </c>
      <c r="G26" s="16" t="s">
        <v>7</v>
      </c>
      <c r="H26" s="4">
        <v>9</v>
      </c>
      <c r="I26" s="4">
        <f>Table13[[#This Row],[تعداد کل درخت‏های تحت آبیاری
(اصله مستقل)
(N)]]*Table13[[#This Row],[سطح پوشش مفروض برای هر درخت
(متر مربع)]]</f>
        <v>396</v>
      </c>
      <c r="J2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6" s="8">
        <f>IF(Table13[[#This Row],[آیا
Achech  &gt;  Atree]]=1, 1, Table13[[#This Row],[Psh]]+(0.15*(1-Table13[[#This Row],[Psh]])))</f>
        <v>1</v>
      </c>
      <c r="M26" s="8">
        <f>IF(Table13[[#This Row],[آیا
Achech  &gt;  Atree]]=1, 0.65, 1)</f>
        <v>0.65</v>
      </c>
      <c r="N2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44</v>
      </c>
      <c r="O2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27" spans="2:15" x14ac:dyDescent="0.3">
      <c r="B27" s="4" t="s">
        <v>129</v>
      </c>
      <c r="C27" s="4">
        <v>317</v>
      </c>
      <c r="D27" s="4">
        <v>7</v>
      </c>
      <c r="E27" s="4">
        <v>7</v>
      </c>
      <c r="F27" s="4">
        <v>4782</v>
      </c>
      <c r="G27" s="16" t="s">
        <v>7</v>
      </c>
      <c r="H27" s="4">
        <v>9</v>
      </c>
      <c r="I27" s="4">
        <f>Table13[[#This Row],[تعداد کل درخت‏های تحت آبیاری
(اصله مستقل)
(N)]]*Table13[[#This Row],[سطح پوشش مفروض برای هر درخت
(متر مربع)]]</f>
        <v>63</v>
      </c>
      <c r="J2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7" s="8">
        <f>IF(Table13[[#This Row],[آیا
Achech  &gt;  Atree]]=1, 1, Table13[[#This Row],[Psh]]+(0.15*(1-Table13[[#This Row],[Psh]])))</f>
        <v>1</v>
      </c>
      <c r="M27" s="8">
        <f>IF(Table13[[#This Row],[آیا
Achech  &gt;  Atree]]=1, 0.65, 1)</f>
        <v>0.65</v>
      </c>
      <c r="N2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7</v>
      </c>
      <c r="O2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28" spans="2:15" x14ac:dyDescent="0.3">
      <c r="B28" s="4" t="s">
        <v>130</v>
      </c>
      <c r="C28" s="4">
        <v>176</v>
      </c>
      <c r="D28" s="4">
        <v>18</v>
      </c>
      <c r="E28" s="4">
        <v>18</v>
      </c>
      <c r="F28" s="4">
        <v>4137</v>
      </c>
      <c r="G28" s="16" t="s">
        <v>7</v>
      </c>
      <c r="H28" s="4">
        <v>9</v>
      </c>
      <c r="I28" s="4">
        <f>Table13[[#This Row],[تعداد کل درخت‏های تحت آبیاری
(اصله مستقل)
(N)]]*Table13[[#This Row],[سطح پوشش مفروض برای هر درخت
(متر مربع)]]</f>
        <v>162</v>
      </c>
      <c r="J2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8" s="8">
        <f>IF(Table13[[#This Row],[آیا
Achech  &gt;  Atree]]=1, 1, Table13[[#This Row],[Psh]]+(0.15*(1-Table13[[#This Row],[Psh]])))</f>
        <v>1</v>
      </c>
      <c r="M28" s="8">
        <f>IF(Table13[[#This Row],[آیا
Achech  &gt;  Atree]]=1, 0.65, 1)</f>
        <v>0.65</v>
      </c>
      <c r="N2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18</v>
      </c>
      <c r="O2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29" spans="2:15" x14ac:dyDescent="0.3">
      <c r="B29" s="4" t="s">
        <v>131</v>
      </c>
      <c r="C29" s="4">
        <v>210</v>
      </c>
      <c r="D29" s="4">
        <v>7</v>
      </c>
      <c r="E29" s="4">
        <v>7</v>
      </c>
      <c r="F29" s="4">
        <v>7588</v>
      </c>
      <c r="G29" s="16" t="s">
        <v>7</v>
      </c>
      <c r="H29" s="4">
        <v>9</v>
      </c>
      <c r="I29" s="4">
        <f>Table13[[#This Row],[تعداد کل درخت‏های تحت آبیاری
(اصله مستقل)
(N)]]*Table13[[#This Row],[سطح پوشش مفروض برای هر درخت
(متر مربع)]]</f>
        <v>63</v>
      </c>
      <c r="J2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9" s="8">
        <f>IF(Table13[[#This Row],[آیا
Achech  &gt;  Atree]]=1, 1, Table13[[#This Row],[Psh]]+(0.15*(1-Table13[[#This Row],[Psh]])))</f>
        <v>1</v>
      </c>
      <c r="M29" s="8">
        <f>IF(Table13[[#This Row],[آیا
Achech  &gt;  Atree]]=1, 0.65, 1)</f>
        <v>0.65</v>
      </c>
      <c r="N2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7</v>
      </c>
      <c r="O2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30" spans="2:15" x14ac:dyDescent="0.3">
      <c r="B30" s="4" t="s">
        <v>132</v>
      </c>
      <c r="C30" s="4">
        <v>315</v>
      </c>
      <c r="D30" s="4">
        <v>11</v>
      </c>
      <c r="E30" s="4">
        <v>11</v>
      </c>
      <c r="F30" s="4">
        <v>6114</v>
      </c>
      <c r="G30" s="16" t="s">
        <v>7</v>
      </c>
      <c r="H30" s="4">
        <v>9</v>
      </c>
      <c r="I30" s="4">
        <f>Table13[[#This Row],[تعداد کل درخت‏های تحت آبیاری
(اصله مستقل)
(N)]]*Table13[[#This Row],[سطح پوشش مفروض برای هر درخت
(متر مربع)]]</f>
        <v>99</v>
      </c>
      <c r="J3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0" s="8">
        <f>IF(Table13[[#This Row],[آیا
Achech  &gt;  Atree]]=1, 1, Table13[[#This Row],[Psh]]+(0.15*(1-Table13[[#This Row],[Psh]])))</f>
        <v>1</v>
      </c>
      <c r="M30" s="8">
        <f>IF(Table13[[#This Row],[آیا
Achech  &gt;  Atree]]=1, 0.65, 1)</f>
        <v>0.65</v>
      </c>
      <c r="N3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11</v>
      </c>
      <c r="O3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31" spans="2:15" x14ac:dyDescent="0.3">
      <c r="B31" s="4" t="s">
        <v>133</v>
      </c>
      <c r="C31" s="4">
        <v>355</v>
      </c>
      <c r="D31" s="4">
        <v>2</v>
      </c>
      <c r="E31" s="4">
        <v>2</v>
      </c>
      <c r="F31" s="4">
        <v>5793</v>
      </c>
      <c r="G31" s="16" t="s">
        <v>7</v>
      </c>
      <c r="H31" s="4">
        <v>9</v>
      </c>
      <c r="I31" s="4">
        <f>Table13[[#This Row],[تعداد کل درخت‏های تحت آبیاری
(اصله مستقل)
(N)]]*Table13[[#This Row],[سطح پوشش مفروض برای هر درخت
(متر مربع)]]</f>
        <v>18</v>
      </c>
      <c r="J3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1" s="8">
        <f>IF(Table13[[#This Row],[آیا
Achech  &gt;  Atree]]=1, 1, Table13[[#This Row],[Psh]]+(0.15*(1-Table13[[#This Row],[Psh]])))</f>
        <v>1</v>
      </c>
      <c r="M31" s="8">
        <f>IF(Table13[[#This Row],[آیا
Achech  &gt;  Atree]]=1, 0.65, 1)</f>
        <v>0.65</v>
      </c>
      <c r="N3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</v>
      </c>
      <c r="O3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32" spans="2:15" x14ac:dyDescent="0.3">
      <c r="B32" s="4" t="s">
        <v>134</v>
      </c>
      <c r="C32" s="4">
        <v>140</v>
      </c>
      <c r="D32" s="4">
        <v>19</v>
      </c>
      <c r="E32" s="4">
        <v>19</v>
      </c>
      <c r="F32" s="4">
        <v>2340</v>
      </c>
      <c r="G32" s="16" t="s">
        <v>7</v>
      </c>
      <c r="H32" s="4">
        <v>9</v>
      </c>
      <c r="I32" s="4">
        <f>Table13[[#This Row],[تعداد کل درخت‏های تحت آبیاری
(اصله مستقل)
(N)]]*Table13[[#This Row],[سطح پوشش مفروض برای هر درخت
(متر مربع)]]</f>
        <v>171</v>
      </c>
      <c r="J3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2" s="8">
        <f>IF(Table13[[#This Row],[آیا
Achech  &gt;  Atree]]=1, 1, Table13[[#This Row],[Psh]]+(0.15*(1-Table13[[#This Row],[Psh]])))</f>
        <v>1</v>
      </c>
      <c r="M32" s="8">
        <f>IF(Table13[[#This Row],[آیا
Achech  &gt;  Atree]]=1, 0.65, 1)</f>
        <v>0.65</v>
      </c>
      <c r="N3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19</v>
      </c>
      <c r="O3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33" spans="2:15" x14ac:dyDescent="0.3">
      <c r="B33" s="4" t="s">
        <v>174</v>
      </c>
      <c r="C33" s="4">
        <v>112</v>
      </c>
      <c r="D33" s="4">
        <v>5</v>
      </c>
      <c r="E33" s="4">
        <v>5</v>
      </c>
      <c r="F33" s="4">
        <v>2547</v>
      </c>
      <c r="G33" s="16" t="s">
        <v>7</v>
      </c>
      <c r="H33" s="4">
        <v>9</v>
      </c>
      <c r="I33" s="4">
        <f>Table13[[#This Row],[تعداد کل درخت‏های تحت آبیاری
(اصله مستقل)
(N)]]*Table13[[#This Row],[سطح پوشش مفروض برای هر درخت
(متر مربع)]]</f>
        <v>45</v>
      </c>
      <c r="J3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3" s="8">
        <f>IF(Table13[[#This Row],[آیا
Achech  &gt;  Atree]]=1, 1, Table13[[#This Row],[Psh]]+(0.15*(1-Table13[[#This Row],[Psh]])))</f>
        <v>1</v>
      </c>
      <c r="M33" s="8">
        <f>IF(Table13[[#This Row],[آیا
Achech  &gt;  Atree]]=1, 0.65, 1)</f>
        <v>0.65</v>
      </c>
      <c r="N3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</v>
      </c>
      <c r="O3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34" spans="2:15" x14ac:dyDescent="0.3">
      <c r="B34" s="4" t="s">
        <v>175</v>
      </c>
      <c r="C34" s="4">
        <v>39</v>
      </c>
      <c r="D34" s="4">
        <v>3</v>
      </c>
      <c r="E34" s="4">
        <v>3</v>
      </c>
      <c r="F34" s="4">
        <v>1329</v>
      </c>
      <c r="G34" s="16" t="s">
        <v>7</v>
      </c>
      <c r="H34" s="4">
        <v>9</v>
      </c>
      <c r="I34" s="4">
        <f>Table13[[#This Row],[تعداد کل درخت‏های تحت آبیاری
(اصله مستقل)
(N)]]*Table13[[#This Row],[سطح پوشش مفروض برای هر درخت
(متر مربع)]]</f>
        <v>27</v>
      </c>
      <c r="J3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4" s="8">
        <f>IF(Table13[[#This Row],[آیا
Achech  &gt;  Atree]]=1, 1, Table13[[#This Row],[Psh]]+(0.15*(1-Table13[[#This Row],[Psh]])))</f>
        <v>1</v>
      </c>
      <c r="M34" s="8">
        <f>IF(Table13[[#This Row],[آیا
Achech  &gt;  Atree]]=1, 0.65, 1)</f>
        <v>0.65</v>
      </c>
      <c r="N3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</v>
      </c>
      <c r="O3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35" spans="2:15" x14ac:dyDescent="0.3">
      <c r="B35" s="4" t="s">
        <v>176</v>
      </c>
      <c r="C35" s="4">
        <v>123</v>
      </c>
      <c r="D35" s="4">
        <v>8</v>
      </c>
      <c r="E35" s="4">
        <v>8</v>
      </c>
      <c r="F35" s="4">
        <v>2501</v>
      </c>
      <c r="G35" s="16" t="s">
        <v>7</v>
      </c>
      <c r="H35" s="4">
        <v>9</v>
      </c>
      <c r="I35" s="4">
        <f>Table13[[#This Row],[تعداد کل درخت‏های تحت آبیاری
(اصله مستقل)
(N)]]*Table13[[#This Row],[سطح پوشش مفروض برای هر درخت
(متر مربع)]]</f>
        <v>72</v>
      </c>
      <c r="J3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5" s="8">
        <f>IF(Table13[[#This Row],[آیا
Achech  &gt;  Atree]]=1, 1, Table13[[#This Row],[Psh]]+(0.15*(1-Table13[[#This Row],[Psh]])))</f>
        <v>1</v>
      </c>
      <c r="M35" s="8">
        <f>IF(Table13[[#This Row],[آیا
Achech  &gt;  Atree]]=1, 0.65, 1)</f>
        <v>0.65</v>
      </c>
      <c r="N3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8</v>
      </c>
      <c r="O3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36" spans="2:15" x14ac:dyDescent="0.3">
      <c r="B36" s="4" t="s">
        <v>177</v>
      </c>
      <c r="C36" s="4">
        <v>110</v>
      </c>
      <c r="D36" s="4">
        <v>5</v>
      </c>
      <c r="E36" s="4">
        <v>5</v>
      </c>
      <c r="F36" s="4">
        <v>2208</v>
      </c>
      <c r="G36" s="16" t="s">
        <v>7</v>
      </c>
      <c r="H36" s="4">
        <v>9</v>
      </c>
      <c r="I36" s="4">
        <f>Table13[[#This Row],[تعداد کل درخت‏های تحت آبیاری
(اصله مستقل)
(N)]]*Table13[[#This Row],[سطح پوشش مفروض برای هر درخت
(متر مربع)]]</f>
        <v>45</v>
      </c>
      <c r="J3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6" s="8">
        <f>IF(Table13[[#This Row],[آیا
Achech  &gt;  Atree]]=1, 1, Table13[[#This Row],[Psh]]+(0.15*(1-Table13[[#This Row],[Psh]])))</f>
        <v>1</v>
      </c>
      <c r="M36" s="8">
        <f>IF(Table13[[#This Row],[آیا
Achech  &gt;  Atree]]=1, 0.65, 1)</f>
        <v>0.65</v>
      </c>
      <c r="N3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</v>
      </c>
      <c r="O3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37" spans="2:15" x14ac:dyDescent="0.3">
      <c r="B37" s="4" t="s">
        <v>234</v>
      </c>
      <c r="C37" s="4">
        <v>328</v>
      </c>
      <c r="D37" s="4">
        <v>9</v>
      </c>
      <c r="E37" s="4">
        <v>9</v>
      </c>
      <c r="F37" s="4">
        <v>11299</v>
      </c>
      <c r="G37" s="16" t="s">
        <v>7</v>
      </c>
      <c r="H37" s="4">
        <v>9</v>
      </c>
      <c r="I37" s="4">
        <f>Table13[[#This Row],[تعداد کل درخت‏های تحت آبیاری
(اصله مستقل)
(N)]]*Table13[[#This Row],[سطح پوشش مفروض برای هر درخت
(متر مربع)]]</f>
        <v>81</v>
      </c>
      <c r="J3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7" s="8">
        <f>IF(Table13[[#This Row],[آیا
Achech  &gt;  Atree]]=1, 1, Table13[[#This Row],[Psh]]+(0.15*(1-Table13[[#This Row],[Psh]])))</f>
        <v>1</v>
      </c>
      <c r="M37" s="8">
        <f>IF(Table13[[#This Row],[آیا
Achech  &gt;  Atree]]=1, 0.65, 1)</f>
        <v>0.65</v>
      </c>
      <c r="N3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9</v>
      </c>
      <c r="O3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38" spans="2:15" x14ac:dyDescent="0.3">
      <c r="B38" s="4" t="s">
        <v>235</v>
      </c>
      <c r="C38" s="4">
        <v>216</v>
      </c>
      <c r="D38" s="4">
        <v>45</v>
      </c>
      <c r="E38" s="4">
        <v>45</v>
      </c>
      <c r="F38" s="4">
        <v>6447</v>
      </c>
      <c r="G38" s="16" t="s">
        <v>7</v>
      </c>
      <c r="H38" s="4">
        <v>9</v>
      </c>
      <c r="I38" s="4">
        <f>Table13[[#This Row],[تعداد کل درخت‏های تحت آبیاری
(اصله مستقل)
(N)]]*Table13[[#This Row],[سطح پوشش مفروض برای هر درخت
(متر مربع)]]</f>
        <v>405</v>
      </c>
      <c r="J3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8" s="8">
        <f>IF(Table13[[#This Row],[آیا
Achech  &gt;  Atree]]=1, 1, Table13[[#This Row],[Psh]]+(0.15*(1-Table13[[#This Row],[Psh]])))</f>
        <v>1</v>
      </c>
      <c r="M38" s="8">
        <f>IF(Table13[[#This Row],[آیا
Achech  &gt;  Atree]]=1, 0.65, 1)</f>
        <v>0.65</v>
      </c>
      <c r="N3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45</v>
      </c>
      <c r="O3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39" spans="2:15" x14ac:dyDescent="0.3">
      <c r="B39" s="4" t="s">
        <v>236</v>
      </c>
      <c r="C39" s="4">
        <v>146</v>
      </c>
      <c r="D39" s="4">
        <v>18</v>
      </c>
      <c r="E39" s="4">
        <v>18</v>
      </c>
      <c r="F39" s="4">
        <v>7683</v>
      </c>
      <c r="G39" s="16" t="s">
        <v>7</v>
      </c>
      <c r="H39" s="4">
        <v>9</v>
      </c>
      <c r="I39" s="4">
        <f>Table13[[#This Row],[تعداد کل درخت‏های تحت آبیاری
(اصله مستقل)
(N)]]*Table13[[#This Row],[سطح پوشش مفروض برای هر درخت
(متر مربع)]]</f>
        <v>162</v>
      </c>
      <c r="J3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9" s="8">
        <f>IF(Table13[[#This Row],[آیا
Achech  &gt;  Atree]]=1, 1, Table13[[#This Row],[Psh]]+(0.15*(1-Table13[[#This Row],[Psh]])))</f>
        <v>1</v>
      </c>
      <c r="M39" s="8">
        <f>IF(Table13[[#This Row],[آیا
Achech  &gt;  Atree]]=1, 0.65, 1)</f>
        <v>0.65</v>
      </c>
      <c r="N3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18</v>
      </c>
      <c r="O3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40" spans="2:15" x14ac:dyDescent="0.3">
      <c r="B40" s="4" t="s">
        <v>237</v>
      </c>
      <c r="C40" s="4">
        <v>206</v>
      </c>
      <c r="D40" s="4">
        <v>9</v>
      </c>
      <c r="E40" s="4">
        <v>9</v>
      </c>
      <c r="F40" s="4">
        <v>3038</v>
      </c>
      <c r="G40" s="16" t="s">
        <v>7</v>
      </c>
      <c r="H40" s="4">
        <v>9</v>
      </c>
      <c r="I40" s="4">
        <f>Table13[[#This Row],[تعداد کل درخت‏های تحت آبیاری
(اصله مستقل)
(N)]]*Table13[[#This Row],[سطح پوشش مفروض برای هر درخت
(متر مربع)]]</f>
        <v>81</v>
      </c>
      <c r="J4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0" s="8">
        <f>IF(Table13[[#This Row],[آیا
Achech  &gt;  Atree]]=1, 1, Table13[[#This Row],[Psh]]+(0.15*(1-Table13[[#This Row],[Psh]])))</f>
        <v>1</v>
      </c>
      <c r="M40" s="8">
        <f>IF(Table13[[#This Row],[آیا
Achech  &gt;  Atree]]=1, 0.65, 1)</f>
        <v>0.65</v>
      </c>
      <c r="N4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9</v>
      </c>
      <c r="O4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41" spans="2:15" x14ac:dyDescent="0.3">
      <c r="B41" s="4" t="s">
        <v>238</v>
      </c>
      <c r="C41" s="4">
        <v>184</v>
      </c>
      <c r="D41" s="4">
        <v>10</v>
      </c>
      <c r="E41" s="4">
        <v>10</v>
      </c>
      <c r="F41" s="4">
        <v>3185</v>
      </c>
      <c r="G41" s="16" t="s">
        <v>7</v>
      </c>
      <c r="H41" s="4">
        <v>9</v>
      </c>
      <c r="I41" s="4">
        <f>Table13[[#This Row],[تعداد کل درخت‏های تحت آبیاری
(اصله مستقل)
(N)]]*Table13[[#This Row],[سطح پوشش مفروض برای هر درخت
(متر مربع)]]</f>
        <v>90</v>
      </c>
      <c r="J4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1" s="8">
        <f>IF(Table13[[#This Row],[آیا
Achech  &gt;  Atree]]=1, 1, Table13[[#This Row],[Psh]]+(0.15*(1-Table13[[#This Row],[Psh]])))</f>
        <v>1</v>
      </c>
      <c r="M41" s="8">
        <f>IF(Table13[[#This Row],[آیا
Achech  &gt;  Atree]]=1, 0.65, 1)</f>
        <v>0.65</v>
      </c>
      <c r="N4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10</v>
      </c>
      <c r="O4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42" spans="2:15" x14ac:dyDescent="0.3">
      <c r="B42" s="4" t="s">
        <v>239</v>
      </c>
      <c r="C42" s="4">
        <v>256</v>
      </c>
      <c r="D42" s="4">
        <v>12</v>
      </c>
      <c r="E42" s="4">
        <v>12</v>
      </c>
      <c r="F42" s="4">
        <v>8826</v>
      </c>
      <c r="G42" s="16" t="s">
        <v>7</v>
      </c>
      <c r="H42" s="4">
        <v>9</v>
      </c>
      <c r="I42" s="4">
        <f>Table13[[#This Row],[تعداد کل درخت‏های تحت آبیاری
(اصله مستقل)
(N)]]*Table13[[#This Row],[سطح پوشش مفروض برای هر درخت
(متر مربع)]]</f>
        <v>108</v>
      </c>
      <c r="J4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2" s="8">
        <f>IF(Table13[[#This Row],[آیا
Achech  &gt;  Atree]]=1, 1, Table13[[#This Row],[Psh]]+(0.15*(1-Table13[[#This Row],[Psh]])))</f>
        <v>1</v>
      </c>
      <c r="M42" s="8">
        <f>IF(Table13[[#This Row],[آیا
Achech  &gt;  Atree]]=1, 0.65, 1)</f>
        <v>0.65</v>
      </c>
      <c r="N4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12</v>
      </c>
      <c r="O4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43" spans="2:15" x14ac:dyDescent="0.3">
      <c r="B43" s="4" t="s">
        <v>258</v>
      </c>
      <c r="C43" s="4">
        <v>130</v>
      </c>
      <c r="D43" s="4">
        <v>102</v>
      </c>
      <c r="E43" s="4">
        <v>408</v>
      </c>
      <c r="F43" s="4">
        <v>3628</v>
      </c>
      <c r="G43" s="16" t="s">
        <v>7</v>
      </c>
      <c r="H43" s="4">
        <v>9</v>
      </c>
      <c r="I43" s="4">
        <f>Table13[[#This Row],[تعداد کل درخت‏های تحت آبیاری
(اصله مستقل)
(N)]]*Table13[[#This Row],[سطح پوشش مفروض برای هر درخت
(متر مربع)]]</f>
        <v>918</v>
      </c>
      <c r="J4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3" s="8">
        <f>IF(Table13[[#This Row],[آیا
Achech  &gt;  Atree]]=1, 1, Table13[[#This Row],[Psh]]+(0.15*(1-Table13[[#This Row],[Psh]])))</f>
        <v>1</v>
      </c>
      <c r="M43" s="8">
        <f>IF(Table13[[#This Row],[آیا
Achech  &gt;  Atree]]=1, 0.65, 1)</f>
        <v>0.65</v>
      </c>
      <c r="N4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408</v>
      </c>
      <c r="O4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</v>
      </c>
    </row>
    <row r="44" spans="2:15" x14ac:dyDescent="0.3">
      <c r="B44" s="4" t="s">
        <v>259</v>
      </c>
      <c r="C44" s="4">
        <v>942</v>
      </c>
      <c r="D44" s="4">
        <v>255</v>
      </c>
      <c r="E44" s="4">
        <v>1165</v>
      </c>
      <c r="F44" s="4">
        <v>13526</v>
      </c>
      <c r="G44" s="16" t="s">
        <v>7</v>
      </c>
      <c r="H44" s="4">
        <v>9</v>
      </c>
      <c r="I44" s="4">
        <f>Table13[[#This Row],[تعداد کل درخت‏های تحت آبیاری
(اصله مستقل)
(N)]]*Table13[[#This Row],[سطح پوشش مفروض برای هر درخت
(متر مربع)]]</f>
        <v>2295</v>
      </c>
      <c r="J4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4" s="8">
        <f>IF(Table13[[#This Row],[آیا
Achech  &gt;  Atree]]=1, 1, Table13[[#This Row],[Psh]]+(0.15*(1-Table13[[#This Row],[Psh]])))</f>
        <v>1</v>
      </c>
      <c r="M44" s="8">
        <f>IF(Table13[[#This Row],[آیا
Achech  &gt;  Atree]]=1, 0.65, 1)</f>
        <v>0.65</v>
      </c>
      <c r="N4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1165</v>
      </c>
      <c r="O4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4.5686274509803919</v>
      </c>
    </row>
    <row r="45" spans="2:15" x14ac:dyDescent="0.3">
      <c r="B45" s="4" t="s">
        <v>260</v>
      </c>
      <c r="C45" s="4">
        <v>121</v>
      </c>
      <c r="D45" s="4">
        <v>30</v>
      </c>
      <c r="E45" s="4">
        <v>30</v>
      </c>
      <c r="F45" s="4">
        <v>4538</v>
      </c>
      <c r="G45" s="16" t="s">
        <v>7</v>
      </c>
      <c r="H45" s="4">
        <v>9</v>
      </c>
      <c r="I45" s="4">
        <f>Table13[[#This Row],[تعداد کل درخت‏های تحت آبیاری
(اصله مستقل)
(N)]]*Table13[[#This Row],[سطح پوشش مفروض برای هر درخت
(متر مربع)]]</f>
        <v>270</v>
      </c>
      <c r="J4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5" s="8">
        <f>IF(Table13[[#This Row],[آیا
Achech  &gt;  Atree]]=1, 1, Table13[[#This Row],[Psh]]+(0.15*(1-Table13[[#This Row],[Psh]])))</f>
        <v>1</v>
      </c>
      <c r="M45" s="8">
        <f>IF(Table13[[#This Row],[آیا
Achech  &gt;  Atree]]=1, 0.65, 1)</f>
        <v>0.65</v>
      </c>
      <c r="N4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30</v>
      </c>
      <c r="O4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46" spans="2:15" x14ac:dyDescent="0.3">
      <c r="B46" s="4" t="s">
        <v>271</v>
      </c>
      <c r="C46" s="4">
        <v>221</v>
      </c>
      <c r="D46" s="4">
        <v>20</v>
      </c>
      <c r="E46" s="4">
        <v>40</v>
      </c>
      <c r="F46" s="4">
        <v>5012</v>
      </c>
      <c r="G46" s="16" t="s">
        <v>7</v>
      </c>
      <c r="H46" s="4">
        <v>9</v>
      </c>
      <c r="I46" s="4">
        <f>Table13[[#This Row],[تعداد کل درخت‏های تحت آبیاری
(اصله مستقل)
(N)]]*Table13[[#This Row],[سطح پوشش مفروض برای هر درخت
(متر مربع)]]</f>
        <v>180</v>
      </c>
      <c r="J4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6" s="8">
        <f>IF(Table13[[#This Row],[آیا
Achech  &gt;  Atree]]=1, 1, Table13[[#This Row],[Psh]]+(0.15*(1-Table13[[#This Row],[Psh]])))</f>
        <v>1</v>
      </c>
      <c r="M46" s="8">
        <f>IF(Table13[[#This Row],[آیا
Achech  &gt;  Atree]]=1, 0.65, 1)</f>
        <v>0.65</v>
      </c>
      <c r="N4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40</v>
      </c>
      <c r="O4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</v>
      </c>
    </row>
    <row r="47" spans="2:15" x14ac:dyDescent="0.3">
      <c r="B47" s="4" t="s">
        <v>276</v>
      </c>
      <c r="C47" s="4">
        <v>275</v>
      </c>
      <c r="D47" s="4">
        <v>15</v>
      </c>
      <c r="E47" s="4">
        <v>15</v>
      </c>
      <c r="F47" s="4">
        <v>6767</v>
      </c>
      <c r="G47" s="16" t="s">
        <v>7</v>
      </c>
      <c r="H47" s="4">
        <v>9</v>
      </c>
      <c r="I47" s="4">
        <f>Table13[[#This Row],[تعداد کل درخت‏های تحت آبیاری
(اصله مستقل)
(N)]]*Table13[[#This Row],[سطح پوشش مفروض برای هر درخت
(متر مربع)]]</f>
        <v>135</v>
      </c>
      <c r="J4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7" s="8">
        <f>IF(Table13[[#This Row],[آیا
Achech  &gt;  Atree]]=1, 1, Table13[[#This Row],[Psh]]+(0.15*(1-Table13[[#This Row],[Psh]])))</f>
        <v>1</v>
      </c>
      <c r="M47" s="8">
        <f>IF(Table13[[#This Row],[آیا
Achech  &gt;  Atree]]=1, 0.65, 1)</f>
        <v>0.65</v>
      </c>
      <c r="N4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15</v>
      </c>
      <c r="O4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48" spans="2:15" x14ac:dyDescent="0.3">
      <c r="B48" s="4" t="s">
        <v>285</v>
      </c>
      <c r="C48" s="4">
        <v>367</v>
      </c>
      <c r="D48" s="4">
        <v>367</v>
      </c>
      <c r="E48" s="4">
        <v>367</v>
      </c>
      <c r="F48" s="4">
        <v>367</v>
      </c>
      <c r="G48" s="16" t="s">
        <v>286</v>
      </c>
      <c r="H48" s="4">
        <v>9</v>
      </c>
      <c r="I48" s="4">
        <f>Table13[[#This Row],[تعداد کل درخت‏های تحت آبیاری
(اصله مستقل)
(N)]]*Table13[[#This Row],[سطح پوشش مفروض برای هر درخت
(متر مربع)]]</f>
        <v>3303</v>
      </c>
      <c r="J4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8" s="8">
        <f>IF(Table13[[#This Row],[آیا
Achech  &gt;  Atree]]=1, 1, Table13[[#This Row],[Psh]]+(0.15*(1-Table13[[#This Row],[Psh]])))</f>
        <v>1</v>
      </c>
      <c r="M48" s="8">
        <f>IF(Table13[[#This Row],[آیا
Achech  &gt;  Atree]]=1, 0.65, 1)</f>
        <v>0.65</v>
      </c>
      <c r="N4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367</v>
      </c>
      <c r="O4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49" spans="2:15" x14ac:dyDescent="0.3">
      <c r="B49" s="4" t="s">
        <v>287</v>
      </c>
      <c r="C49" s="4">
        <v>78</v>
      </c>
      <c r="D49" s="4">
        <v>78</v>
      </c>
      <c r="E49" s="4">
        <v>1500</v>
      </c>
      <c r="F49" s="4">
        <v>1500</v>
      </c>
      <c r="G49" s="16" t="s">
        <v>286</v>
      </c>
      <c r="H49" s="4">
        <v>9</v>
      </c>
      <c r="I49" s="4">
        <f>Table13[[#This Row],[تعداد کل درخت‏های تحت آبیاری
(اصله مستقل)
(N)]]*Table13[[#This Row],[سطح پوشش مفروض برای هر درخت
(متر مربع)]]</f>
        <v>702</v>
      </c>
      <c r="J4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0.46800000000000003</v>
      </c>
      <c r="L49" s="8">
        <f>IF(Table13[[#This Row],[آیا
Achech  &gt;  Atree]]=1, 1, Table13[[#This Row],[Psh]]+(0.15*(1-Table13[[#This Row],[Psh]])))</f>
        <v>0.54780000000000006</v>
      </c>
      <c r="M49" s="8">
        <f>IF(Table13[[#This Row],[آیا
Achech  &gt;  Atree]]=1, 0.65, 1)</f>
        <v>1</v>
      </c>
      <c r="N4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702</v>
      </c>
      <c r="O4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50" spans="2:15" x14ac:dyDescent="0.3">
      <c r="B50" s="4" t="s">
        <v>288</v>
      </c>
      <c r="C50" s="4">
        <v>130</v>
      </c>
      <c r="D50" s="4">
        <v>130</v>
      </c>
      <c r="E50" s="4">
        <v>3389</v>
      </c>
      <c r="F50" s="4">
        <v>3389</v>
      </c>
      <c r="G50" s="16" t="s">
        <v>286</v>
      </c>
      <c r="H50" s="4">
        <v>9</v>
      </c>
      <c r="I50" s="4">
        <f>Table13[[#This Row],[تعداد کل درخت‏های تحت آبیاری
(اصله مستقل)
(N)]]*Table13[[#This Row],[سطح پوشش مفروض برای هر درخت
(متر مربع)]]</f>
        <v>1170</v>
      </c>
      <c r="J5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5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0.34523458247270583</v>
      </c>
      <c r="L50" s="8">
        <f>IF(Table13[[#This Row],[آیا
Achech  &gt;  Atree]]=1, 1, Table13[[#This Row],[Psh]]+(0.15*(1-Table13[[#This Row],[Psh]])))</f>
        <v>0.44344939510179993</v>
      </c>
      <c r="M50" s="8">
        <f>IF(Table13[[#This Row],[آیا
Achech  &gt;  Atree]]=1, 0.65, 1)</f>
        <v>1</v>
      </c>
      <c r="N5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1170</v>
      </c>
      <c r="O5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51" spans="2:15" x14ac:dyDescent="0.3">
      <c r="B51" s="4" t="s">
        <v>289</v>
      </c>
      <c r="C51" s="4">
        <v>80</v>
      </c>
      <c r="D51" s="4">
        <v>80</v>
      </c>
      <c r="E51" s="4">
        <v>600</v>
      </c>
      <c r="F51" s="4">
        <v>686</v>
      </c>
      <c r="G51" s="16" t="s">
        <v>286</v>
      </c>
      <c r="H51" s="4">
        <v>9</v>
      </c>
      <c r="I51" s="4">
        <f>Table13[[#This Row],[تعداد کل درخت‏های تحت آبیاری
(اصله مستقل)
(N)]]*Table13[[#This Row],[سطح پوشش مفروض برای هر درخت
(متر مربع)]]</f>
        <v>720</v>
      </c>
      <c r="J5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5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51" s="8">
        <f>IF(Table13[[#This Row],[آیا
Achech  &gt;  Atree]]=1, 1, Table13[[#This Row],[Psh]]+(0.15*(1-Table13[[#This Row],[Psh]])))</f>
        <v>1</v>
      </c>
      <c r="M51" s="8">
        <f>IF(Table13[[#This Row],[آیا
Achech  &gt;  Atree]]=1, 0.65, 1)</f>
        <v>0.65</v>
      </c>
      <c r="N5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600</v>
      </c>
      <c r="O5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7.5</v>
      </c>
    </row>
    <row r="52" spans="2:15" x14ac:dyDescent="0.3">
      <c r="B52" s="4" t="s">
        <v>290</v>
      </c>
      <c r="C52" s="4">
        <v>715</v>
      </c>
      <c r="D52" s="4">
        <v>715</v>
      </c>
      <c r="E52" s="4">
        <v>1500</v>
      </c>
      <c r="F52" s="4">
        <v>1500</v>
      </c>
      <c r="G52" s="16" t="s">
        <v>286</v>
      </c>
      <c r="H52" s="4">
        <v>9</v>
      </c>
      <c r="I52" s="4">
        <f>Table13[[#This Row],[تعداد کل درخت‏های تحت آبیاری
(اصله مستقل)
(N)]]*Table13[[#This Row],[سطح پوشش مفروض برای هر درخت
(متر مربع)]]</f>
        <v>6435</v>
      </c>
      <c r="J5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5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52" s="8">
        <f>IF(Table13[[#This Row],[آیا
Achech  &gt;  Atree]]=1, 1, Table13[[#This Row],[Psh]]+(0.15*(1-Table13[[#This Row],[Psh]])))</f>
        <v>1</v>
      </c>
      <c r="M52" s="8">
        <f>IF(Table13[[#This Row],[آیا
Achech  &gt;  Atree]]=1, 0.65, 1)</f>
        <v>0.65</v>
      </c>
      <c r="N5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1500</v>
      </c>
      <c r="O5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2.0979020979020979</v>
      </c>
    </row>
    <row r="53" spans="2:15" x14ac:dyDescent="0.3">
      <c r="B53" s="4" t="s">
        <v>291</v>
      </c>
      <c r="C53" s="4">
        <v>6375</v>
      </c>
      <c r="D53" s="4">
        <v>5895</v>
      </c>
      <c r="E53" s="4">
        <v>64385</v>
      </c>
      <c r="F53" s="4">
        <v>64385</v>
      </c>
      <c r="G53" s="16" t="s">
        <v>286</v>
      </c>
      <c r="H53" s="4">
        <v>9</v>
      </c>
      <c r="I53" s="4">
        <f>Table13[[#This Row],[تعداد کل درخت‏های تحت آبیاری
(اصله مستقل)
(N)]]*Table13[[#This Row],[سطح پوشش مفروض برای هر درخت
(متر مربع)]]</f>
        <v>53055</v>
      </c>
      <c r="J5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5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0.82402733555952479</v>
      </c>
      <c r="L53" s="8">
        <f>IF(Table13[[#This Row],[آیا
Achech  &gt;  Atree]]=1, 1, Table13[[#This Row],[Psh]]+(0.15*(1-Table13[[#This Row],[Psh]])))</f>
        <v>0.85042323522559604</v>
      </c>
      <c r="M53" s="8">
        <f>IF(Table13[[#This Row],[آیا
Achech  &gt;  Atree]]=1, 0.65, 1)</f>
        <v>1</v>
      </c>
      <c r="N5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53055</v>
      </c>
      <c r="O5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54" spans="2:15" x14ac:dyDescent="0.3">
      <c r="B54" s="4" t="s">
        <v>292</v>
      </c>
      <c r="C54" s="4">
        <v>977</v>
      </c>
      <c r="D54" s="4">
        <v>974</v>
      </c>
      <c r="E54" s="4">
        <v>4500</v>
      </c>
      <c r="F54" s="4">
        <v>4500</v>
      </c>
      <c r="G54" s="16" t="s">
        <v>286</v>
      </c>
      <c r="H54" s="4">
        <v>9</v>
      </c>
      <c r="I54" s="4">
        <f>Table13[[#This Row],[تعداد کل درخت‏های تحت آبیاری
(اصله مستقل)
(N)]]*Table13[[#This Row],[سطح پوشش مفروض برای هر درخت
(متر مربع)]]</f>
        <v>8766</v>
      </c>
      <c r="J5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5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54" s="8">
        <f>IF(Table13[[#This Row],[آیا
Achech  &gt;  Atree]]=1, 1, Table13[[#This Row],[Psh]]+(0.15*(1-Table13[[#This Row],[Psh]])))</f>
        <v>1</v>
      </c>
      <c r="M54" s="8">
        <f>IF(Table13[[#This Row],[آیا
Achech  &gt;  Atree]]=1, 0.65, 1)</f>
        <v>0.65</v>
      </c>
      <c r="N5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4500</v>
      </c>
      <c r="O5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4.6201232032854209</v>
      </c>
    </row>
    <row r="55" spans="2:15" x14ac:dyDescent="0.3">
      <c r="B55" s="4" t="s">
        <v>293</v>
      </c>
      <c r="C55" s="4">
        <v>68</v>
      </c>
      <c r="D55" s="4">
        <v>68</v>
      </c>
      <c r="E55" s="4">
        <v>1300</v>
      </c>
      <c r="F55" s="4">
        <v>1300</v>
      </c>
      <c r="G55" s="16" t="s">
        <v>286</v>
      </c>
      <c r="H55" s="4">
        <v>9</v>
      </c>
      <c r="I55" s="4">
        <f>Table13[[#This Row],[تعداد کل درخت‏های تحت آبیاری
(اصله مستقل)
(N)]]*Table13[[#This Row],[سطح پوشش مفروض برای هر درخت
(متر مربع)]]</f>
        <v>612</v>
      </c>
      <c r="J5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5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0.47076923076923077</v>
      </c>
      <c r="L55" s="8">
        <f>IF(Table13[[#This Row],[آیا
Achech  &gt;  Atree]]=1, 1, Table13[[#This Row],[Psh]]+(0.15*(1-Table13[[#This Row],[Psh]])))</f>
        <v>0.5501538461538461</v>
      </c>
      <c r="M55" s="8">
        <f>IF(Table13[[#This Row],[آیا
Achech  &gt;  Atree]]=1, 0.65, 1)</f>
        <v>1</v>
      </c>
      <c r="N5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612</v>
      </c>
      <c r="O5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56" spans="2:15" x14ac:dyDescent="0.3">
      <c r="B56" s="4" t="s">
        <v>294</v>
      </c>
      <c r="C56" s="4">
        <v>79</v>
      </c>
      <c r="D56" s="4">
        <v>79</v>
      </c>
      <c r="E56" s="4">
        <v>3200</v>
      </c>
      <c r="F56" s="4">
        <v>3200</v>
      </c>
      <c r="G56" s="16" t="s">
        <v>286</v>
      </c>
      <c r="H56" s="4">
        <v>9</v>
      </c>
      <c r="I56" s="4">
        <f>Table13[[#This Row],[تعداد کل درخت‏های تحت آبیاری
(اصله مستقل)
(N)]]*Table13[[#This Row],[سطح پوشش مفروض برای هر درخت
(متر مربع)]]</f>
        <v>711</v>
      </c>
      <c r="J5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5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0.22218750000000001</v>
      </c>
      <c r="L56" s="8">
        <f>IF(Table13[[#This Row],[آیا
Achech  &gt;  Atree]]=1, 1, Table13[[#This Row],[Psh]]+(0.15*(1-Table13[[#This Row],[Psh]])))</f>
        <v>0.33885937500000002</v>
      </c>
      <c r="M56" s="8">
        <f>IF(Table13[[#This Row],[آیا
Achech  &gt;  Atree]]=1, 0.65, 1)</f>
        <v>1</v>
      </c>
      <c r="N5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711</v>
      </c>
      <c r="O5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57" spans="2:15" x14ac:dyDescent="0.3">
      <c r="B57" s="4" t="s">
        <v>295</v>
      </c>
      <c r="C57" s="4">
        <v>830</v>
      </c>
      <c r="D57" s="4">
        <v>830</v>
      </c>
      <c r="E57" s="4">
        <v>57500</v>
      </c>
      <c r="F57" s="4">
        <v>57500</v>
      </c>
      <c r="G57" s="16" t="s">
        <v>286</v>
      </c>
      <c r="H57" s="4">
        <v>9</v>
      </c>
      <c r="I57" s="4">
        <f>Table13[[#This Row],[تعداد کل درخت‏های تحت آبیاری
(اصله مستقل)
(N)]]*Table13[[#This Row],[سطح پوشش مفروض برای هر درخت
(متر مربع)]]</f>
        <v>7470</v>
      </c>
      <c r="J5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5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0.12991304347826088</v>
      </c>
      <c r="L57" s="8">
        <f>IF(Table13[[#This Row],[آیا
Achech  &gt;  Atree]]=1, 1, Table13[[#This Row],[Psh]]+(0.15*(1-Table13[[#This Row],[Psh]])))</f>
        <v>0.2604260869565217</v>
      </c>
      <c r="M57" s="8">
        <f>IF(Table13[[#This Row],[آیا
Achech  &gt;  Atree]]=1, 0.65, 1)</f>
        <v>1</v>
      </c>
      <c r="N5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7470</v>
      </c>
      <c r="O5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58" spans="2:15" x14ac:dyDescent="0.3">
      <c r="B58" s="4" t="s">
        <v>318</v>
      </c>
      <c r="C58" s="4">
        <v>517</v>
      </c>
      <c r="D58" s="4">
        <v>153</v>
      </c>
      <c r="E58" s="4">
        <v>2180</v>
      </c>
      <c r="F58" s="4">
        <v>10294</v>
      </c>
      <c r="G58" s="16" t="s">
        <v>319</v>
      </c>
      <c r="H58" s="4">
        <v>9</v>
      </c>
      <c r="I58" s="4">
        <f>Table13[[#This Row],[تعداد کل درخت‏های تحت آبیاری
(اصله مستقل)
(N)]]*Table13[[#This Row],[سطح پوشش مفروض برای هر درخت
(متر مربع)]]</f>
        <v>1377</v>
      </c>
      <c r="J5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5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0.63165137614678901</v>
      </c>
      <c r="L58" s="8">
        <f>IF(Table13[[#This Row],[آیا
Achech  &gt;  Atree]]=1, 1, Table13[[#This Row],[Psh]]+(0.15*(1-Table13[[#This Row],[Psh]])))</f>
        <v>0.68690366972477068</v>
      </c>
      <c r="M58" s="8">
        <f>IF(Table13[[#This Row],[آیا
Achech  &gt;  Atree]]=1, 0.65, 1)</f>
        <v>1</v>
      </c>
      <c r="N5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1377</v>
      </c>
      <c r="O5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59" spans="2:15" x14ac:dyDescent="0.3">
      <c r="B59" s="4" t="s">
        <v>324</v>
      </c>
      <c r="C59" s="4">
        <v>5072</v>
      </c>
      <c r="D59" s="4">
        <v>1144</v>
      </c>
      <c r="E59" s="4">
        <v>9811</v>
      </c>
      <c r="F59" s="4">
        <v>177996</v>
      </c>
      <c r="G59" s="16" t="s">
        <v>78</v>
      </c>
      <c r="H59" s="4">
        <v>9</v>
      </c>
      <c r="I59" s="4">
        <f>Table13[[#This Row],[تعداد کل درخت‏های تحت آبیاری
(اصله مستقل)
(N)]]*Table13[[#This Row],[سطح پوشش مفروض برای هر درخت
(متر مربع)]]</f>
        <v>10296</v>
      </c>
      <c r="J5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5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59" s="8">
        <f>IF(Table13[[#This Row],[آیا
Achech  &gt;  Atree]]=1, 1, Table13[[#This Row],[Psh]]+(0.15*(1-Table13[[#This Row],[Psh]])))</f>
        <v>1</v>
      </c>
      <c r="M59" s="8">
        <f>IF(Table13[[#This Row],[آیا
Achech  &gt;  Atree]]=1, 0.65, 1)</f>
        <v>0.65</v>
      </c>
      <c r="N5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9811</v>
      </c>
      <c r="O5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8.5760489510489517</v>
      </c>
    </row>
    <row r="60" spans="2:15" x14ac:dyDescent="0.3">
      <c r="B60" s="4" t="s">
        <v>331</v>
      </c>
      <c r="C60" s="4">
        <v>339</v>
      </c>
      <c r="D60" s="4">
        <v>75</v>
      </c>
      <c r="E60" s="4">
        <v>700</v>
      </c>
      <c r="F60" s="4">
        <v>2668</v>
      </c>
      <c r="G60" s="16" t="s">
        <v>7</v>
      </c>
      <c r="H60" s="4">
        <v>9</v>
      </c>
      <c r="I60" s="4">
        <f>Table13[[#This Row],[تعداد کل درخت‏های تحت آبیاری
(اصله مستقل)
(N)]]*Table13[[#This Row],[سطح پوشش مفروض برای هر درخت
(متر مربع)]]</f>
        <v>675</v>
      </c>
      <c r="J6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6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0.9642857142857143</v>
      </c>
      <c r="L60" s="8">
        <f>IF(Table13[[#This Row],[آیا
Achech  &gt;  Atree]]=1, 1, Table13[[#This Row],[Psh]]+(0.15*(1-Table13[[#This Row],[Psh]])))</f>
        <v>0.96964285714285714</v>
      </c>
      <c r="M60" s="8">
        <f>IF(Table13[[#This Row],[آیا
Achech  &gt;  Atree]]=1, 0.65, 1)</f>
        <v>1</v>
      </c>
      <c r="N6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675</v>
      </c>
      <c r="O6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61" spans="2:15" x14ac:dyDescent="0.3">
      <c r="B61" s="4" t="s">
        <v>332</v>
      </c>
      <c r="C61" s="4">
        <v>294</v>
      </c>
      <c r="D61" s="4">
        <v>294</v>
      </c>
      <c r="E61" s="4">
        <v>2500</v>
      </c>
      <c r="F61" s="4">
        <v>2500</v>
      </c>
      <c r="G61" s="16" t="s">
        <v>286</v>
      </c>
      <c r="H61" s="4">
        <v>9</v>
      </c>
      <c r="I61" s="4">
        <f>Table13[[#This Row],[تعداد کل درخت‏های تحت آبیاری
(اصله مستقل)
(N)]]*Table13[[#This Row],[سطح پوشش مفروض برای هر درخت
(متر مربع)]]</f>
        <v>2646</v>
      </c>
      <c r="J6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6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61" s="8">
        <f>IF(Table13[[#This Row],[آیا
Achech  &gt;  Atree]]=1, 1, Table13[[#This Row],[Psh]]+(0.15*(1-Table13[[#This Row],[Psh]])))</f>
        <v>1</v>
      </c>
      <c r="M61" s="8">
        <f>IF(Table13[[#This Row],[آیا
Achech  &gt;  Atree]]=1, 0.65, 1)</f>
        <v>0.65</v>
      </c>
      <c r="N6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2500</v>
      </c>
      <c r="O6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8.5034013605442169</v>
      </c>
    </row>
    <row r="62" spans="2:15" x14ac:dyDescent="0.3">
      <c r="B62" s="4" t="s">
        <v>333</v>
      </c>
      <c r="C62" s="4">
        <v>1780</v>
      </c>
      <c r="D62" s="4">
        <v>2112</v>
      </c>
      <c r="E62" s="4">
        <v>28500</v>
      </c>
      <c r="F62" s="4">
        <v>28500</v>
      </c>
      <c r="G62" s="16" t="s">
        <v>286</v>
      </c>
      <c r="H62" s="4">
        <v>9</v>
      </c>
      <c r="I62" s="4">
        <f>Table13[[#This Row],[تعداد کل درخت‏های تحت آبیاری
(اصله مستقل)
(N)]]*Table13[[#This Row],[سطح پوشش مفروض برای هر درخت
(متر مربع)]]</f>
        <v>19008</v>
      </c>
      <c r="J6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6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0.66694736842105262</v>
      </c>
      <c r="L62" s="8">
        <f>IF(Table13[[#This Row],[آیا
Achech  &gt;  Atree]]=1, 1, Table13[[#This Row],[Psh]]+(0.15*(1-Table13[[#This Row],[Psh]])))</f>
        <v>0.71690526315789471</v>
      </c>
      <c r="M62" s="8">
        <f>IF(Table13[[#This Row],[آیا
Achech  &gt;  Atree]]=1, 0.65, 1)</f>
        <v>1</v>
      </c>
      <c r="N6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19008</v>
      </c>
      <c r="O6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63" spans="2:15" x14ac:dyDescent="0.3">
      <c r="B63" s="4" t="s">
        <v>339</v>
      </c>
      <c r="C63" s="4">
        <v>1057</v>
      </c>
      <c r="D63" s="4">
        <v>25</v>
      </c>
      <c r="E63" s="4">
        <v>25</v>
      </c>
      <c r="F63" s="4">
        <v>13380</v>
      </c>
      <c r="G63" s="16" t="s">
        <v>7</v>
      </c>
      <c r="H63" s="4">
        <v>9</v>
      </c>
      <c r="I63" s="4">
        <f>Table13[[#This Row],[تعداد کل درخت‏های تحت آبیاری
(اصله مستقل)
(N)]]*Table13[[#This Row],[سطح پوشش مفروض برای هر درخت
(متر مربع)]]</f>
        <v>225</v>
      </c>
      <c r="J6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6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63" s="8">
        <f>IF(Table13[[#This Row],[آیا
Achech  &gt;  Atree]]=1, 1, Table13[[#This Row],[Psh]]+(0.15*(1-Table13[[#This Row],[Psh]])))</f>
        <v>1</v>
      </c>
      <c r="M63" s="8">
        <f>IF(Table13[[#This Row],[آیا
Achech  &gt;  Atree]]=1, 0.65, 1)</f>
        <v>0.65</v>
      </c>
      <c r="N6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25</v>
      </c>
      <c r="O6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64" spans="2:15" x14ac:dyDescent="0.3">
      <c r="B64" s="4" t="s">
        <v>341</v>
      </c>
      <c r="C64" s="4">
        <v>463</v>
      </c>
      <c r="D64" s="4">
        <v>57</v>
      </c>
      <c r="E64" s="4">
        <v>57</v>
      </c>
      <c r="F64" s="4">
        <v>7481</v>
      </c>
      <c r="G64" s="16" t="s">
        <v>7</v>
      </c>
      <c r="H64" s="4">
        <v>9</v>
      </c>
      <c r="I64" s="4">
        <f>Table13[[#This Row],[تعداد کل درخت‏های تحت آبیاری
(اصله مستقل)
(N)]]*Table13[[#This Row],[سطح پوشش مفروض برای هر درخت
(متر مربع)]]</f>
        <v>513</v>
      </c>
      <c r="J6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6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64" s="8">
        <f>IF(Table13[[#This Row],[آیا
Achech  &gt;  Atree]]=1, 1, Table13[[#This Row],[Psh]]+(0.15*(1-Table13[[#This Row],[Psh]])))</f>
        <v>1</v>
      </c>
      <c r="M64" s="8">
        <f>IF(Table13[[#This Row],[آیا
Achech  &gt;  Atree]]=1, 0.65, 1)</f>
        <v>0.65</v>
      </c>
      <c r="N6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57</v>
      </c>
      <c r="O6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65" spans="2:15" x14ac:dyDescent="0.3">
      <c r="B65" s="4" t="s">
        <v>342</v>
      </c>
      <c r="C65" s="4">
        <v>90</v>
      </c>
      <c r="D65" s="4">
        <v>15</v>
      </c>
      <c r="E65" s="4">
        <v>60</v>
      </c>
      <c r="F65" s="4">
        <v>2576</v>
      </c>
      <c r="G65" s="16" t="s">
        <v>7</v>
      </c>
      <c r="H65" s="4">
        <v>9</v>
      </c>
      <c r="I65" s="4">
        <f>Table13[[#This Row],[تعداد کل درخت‏های تحت آبیاری
(اصله مستقل)
(N)]]*Table13[[#This Row],[سطح پوشش مفروض برای هر درخت
(متر مربع)]]</f>
        <v>135</v>
      </c>
      <c r="J6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6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65" s="8">
        <f>IF(Table13[[#This Row],[آیا
Achech  &gt;  Atree]]=1, 1, Table13[[#This Row],[Psh]]+(0.15*(1-Table13[[#This Row],[Psh]])))</f>
        <v>1</v>
      </c>
      <c r="M65" s="8">
        <f>IF(Table13[[#This Row],[آیا
Achech  &gt;  Atree]]=1, 0.65, 1)</f>
        <v>0.65</v>
      </c>
      <c r="N6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60</v>
      </c>
      <c r="O6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</v>
      </c>
    </row>
    <row r="66" spans="2:15" x14ac:dyDescent="0.3">
      <c r="B66" s="4" t="s">
        <v>352</v>
      </c>
      <c r="C66" s="4">
        <v>45</v>
      </c>
      <c r="D66" s="4">
        <v>8</v>
      </c>
      <c r="E66" s="4">
        <v>41</v>
      </c>
      <c r="F66" s="4">
        <v>742</v>
      </c>
      <c r="G66" s="16" t="s">
        <v>7</v>
      </c>
      <c r="H66" s="4">
        <v>9</v>
      </c>
      <c r="I66" s="4">
        <f>Table13[[#This Row],[تعداد کل درخت‏های تحت آبیاری
(اصله مستقل)
(N)]]*Table13[[#This Row],[سطح پوشش مفروض برای هر درخت
(متر مربع)]]</f>
        <v>72</v>
      </c>
      <c r="J6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6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66" s="8">
        <f>IF(Table13[[#This Row],[آیا
Achech  &gt;  Atree]]=1, 1, Table13[[#This Row],[Psh]]+(0.15*(1-Table13[[#This Row],[Psh]])))</f>
        <v>1</v>
      </c>
      <c r="M66" s="8">
        <f>IF(Table13[[#This Row],[آیا
Achech  &gt;  Atree]]=1, 0.65, 1)</f>
        <v>0.65</v>
      </c>
      <c r="N6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41</v>
      </c>
      <c r="O6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5.125</v>
      </c>
    </row>
    <row r="67" spans="2:15" x14ac:dyDescent="0.3">
      <c r="B67" s="4" t="s">
        <v>354</v>
      </c>
      <c r="C67" s="4">
        <v>203</v>
      </c>
      <c r="D67" s="4">
        <v>24</v>
      </c>
      <c r="E67" s="4">
        <v>48</v>
      </c>
      <c r="F67" s="4">
        <v>4204</v>
      </c>
      <c r="G67" s="16" t="s">
        <v>7</v>
      </c>
      <c r="H67" s="4">
        <v>9</v>
      </c>
      <c r="I67" s="4">
        <f>Table13[[#This Row],[تعداد کل درخت‏های تحت آبیاری
(اصله مستقل)
(N)]]*Table13[[#This Row],[سطح پوشش مفروض برای هر درخت
(متر مربع)]]</f>
        <v>216</v>
      </c>
      <c r="J6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6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67" s="8">
        <f>IF(Table13[[#This Row],[آیا
Achech  &gt;  Atree]]=1, 1, Table13[[#This Row],[Psh]]+(0.15*(1-Table13[[#This Row],[Psh]])))</f>
        <v>1</v>
      </c>
      <c r="M67" s="8">
        <f>IF(Table13[[#This Row],[آیا
Achech  &gt;  Atree]]=1, 0.65, 1)</f>
        <v>0.65</v>
      </c>
      <c r="N6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48</v>
      </c>
      <c r="O6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</v>
      </c>
    </row>
    <row r="68" spans="2:15" x14ac:dyDescent="0.3">
      <c r="B68" s="4" t="s">
        <v>355</v>
      </c>
      <c r="C68" s="4">
        <v>535</v>
      </c>
      <c r="D68" s="4">
        <v>220</v>
      </c>
      <c r="E68" s="4">
        <v>579</v>
      </c>
      <c r="F68" s="4">
        <v>8564</v>
      </c>
      <c r="G68" s="16" t="s">
        <v>7</v>
      </c>
      <c r="H68" s="4">
        <v>9</v>
      </c>
      <c r="I68" s="4">
        <f>Table13[[#This Row],[تعداد کل درخت‏های تحت آبیاری
(اصله مستقل)
(N)]]*Table13[[#This Row],[سطح پوشش مفروض برای هر درخت
(متر مربع)]]</f>
        <v>1980</v>
      </c>
      <c r="J6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6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68" s="8">
        <f>IF(Table13[[#This Row],[آیا
Achech  &gt;  Atree]]=1, 1, Table13[[#This Row],[Psh]]+(0.15*(1-Table13[[#This Row],[Psh]])))</f>
        <v>1</v>
      </c>
      <c r="M68" s="8">
        <f>IF(Table13[[#This Row],[آیا
Achech  &gt;  Atree]]=1, 0.65, 1)</f>
        <v>0.65</v>
      </c>
      <c r="N6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579</v>
      </c>
      <c r="O6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2.6318181818181818</v>
      </c>
    </row>
    <row r="69" spans="2:15" x14ac:dyDescent="0.3">
      <c r="B69" s="4" t="s">
        <v>356</v>
      </c>
      <c r="C69" s="4">
        <v>603</v>
      </c>
      <c r="D69" s="4">
        <v>86</v>
      </c>
      <c r="E69" s="4">
        <v>250</v>
      </c>
      <c r="F69" s="4">
        <v>20558</v>
      </c>
      <c r="G69" s="16" t="s">
        <v>7</v>
      </c>
      <c r="H69" s="4">
        <v>9</v>
      </c>
      <c r="I69" s="4">
        <f>Table13[[#This Row],[تعداد کل درخت‏های تحت آبیاری
(اصله مستقل)
(N)]]*Table13[[#This Row],[سطح پوشش مفروض برای هر درخت
(متر مربع)]]</f>
        <v>774</v>
      </c>
      <c r="J6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6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69" s="8">
        <f>IF(Table13[[#This Row],[آیا
Achech  &gt;  Atree]]=1, 1, Table13[[#This Row],[Psh]]+(0.15*(1-Table13[[#This Row],[Psh]])))</f>
        <v>1</v>
      </c>
      <c r="M69" s="8">
        <f>IF(Table13[[#This Row],[آیا
Achech  &gt;  Atree]]=1, 0.65, 1)</f>
        <v>0.65</v>
      </c>
      <c r="N6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250</v>
      </c>
      <c r="O6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2.9069767441860463</v>
      </c>
    </row>
    <row r="70" spans="2:15" x14ac:dyDescent="0.3">
      <c r="B70" s="4" t="s">
        <v>357</v>
      </c>
      <c r="C70" s="4">
        <v>304</v>
      </c>
      <c r="D70" s="4">
        <v>92</v>
      </c>
      <c r="E70" s="4">
        <v>250</v>
      </c>
      <c r="F70" s="4">
        <v>7017</v>
      </c>
      <c r="G70" s="16" t="s">
        <v>7</v>
      </c>
      <c r="H70" s="4">
        <v>9</v>
      </c>
      <c r="I70" s="4">
        <f>Table13[[#This Row],[تعداد کل درخت‏های تحت آبیاری
(اصله مستقل)
(N)]]*Table13[[#This Row],[سطح پوشش مفروض برای هر درخت
(متر مربع)]]</f>
        <v>828</v>
      </c>
      <c r="J7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7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70" s="8">
        <f>IF(Table13[[#This Row],[آیا
Achech  &gt;  Atree]]=1, 1, Table13[[#This Row],[Psh]]+(0.15*(1-Table13[[#This Row],[Psh]])))</f>
        <v>1</v>
      </c>
      <c r="M70" s="8">
        <f>IF(Table13[[#This Row],[آیا
Achech  &gt;  Atree]]=1, 0.65, 1)</f>
        <v>0.65</v>
      </c>
      <c r="N7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250</v>
      </c>
      <c r="O7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2.7173913043478262</v>
      </c>
    </row>
    <row r="71" spans="2:15" x14ac:dyDescent="0.3">
      <c r="B71" s="4" t="s">
        <v>358</v>
      </c>
      <c r="C71" s="4">
        <v>197</v>
      </c>
      <c r="D71" s="4">
        <v>20</v>
      </c>
      <c r="E71" s="4">
        <v>35</v>
      </c>
      <c r="F71" s="4">
        <v>5941</v>
      </c>
      <c r="G71" s="16" t="s">
        <v>7</v>
      </c>
      <c r="H71" s="4">
        <v>9</v>
      </c>
      <c r="I71" s="4">
        <f>Table13[[#This Row],[تعداد کل درخت‏های تحت آبیاری
(اصله مستقل)
(N)]]*Table13[[#This Row],[سطح پوشش مفروض برای هر درخت
(متر مربع)]]</f>
        <v>180</v>
      </c>
      <c r="J7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7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71" s="8">
        <f>IF(Table13[[#This Row],[آیا
Achech  &gt;  Atree]]=1, 1, Table13[[#This Row],[Psh]]+(0.15*(1-Table13[[#This Row],[Psh]])))</f>
        <v>1</v>
      </c>
      <c r="M71" s="8">
        <f>IF(Table13[[#This Row],[آیا
Achech  &gt;  Atree]]=1, 0.65, 1)</f>
        <v>0.65</v>
      </c>
      <c r="N7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35</v>
      </c>
      <c r="O7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1.75</v>
      </c>
    </row>
    <row r="72" spans="2:15" x14ac:dyDescent="0.3">
      <c r="B72" s="4" t="s">
        <v>359</v>
      </c>
      <c r="C72" s="4">
        <v>145</v>
      </c>
      <c r="D72" s="4">
        <v>10</v>
      </c>
      <c r="E72" s="4">
        <v>20</v>
      </c>
      <c r="F72" s="4">
        <v>5737</v>
      </c>
      <c r="G72" s="16" t="s">
        <v>7</v>
      </c>
      <c r="H72" s="4">
        <v>9</v>
      </c>
      <c r="I72" s="4">
        <f>Table13[[#This Row],[تعداد کل درخت‏های تحت آبیاری
(اصله مستقل)
(N)]]*Table13[[#This Row],[سطح پوشش مفروض برای هر درخت
(متر مربع)]]</f>
        <v>90</v>
      </c>
      <c r="J7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7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72" s="8">
        <f>IF(Table13[[#This Row],[آیا
Achech  &gt;  Atree]]=1, 1, Table13[[#This Row],[Psh]]+(0.15*(1-Table13[[#This Row],[Psh]])))</f>
        <v>1</v>
      </c>
      <c r="M72" s="8">
        <f>IF(Table13[[#This Row],[آیا
Achech  &gt;  Atree]]=1, 0.65, 1)</f>
        <v>0.65</v>
      </c>
      <c r="N7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20</v>
      </c>
      <c r="O7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</v>
      </c>
    </row>
    <row r="73" spans="2:15" x14ac:dyDescent="0.3">
      <c r="B73" s="4" t="s">
        <v>360</v>
      </c>
      <c r="C73" s="4">
        <v>153</v>
      </c>
      <c r="D73" s="4">
        <v>4</v>
      </c>
      <c r="E73" s="4">
        <v>18</v>
      </c>
      <c r="F73" s="4">
        <v>3992</v>
      </c>
      <c r="G73" s="16" t="s">
        <v>7</v>
      </c>
      <c r="H73" s="4">
        <v>9</v>
      </c>
      <c r="I73" s="4">
        <f>Table13[[#This Row],[تعداد کل درخت‏های تحت آبیاری
(اصله مستقل)
(N)]]*Table13[[#This Row],[سطح پوشش مفروض برای هر درخت
(متر مربع)]]</f>
        <v>36</v>
      </c>
      <c r="J7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7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73" s="8">
        <f>IF(Table13[[#This Row],[آیا
Achech  &gt;  Atree]]=1, 1, Table13[[#This Row],[Psh]]+(0.15*(1-Table13[[#This Row],[Psh]])))</f>
        <v>1</v>
      </c>
      <c r="M73" s="8">
        <f>IF(Table13[[#This Row],[آیا
Achech  &gt;  Atree]]=1, 0.65, 1)</f>
        <v>0.65</v>
      </c>
      <c r="N7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18</v>
      </c>
      <c r="O7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4.5</v>
      </c>
    </row>
    <row r="74" spans="2:15" x14ac:dyDescent="0.3">
      <c r="B74" s="4" t="s">
        <v>361</v>
      </c>
      <c r="C74" s="4">
        <v>326</v>
      </c>
      <c r="D74" s="4">
        <v>185</v>
      </c>
      <c r="E74" s="4">
        <v>1950</v>
      </c>
      <c r="F74" s="4">
        <v>3549</v>
      </c>
      <c r="G74" s="16" t="s">
        <v>7</v>
      </c>
      <c r="H74" s="4">
        <v>9</v>
      </c>
      <c r="I74" s="4">
        <f>Table13[[#This Row],[تعداد کل درخت‏های تحت آبیاری
(اصله مستقل)
(N)]]*Table13[[#This Row],[سطح پوشش مفروض برای هر درخت
(متر مربع)]]</f>
        <v>1665</v>
      </c>
      <c r="J7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7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0.85384615384615381</v>
      </c>
      <c r="L74" s="8">
        <f>IF(Table13[[#This Row],[آیا
Achech  &gt;  Atree]]=1, 1, Table13[[#This Row],[Psh]]+(0.15*(1-Table13[[#This Row],[Psh]])))</f>
        <v>0.87576923076923074</v>
      </c>
      <c r="M74" s="8">
        <f>IF(Table13[[#This Row],[آیا
Achech  &gt;  Atree]]=1, 0.65, 1)</f>
        <v>1</v>
      </c>
      <c r="N7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1665</v>
      </c>
      <c r="O7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75" spans="2:15" x14ac:dyDescent="0.3">
      <c r="B75" s="4" t="s">
        <v>362</v>
      </c>
      <c r="C75" s="4">
        <v>80</v>
      </c>
      <c r="D75" s="4">
        <v>94</v>
      </c>
      <c r="E75" s="4">
        <v>200</v>
      </c>
      <c r="F75" s="4">
        <v>1451</v>
      </c>
      <c r="G75" s="16" t="s">
        <v>7</v>
      </c>
      <c r="H75" s="4">
        <v>9</v>
      </c>
      <c r="I75" s="4">
        <f>Table13[[#This Row],[تعداد کل درخت‏های تحت آبیاری
(اصله مستقل)
(N)]]*Table13[[#This Row],[سطح پوشش مفروض برای هر درخت
(متر مربع)]]</f>
        <v>846</v>
      </c>
      <c r="J7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7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75" s="8">
        <f>IF(Table13[[#This Row],[آیا
Achech  &gt;  Atree]]=1, 1, Table13[[#This Row],[Psh]]+(0.15*(1-Table13[[#This Row],[Psh]])))</f>
        <v>1</v>
      </c>
      <c r="M75" s="8">
        <f>IF(Table13[[#This Row],[آیا
Achech  &gt;  Atree]]=1, 0.65, 1)</f>
        <v>0.65</v>
      </c>
      <c r="N7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200</v>
      </c>
      <c r="O7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2.1276595744680851</v>
      </c>
    </row>
    <row r="76" spans="2:15" x14ac:dyDescent="0.3">
      <c r="B76" s="4" t="s">
        <v>363</v>
      </c>
      <c r="C76" s="4">
        <v>248</v>
      </c>
      <c r="D76" s="4">
        <v>38</v>
      </c>
      <c r="E76" s="4">
        <v>60</v>
      </c>
      <c r="F76" s="4">
        <v>4393</v>
      </c>
      <c r="G76" s="16" t="s">
        <v>7</v>
      </c>
      <c r="H76" s="4">
        <v>9</v>
      </c>
      <c r="I76" s="4">
        <f>Table13[[#This Row],[تعداد کل درخت‏های تحت آبیاری
(اصله مستقل)
(N)]]*Table13[[#This Row],[سطح پوشش مفروض برای هر درخت
(متر مربع)]]</f>
        <v>342</v>
      </c>
      <c r="J7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7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76" s="8">
        <f>IF(Table13[[#This Row],[آیا
Achech  &gt;  Atree]]=1, 1, Table13[[#This Row],[Psh]]+(0.15*(1-Table13[[#This Row],[Psh]])))</f>
        <v>1</v>
      </c>
      <c r="M76" s="8">
        <f>IF(Table13[[#This Row],[آیا
Achech  &gt;  Atree]]=1, 0.65, 1)</f>
        <v>0.65</v>
      </c>
      <c r="N7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60</v>
      </c>
      <c r="O7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1.5789473684210527</v>
      </c>
    </row>
    <row r="77" spans="2:15" x14ac:dyDescent="0.3">
      <c r="B77" s="4" t="s">
        <v>364</v>
      </c>
      <c r="C77" s="4">
        <v>75</v>
      </c>
      <c r="D77" s="4">
        <v>10</v>
      </c>
      <c r="E77" s="4">
        <v>50</v>
      </c>
      <c r="F77" s="4">
        <v>3555</v>
      </c>
      <c r="G77" s="16" t="s">
        <v>7</v>
      </c>
      <c r="H77" s="4">
        <v>9</v>
      </c>
      <c r="I77" s="4">
        <f>Table13[[#This Row],[تعداد کل درخت‏های تحت آبیاری
(اصله مستقل)
(N)]]*Table13[[#This Row],[سطح پوشش مفروض برای هر درخت
(متر مربع)]]</f>
        <v>90</v>
      </c>
      <c r="J7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7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77" s="8">
        <f>IF(Table13[[#This Row],[آیا
Achech  &gt;  Atree]]=1, 1, Table13[[#This Row],[Psh]]+(0.15*(1-Table13[[#This Row],[Psh]])))</f>
        <v>1</v>
      </c>
      <c r="M77" s="8">
        <f>IF(Table13[[#This Row],[آیا
Achech  &gt;  Atree]]=1, 0.65, 1)</f>
        <v>0.65</v>
      </c>
      <c r="N7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50</v>
      </c>
      <c r="O7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</v>
      </c>
    </row>
    <row r="78" spans="2:15" x14ac:dyDescent="0.3">
      <c r="B78" s="4" t="s">
        <v>367</v>
      </c>
      <c r="C78" s="4">
        <v>296</v>
      </c>
      <c r="D78" s="4">
        <v>51</v>
      </c>
      <c r="E78" s="4">
        <v>25</v>
      </c>
      <c r="F78" s="4">
        <v>5739</v>
      </c>
      <c r="G78" s="16" t="s">
        <v>7</v>
      </c>
      <c r="H78" s="4">
        <v>9</v>
      </c>
      <c r="I78" s="4">
        <f>Table13[[#This Row],[تعداد کل درخت‏های تحت آبیاری
(اصله مستقل)
(N)]]*Table13[[#This Row],[سطح پوشش مفروض برای هر درخت
(متر مربع)]]</f>
        <v>459</v>
      </c>
      <c r="J7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7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78" s="8">
        <f>IF(Table13[[#This Row],[آیا
Achech  &gt;  Atree]]=1, 1, Table13[[#This Row],[Psh]]+(0.15*(1-Table13[[#This Row],[Psh]])))</f>
        <v>1</v>
      </c>
      <c r="M78" s="8">
        <f>IF(Table13[[#This Row],[آیا
Achech  &gt;  Atree]]=1, 0.65, 1)</f>
        <v>0.65</v>
      </c>
      <c r="N7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25</v>
      </c>
      <c r="O7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0.49019607843137253</v>
      </c>
    </row>
    <row r="79" spans="2:15" x14ac:dyDescent="0.3">
      <c r="B79" s="4" t="s">
        <v>368</v>
      </c>
      <c r="C79" s="4">
        <v>205</v>
      </c>
      <c r="D79" s="4">
        <v>30</v>
      </c>
      <c r="E79" s="4">
        <v>100</v>
      </c>
      <c r="F79" s="4">
        <v>2087.5</v>
      </c>
      <c r="G79" s="16" t="s">
        <v>7</v>
      </c>
      <c r="H79" s="4">
        <v>9</v>
      </c>
      <c r="I79" s="4">
        <f>Table13[[#This Row],[تعداد کل درخت‏های تحت آبیاری
(اصله مستقل)
(N)]]*Table13[[#This Row],[سطح پوشش مفروض برای هر درخت
(متر مربع)]]</f>
        <v>270</v>
      </c>
      <c r="J7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7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79" s="8">
        <f>IF(Table13[[#This Row],[آیا
Achech  &gt;  Atree]]=1, 1, Table13[[#This Row],[Psh]]+(0.15*(1-Table13[[#This Row],[Psh]])))</f>
        <v>1</v>
      </c>
      <c r="M79" s="8">
        <f>IF(Table13[[#This Row],[آیا
Achech  &gt;  Atree]]=1, 0.65, 1)</f>
        <v>0.65</v>
      </c>
      <c r="N7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100</v>
      </c>
      <c r="O7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3.3333333333333335</v>
      </c>
    </row>
    <row r="80" spans="2:15" x14ac:dyDescent="0.3">
      <c r="B80" s="4" t="s">
        <v>369</v>
      </c>
      <c r="C80" s="4">
        <v>3592</v>
      </c>
      <c r="D80" s="4">
        <v>186</v>
      </c>
      <c r="E80" s="4">
        <v>267</v>
      </c>
      <c r="F80" s="4">
        <v>92144</v>
      </c>
      <c r="G80" s="16" t="s">
        <v>78</v>
      </c>
      <c r="H80" s="4">
        <v>9</v>
      </c>
      <c r="I80" s="4">
        <f>Table13[[#This Row],[تعداد کل درخت‏های تحت آبیاری
(اصله مستقل)
(N)]]*Table13[[#This Row],[سطح پوشش مفروض برای هر درخت
(متر مربع)]]</f>
        <v>1674</v>
      </c>
      <c r="J8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8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80" s="8">
        <f>IF(Table13[[#This Row],[آیا
Achech  &gt;  Atree]]=1, 1, Table13[[#This Row],[Psh]]+(0.15*(1-Table13[[#This Row],[Psh]])))</f>
        <v>1</v>
      </c>
      <c r="M80" s="8">
        <f>IF(Table13[[#This Row],[آیا
Achech  &gt;  Atree]]=1, 0.65, 1)</f>
        <v>0.65</v>
      </c>
      <c r="N8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267</v>
      </c>
      <c r="O8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1.435483870967742</v>
      </c>
    </row>
    <row r="81" spans="2:15" x14ac:dyDescent="0.3">
      <c r="B81" s="4" t="s">
        <v>370</v>
      </c>
      <c r="C81" s="4">
        <v>519</v>
      </c>
      <c r="D81" s="4">
        <v>35</v>
      </c>
      <c r="E81" s="4">
        <v>35</v>
      </c>
      <c r="F81" s="4">
        <v>9222</v>
      </c>
      <c r="G81" s="16" t="s">
        <v>7</v>
      </c>
      <c r="H81" s="4">
        <v>9</v>
      </c>
      <c r="I81" s="4">
        <f>Table13[[#This Row],[تعداد کل درخت‏های تحت آبیاری
(اصله مستقل)
(N)]]*Table13[[#This Row],[سطح پوشش مفروض برای هر درخت
(متر مربع)]]</f>
        <v>315</v>
      </c>
      <c r="J8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8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81" s="8">
        <f>IF(Table13[[#This Row],[آیا
Achech  &gt;  Atree]]=1, 1, Table13[[#This Row],[Psh]]+(0.15*(1-Table13[[#This Row],[Psh]])))</f>
        <v>1</v>
      </c>
      <c r="M81" s="8">
        <f>IF(Table13[[#This Row],[آیا
Achech  &gt;  Atree]]=1, 0.65, 1)</f>
        <v>0.65</v>
      </c>
      <c r="N8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35</v>
      </c>
      <c r="O8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82" spans="2:15" x14ac:dyDescent="0.3">
      <c r="B82" s="4" t="s">
        <v>371</v>
      </c>
      <c r="C82" s="4">
        <v>1226</v>
      </c>
      <c r="D82" s="4">
        <v>133</v>
      </c>
      <c r="E82" s="4">
        <v>522</v>
      </c>
      <c r="F82" s="4">
        <v>18992</v>
      </c>
      <c r="G82" s="16" t="s">
        <v>7</v>
      </c>
      <c r="H82" s="4">
        <v>9</v>
      </c>
      <c r="I82" s="4">
        <f>Table13[[#This Row],[تعداد کل درخت‏های تحت آبیاری
(اصله مستقل)
(N)]]*Table13[[#This Row],[سطح پوشش مفروض برای هر درخت
(متر مربع)]]</f>
        <v>1197</v>
      </c>
      <c r="J8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8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82" s="8">
        <f>IF(Table13[[#This Row],[آیا
Achech  &gt;  Atree]]=1, 1, Table13[[#This Row],[Psh]]+(0.15*(1-Table13[[#This Row],[Psh]])))</f>
        <v>1</v>
      </c>
      <c r="M82" s="8">
        <f>IF(Table13[[#This Row],[آیا
Achech  &gt;  Atree]]=1, 0.65, 1)</f>
        <v>0.65</v>
      </c>
      <c r="N8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522</v>
      </c>
      <c r="O8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3.9248120300751879</v>
      </c>
    </row>
    <row r="83" spans="2:15" x14ac:dyDescent="0.3">
      <c r="B83" s="4" t="s">
        <v>372</v>
      </c>
      <c r="C83" s="4">
        <v>327</v>
      </c>
      <c r="D83" s="4">
        <v>3</v>
      </c>
      <c r="E83" s="4">
        <v>3</v>
      </c>
      <c r="F83" s="4">
        <v>5682</v>
      </c>
      <c r="G83" s="16" t="s">
        <v>7</v>
      </c>
      <c r="H83" s="4">
        <v>9</v>
      </c>
      <c r="I83" s="4">
        <f>Table13[[#This Row],[تعداد کل درخت‏های تحت آبیاری
(اصله مستقل)
(N)]]*Table13[[#This Row],[سطح پوشش مفروض برای هر درخت
(متر مربع)]]</f>
        <v>27</v>
      </c>
      <c r="J8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8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83" s="8">
        <f>IF(Table13[[#This Row],[آیا
Achech  &gt;  Atree]]=1, 1, Table13[[#This Row],[Psh]]+(0.15*(1-Table13[[#This Row],[Psh]])))</f>
        <v>1</v>
      </c>
      <c r="M83" s="8">
        <f>IF(Table13[[#This Row],[آیا
Achech  &gt;  Atree]]=1, 0.65, 1)</f>
        <v>0.65</v>
      </c>
      <c r="N8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</v>
      </c>
      <c r="O8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84" spans="2:15" x14ac:dyDescent="0.3">
      <c r="B84" s="4" t="s">
        <v>373</v>
      </c>
      <c r="C84" s="4">
        <v>248</v>
      </c>
      <c r="D84" s="4">
        <v>24</v>
      </c>
      <c r="E84" s="4">
        <v>24</v>
      </c>
      <c r="F84" s="4">
        <v>7257.5</v>
      </c>
      <c r="G84" s="16" t="s">
        <v>7</v>
      </c>
      <c r="H84" s="4">
        <v>9</v>
      </c>
      <c r="I84" s="4">
        <f>Table13[[#This Row],[تعداد کل درخت‏های تحت آبیاری
(اصله مستقل)
(N)]]*Table13[[#This Row],[سطح پوشش مفروض برای هر درخت
(متر مربع)]]</f>
        <v>216</v>
      </c>
      <c r="J8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8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84" s="8">
        <f>IF(Table13[[#This Row],[آیا
Achech  &gt;  Atree]]=1, 1, Table13[[#This Row],[Psh]]+(0.15*(1-Table13[[#This Row],[Psh]])))</f>
        <v>1</v>
      </c>
      <c r="M84" s="8">
        <f>IF(Table13[[#This Row],[آیا
Achech  &gt;  Atree]]=1, 0.65, 1)</f>
        <v>0.65</v>
      </c>
      <c r="N8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24</v>
      </c>
      <c r="O8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85" spans="2:15" x14ac:dyDescent="0.3">
      <c r="B85" s="4" t="s">
        <v>374</v>
      </c>
      <c r="C85" s="4">
        <v>296</v>
      </c>
      <c r="D85" s="4">
        <v>76</v>
      </c>
      <c r="E85" s="4">
        <v>120</v>
      </c>
      <c r="F85" s="4">
        <v>8670</v>
      </c>
      <c r="G85" s="16" t="s">
        <v>7</v>
      </c>
      <c r="H85" s="4">
        <v>9</v>
      </c>
      <c r="I85" s="4">
        <f>Table13[[#This Row],[تعداد کل درخت‏های تحت آبیاری
(اصله مستقل)
(N)]]*Table13[[#This Row],[سطح پوشش مفروض برای هر درخت
(متر مربع)]]</f>
        <v>684</v>
      </c>
      <c r="J8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8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85" s="8">
        <f>IF(Table13[[#This Row],[آیا
Achech  &gt;  Atree]]=1, 1, Table13[[#This Row],[Psh]]+(0.15*(1-Table13[[#This Row],[Psh]])))</f>
        <v>1</v>
      </c>
      <c r="M85" s="8">
        <f>IF(Table13[[#This Row],[آیا
Achech  &gt;  Atree]]=1, 0.65, 1)</f>
        <v>0.65</v>
      </c>
      <c r="N8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120</v>
      </c>
      <c r="O8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1.5789473684210527</v>
      </c>
    </row>
    <row r="86" spans="2:15" x14ac:dyDescent="0.3">
      <c r="B86" s="4" t="s">
        <v>384</v>
      </c>
      <c r="C86" s="4">
        <v>790</v>
      </c>
      <c r="D86" s="4">
        <v>13</v>
      </c>
      <c r="E86" s="4">
        <v>13</v>
      </c>
      <c r="F86" s="4">
        <v>19663</v>
      </c>
      <c r="G86" s="16" t="s">
        <v>7</v>
      </c>
      <c r="H86" s="4">
        <v>9</v>
      </c>
      <c r="I86" s="4">
        <f>Table13[[#This Row],[تعداد کل درخت‏های تحت آبیاری
(اصله مستقل)
(N)]]*Table13[[#This Row],[سطح پوشش مفروض برای هر درخت
(متر مربع)]]</f>
        <v>117</v>
      </c>
      <c r="J8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8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86" s="8">
        <f>IF(Table13[[#This Row],[آیا
Achech  &gt;  Atree]]=1, 1, Table13[[#This Row],[Psh]]+(0.15*(1-Table13[[#This Row],[Psh]])))</f>
        <v>1</v>
      </c>
      <c r="M86" s="8">
        <f>IF(Table13[[#This Row],[آیا
Achech  &gt;  Atree]]=1, 0.65, 1)</f>
        <v>0.65</v>
      </c>
      <c r="N8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13</v>
      </c>
      <c r="O8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87" spans="2:15" x14ac:dyDescent="0.3">
      <c r="B87" s="4" t="s">
        <v>385</v>
      </c>
      <c r="C87" s="4">
        <v>530</v>
      </c>
      <c r="D87" s="4">
        <v>92.933333333333337</v>
      </c>
      <c r="E87" s="4">
        <v>1200</v>
      </c>
      <c r="F87" s="4">
        <v>14852</v>
      </c>
      <c r="G87" s="16" t="s">
        <v>7</v>
      </c>
      <c r="H87" s="4">
        <v>9</v>
      </c>
      <c r="I87" s="4">
        <f>Table13[[#This Row],[تعداد کل درخت‏های تحت آبیاری
(اصله مستقل)
(N)]]*Table13[[#This Row],[سطح پوشش مفروض برای هر درخت
(متر مربع)]]</f>
        <v>836.40000000000009</v>
      </c>
      <c r="J8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8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0.69700000000000006</v>
      </c>
      <c r="L87" s="8">
        <f>IF(Table13[[#This Row],[آیا
Achech  &gt;  Atree]]=1, 1, Table13[[#This Row],[Psh]]+(0.15*(1-Table13[[#This Row],[Psh]])))</f>
        <v>0.74245000000000005</v>
      </c>
      <c r="M87" s="8">
        <f>IF(Table13[[#This Row],[آیا
Achech  &gt;  Atree]]=1, 0.65, 1)</f>
        <v>1</v>
      </c>
      <c r="N8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836.40000000000009</v>
      </c>
      <c r="O8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88" spans="2:15" x14ac:dyDescent="0.3">
      <c r="B88" s="4" t="s">
        <v>402</v>
      </c>
      <c r="C88" s="4">
        <v>53</v>
      </c>
      <c r="D88" s="4">
        <v>4</v>
      </c>
      <c r="E88" s="4">
        <v>11</v>
      </c>
      <c r="F88" s="4">
        <v>867</v>
      </c>
      <c r="G88" s="16" t="s">
        <v>7</v>
      </c>
      <c r="H88" s="4">
        <v>9</v>
      </c>
      <c r="I88" s="4">
        <f>Table13[[#This Row],[تعداد کل درخت‏های تحت آبیاری
(اصله مستقل)
(N)]]*Table13[[#This Row],[سطح پوشش مفروض برای هر درخت
(متر مربع)]]</f>
        <v>36</v>
      </c>
      <c r="J8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8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88" s="8">
        <f>IF(Table13[[#This Row],[آیا
Achech  &gt;  Atree]]=1, 1, Table13[[#This Row],[Psh]]+(0.15*(1-Table13[[#This Row],[Psh]])))</f>
        <v>1</v>
      </c>
      <c r="M88" s="8">
        <f>IF(Table13[[#This Row],[آیا
Achech  &gt;  Atree]]=1, 0.65, 1)</f>
        <v>0.65</v>
      </c>
      <c r="N8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11</v>
      </c>
      <c r="O8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2.75</v>
      </c>
    </row>
    <row r="89" spans="2:15" x14ac:dyDescent="0.3">
      <c r="B89" s="4" t="s">
        <v>406</v>
      </c>
      <c r="C89" s="4">
        <v>2287</v>
      </c>
      <c r="D89" s="4">
        <v>71</v>
      </c>
      <c r="E89" s="4">
        <v>352</v>
      </c>
      <c r="F89" s="4">
        <v>29582</v>
      </c>
      <c r="G89" s="16" t="s">
        <v>7</v>
      </c>
      <c r="H89" s="4">
        <v>9</v>
      </c>
      <c r="I89" s="4">
        <f>Table13[[#This Row],[تعداد کل درخت‏های تحت آبیاری
(اصله مستقل)
(N)]]*Table13[[#This Row],[سطح پوشش مفروض برای هر درخت
(متر مربع)]]</f>
        <v>639</v>
      </c>
      <c r="J8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8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89" s="8">
        <f>IF(Table13[[#This Row],[آیا
Achech  &gt;  Atree]]=1, 1, Table13[[#This Row],[Psh]]+(0.15*(1-Table13[[#This Row],[Psh]])))</f>
        <v>1</v>
      </c>
      <c r="M89" s="8">
        <f>IF(Table13[[#This Row],[آیا
Achech  &gt;  Atree]]=1, 0.65, 1)</f>
        <v>0.65</v>
      </c>
      <c r="N8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352</v>
      </c>
      <c r="O8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4.957746478873239</v>
      </c>
    </row>
    <row r="90" spans="2:15" x14ac:dyDescent="0.3">
      <c r="B90" s="4" t="s">
        <v>407</v>
      </c>
      <c r="C90" s="4">
        <v>2151</v>
      </c>
      <c r="D90" s="4">
        <v>82.266666666666666</v>
      </c>
      <c r="E90" s="4">
        <v>2000</v>
      </c>
      <c r="F90" s="4">
        <v>27339</v>
      </c>
      <c r="G90" s="16" t="s">
        <v>7</v>
      </c>
      <c r="H90" s="4">
        <v>9</v>
      </c>
      <c r="I90" s="4">
        <f>Table13[[#This Row],[تعداد کل درخت‏های تحت آبیاری
(اصله مستقل)
(N)]]*Table13[[#This Row],[سطح پوشش مفروض برای هر درخت
(متر مربع)]]</f>
        <v>740.4</v>
      </c>
      <c r="J9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9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0.37019999999999997</v>
      </c>
      <c r="L90" s="8">
        <f>IF(Table13[[#This Row],[آیا
Achech  &gt;  Atree]]=1, 1, Table13[[#This Row],[Psh]]+(0.15*(1-Table13[[#This Row],[Psh]])))</f>
        <v>0.46466999999999997</v>
      </c>
      <c r="M90" s="8">
        <f>IF(Table13[[#This Row],[آیا
Achech  &gt;  Atree]]=1, 0.65, 1)</f>
        <v>1</v>
      </c>
      <c r="N9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740.4</v>
      </c>
      <c r="O9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91" spans="2:15" x14ac:dyDescent="0.3">
      <c r="B91" s="4" t="s">
        <v>408</v>
      </c>
      <c r="C91" s="4">
        <v>2192</v>
      </c>
      <c r="D91" s="4">
        <v>400</v>
      </c>
      <c r="E91" s="4">
        <v>3408</v>
      </c>
      <c r="F91" s="4">
        <v>20938</v>
      </c>
      <c r="G91" s="16" t="s">
        <v>7</v>
      </c>
      <c r="H91" s="4">
        <v>9</v>
      </c>
      <c r="I91" s="4">
        <f>Table13[[#This Row],[تعداد کل درخت‏های تحت آبیاری
(اصله مستقل)
(N)]]*Table13[[#This Row],[سطح پوشش مفروض برای هر درخت
(متر مربع)]]</f>
        <v>3600</v>
      </c>
      <c r="J9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9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91" s="8">
        <f>IF(Table13[[#This Row],[آیا
Achech  &gt;  Atree]]=1, 1, Table13[[#This Row],[Psh]]+(0.15*(1-Table13[[#This Row],[Psh]])))</f>
        <v>1</v>
      </c>
      <c r="M91" s="8">
        <f>IF(Table13[[#This Row],[آیا
Achech  &gt;  Atree]]=1, 0.65, 1)</f>
        <v>0.65</v>
      </c>
      <c r="N9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3408</v>
      </c>
      <c r="O9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8.52</v>
      </c>
    </row>
    <row r="92" spans="2:15" x14ac:dyDescent="0.3">
      <c r="B92" s="4" t="s">
        <v>409</v>
      </c>
      <c r="C92" s="4">
        <v>941</v>
      </c>
      <c r="D92" s="4">
        <v>117</v>
      </c>
      <c r="E92" s="4">
        <v>577</v>
      </c>
      <c r="F92" s="4">
        <v>17473</v>
      </c>
      <c r="G92" s="16" t="s">
        <v>7</v>
      </c>
      <c r="H92" s="4">
        <v>9</v>
      </c>
      <c r="I92" s="4">
        <f>Table13[[#This Row],[تعداد کل درخت‏های تحت آبیاری
(اصله مستقل)
(N)]]*Table13[[#This Row],[سطح پوشش مفروض برای هر درخت
(متر مربع)]]</f>
        <v>1053</v>
      </c>
      <c r="J9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9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92" s="8">
        <f>IF(Table13[[#This Row],[آیا
Achech  &gt;  Atree]]=1, 1, Table13[[#This Row],[Psh]]+(0.15*(1-Table13[[#This Row],[Psh]])))</f>
        <v>1</v>
      </c>
      <c r="M92" s="8">
        <f>IF(Table13[[#This Row],[آیا
Achech  &gt;  Atree]]=1, 0.65, 1)</f>
        <v>0.65</v>
      </c>
      <c r="N9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577</v>
      </c>
      <c r="O9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4.9316239316239319</v>
      </c>
    </row>
    <row r="93" spans="2:15" x14ac:dyDescent="0.3">
      <c r="B93" s="4" t="s">
        <v>413</v>
      </c>
      <c r="C93" s="4">
        <v>235</v>
      </c>
      <c r="D93" s="4">
        <v>42.4</v>
      </c>
      <c r="E93" s="4">
        <v>1840</v>
      </c>
      <c r="F93" s="4">
        <v>3858</v>
      </c>
      <c r="G93" s="16" t="s">
        <v>286</v>
      </c>
      <c r="H93" s="4">
        <v>9</v>
      </c>
      <c r="I93" s="4">
        <f>Table13[[#This Row],[تعداد کل درخت‏های تحت آبیاری
(اصله مستقل)
(N)]]*Table13[[#This Row],[سطح پوشش مفروض برای هر درخت
(متر مربع)]]</f>
        <v>381.59999999999997</v>
      </c>
      <c r="J9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9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0.20739130434782607</v>
      </c>
      <c r="L93" s="8">
        <f>IF(Table13[[#This Row],[آیا
Achech  &gt;  Atree]]=1, 1, Table13[[#This Row],[Psh]]+(0.15*(1-Table13[[#This Row],[Psh]])))</f>
        <v>0.32628260869565218</v>
      </c>
      <c r="M93" s="8">
        <f>IF(Table13[[#This Row],[آیا
Achech  &gt;  Atree]]=1, 0.65, 1)</f>
        <v>1</v>
      </c>
      <c r="N9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381.59999999999997</v>
      </c>
      <c r="O9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94" spans="2:15" x14ac:dyDescent="0.3">
      <c r="B94" s="4" t="s">
        <v>418</v>
      </c>
      <c r="C94" s="4">
        <v>113</v>
      </c>
      <c r="D94" s="4">
        <v>8.6666666666666661</v>
      </c>
      <c r="E94" s="4">
        <v>1350</v>
      </c>
      <c r="F94" s="4">
        <v>1680</v>
      </c>
      <c r="G94" s="16" t="s">
        <v>286</v>
      </c>
      <c r="H94" s="4">
        <v>9</v>
      </c>
      <c r="I94" s="4">
        <f>Table13[[#This Row],[تعداد کل درخت‏های تحت آبیاری
(اصله مستقل)
(N)]]*Table13[[#This Row],[سطح پوشش مفروض برای هر درخت
(متر مربع)]]</f>
        <v>78</v>
      </c>
      <c r="J9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9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5.7777777777777775E-2</v>
      </c>
      <c r="L94" s="8">
        <f>IF(Table13[[#This Row],[آیا
Achech  &gt;  Atree]]=1, 1, Table13[[#This Row],[Psh]]+(0.15*(1-Table13[[#This Row],[Psh]])))</f>
        <v>0.19911111111111107</v>
      </c>
      <c r="M94" s="8">
        <f>IF(Table13[[#This Row],[آیا
Achech  &gt;  Atree]]=1, 0.65, 1)</f>
        <v>1</v>
      </c>
      <c r="N9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78</v>
      </c>
      <c r="O9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95" spans="2:15" x14ac:dyDescent="0.3">
      <c r="B95" s="4" t="s">
        <v>424</v>
      </c>
      <c r="C95" s="4">
        <v>706</v>
      </c>
      <c r="D95" s="4">
        <v>581</v>
      </c>
      <c r="E95" s="4">
        <v>1125</v>
      </c>
      <c r="F95" s="4">
        <v>51214</v>
      </c>
      <c r="G95" s="16" t="s">
        <v>7</v>
      </c>
      <c r="H95" s="4">
        <v>9</v>
      </c>
      <c r="I95" s="4">
        <f>Table13[[#This Row],[تعداد کل درخت‏های تحت آبیاری
(اصله مستقل)
(N)]]*Table13[[#This Row],[سطح پوشش مفروض برای هر درخت
(متر مربع)]]</f>
        <v>5229</v>
      </c>
      <c r="J9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9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95" s="8">
        <f>IF(Table13[[#This Row],[آیا
Achech  &gt;  Atree]]=1, 1, Table13[[#This Row],[Psh]]+(0.15*(1-Table13[[#This Row],[Psh]])))</f>
        <v>1</v>
      </c>
      <c r="M95" s="8">
        <f>IF(Table13[[#This Row],[آیا
Achech  &gt;  Atree]]=1, 0.65, 1)</f>
        <v>0.65</v>
      </c>
      <c r="N9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1125</v>
      </c>
      <c r="O9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1.9363166953528399</v>
      </c>
    </row>
    <row r="96" spans="2:15" x14ac:dyDescent="0.3">
      <c r="B96" s="4" t="s">
        <v>425</v>
      </c>
      <c r="C96" s="4">
        <v>296</v>
      </c>
      <c r="D96" s="4">
        <v>95</v>
      </c>
      <c r="E96" s="4">
        <v>492</v>
      </c>
      <c r="F96" s="4">
        <v>5599</v>
      </c>
      <c r="G96" s="16" t="s">
        <v>7</v>
      </c>
      <c r="H96" s="4">
        <v>9</v>
      </c>
      <c r="I96" s="4">
        <f>Table13[[#This Row],[تعداد کل درخت‏های تحت آبیاری
(اصله مستقل)
(N)]]*Table13[[#This Row],[سطح پوشش مفروض برای هر درخت
(متر مربع)]]</f>
        <v>855</v>
      </c>
      <c r="J9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9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96" s="8">
        <f>IF(Table13[[#This Row],[آیا
Achech  &gt;  Atree]]=1, 1, Table13[[#This Row],[Psh]]+(0.15*(1-Table13[[#This Row],[Psh]])))</f>
        <v>1</v>
      </c>
      <c r="M96" s="8">
        <f>IF(Table13[[#This Row],[آیا
Achech  &gt;  Atree]]=1, 0.65, 1)</f>
        <v>0.65</v>
      </c>
      <c r="N9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492</v>
      </c>
      <c r="O9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5.1789473684210527</v>
      </c>
    </row>
    <row r="97" spans="2:15" x14ac:dyDescent="0.3">
      <c r="B97" s="4" t="s">
        <v>426</v>
      </c>
      <c r="C97" s="4">
        <v>77</v>
      </c>
      <c r="D97" s="4">
        <v>1</v>
      </c>
      <c r="E97" s="4">
        <v>1</v>
      </c>
      <c r="F97" s="4">
        <v>4189</v>
      </c>
      <c r="G97" s="16" t="s">
        <v>7</v>
      </c>
      <c r="H97" s="4">
        <v>9</v>
      </c>
      <c r="I97" s="4">
        <f>Table13[[#This Row],[تعداد کل درخت‏های تحت آبیاری
(اصله مستقل)
(N)]]*Table13[[#This Row],[سطح پوشش مفروض برای هر درخت
(متر مربع)]]</f>
        <v>9</v>
      </c>
      <c r="J9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9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97" s="8">
        <f>IF(Table13[[#This Row],[آیا
Achech  &gt;  Atree]]=1, 1, Table13[[#This Row],[Psh]]+(0.15*(1-Table13[[#This Row],[Psh]])))</f>
        <v>1</v>
      </c>
      <c r="M97" s="8">
        <f>IF(Table13[[#This Row],[آیا
Achech  &gt;  Atree]]=1, 0.65, 1)</f>
        <v>0.65</v>
      </c>
      <c r="N9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</v>
      </c>
      <c r="O9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98" spans="2:15" x14ac:dyDescent="0.3">
      <c r="B98" s="4" t="s">
        <v>427</v>
      </c>
      <c r="C98" s="4">
        <v>1042</v>
      </c>
      <c r="D98" s="4">
        <v>98</v>
      </c>
      <c r="E98" s="4">
        <v>145</v>
      </c>
      <c r="F98" s="4">
        <v>23022</v>
      </c>
      <c r="G98" s="16" t="s">
        <v>7</v>
      </c>
      <c r="H98" s="4">
        <v>9</v>
      </c>
      <c r="I98" s="4">
        <f>Table13[[#This Row],[تعداد کل درخت‏های تحت آبیاری
(اصله مستقل)
(N)]]*Table13[[#This Row],[سطح پوشش مفروض برای هر درخت
(متر مربع)]]</f>
        <v>882</v>
      </c>
      <c r="J9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9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98" s="8">
        <f>IF(Table13[[#This Row],[آیا
Achech  &gt;  Atree]]=1, 1, Table13[[#This Row],[Psh]]+(0.15*(1-Table13[[#This Row],[Psh]])))</f>
        <v>1</v>
      </c>
      <c r="M98" s="8">
        <f>IF(Table13[[#This Row],[آیا
Achech  &gt;  Atree]]=1, 0.65, 1)</f>
        <v>0.65</v>
      </c>
      <c r="N9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145</v>
      </c>
      <c r="O9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1.4795918367346939</v>
      </c>
    </row>
    <row r="99" spans="2:15" x14ac:dyDescent="0.3">
      <c r="B99" s="4" t="s">
        <v>428</v>
      </c>
      <c r="C99" s="4">
        <v>3881</v>
      </c>
      <c r="D99" s="4">
        <v>3881</v>
      </c>
      <c r="E99" s="4">
        <v>2888</v>
      </c>
      <c r="F99" s="4">
        <v>41463</v>
      </c>
      <c r="G99" s="16" t="s">
        <v>7</v>
      </c>
      <c r="H99" s="4">
        <v>9</v>
      </c>
      <c r="I99" s="4">
        <f>Table13[[#This Row],[تعداد کل درخت‏های تحت آبیاری
(اصله مستقل)
(N)]]*Table13[[#This Row],[سطح پوشش مفروض برای هر درخت
(متر مربع)]]</f>
        <v>34929</v>
      </c>
      <c r="J9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9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99" s="8">
        <f>IF(Table13[[#This Row],[آیا
Achech  &gt;  Atree]]=1, 1, Table13[[#This Row],[Psh]]+(0.15*(1-Table13[[#This Row],[Psh]])))</f>
        <v>1</v>
      </c>
      <c r="M99" s="8">
        <f>IF(Table13[[#This Row],[آیا
Achech  &gt;  Atree]]=1, 0.65, 1)</f>
        <v>0.65</v>
      </c>
      <c r="N9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2888</v>
      </c>
      <c r="O9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0.74413810873486219</v>
      </c>
    </row>
    <row r="100" spans="2:15" x14ac:dyDescent="0.3">
      <c r="B100" s="4" t="s">
        <v>429</v>
      </c>
      <c r="C100" s="4">
        <v>749</v>
      </c>
      <c r="D100" s="4">
        <v>144</v>
      </c>
      <c r="E100" s="4">
        <v>214</v>
      </c>
      <c r="F100" s="4">
        <v>10136</v>
      </c>
      <c r="G100" s="16" t="s">
        <v>7</v>
      </c>
      <c r="H100" s="4">
        <v>9</v>
      </c>
      <c r="I100" s="4">
        <f>Table13[[#This Row],[تعداد کل درخت‏های تحت آبیاری
(اصله مستقل)
(N)]]*Table13[[#This Row],[سطح پوشش مفروض برای هر درخت
(متر مربع)]]</f>
        <v>1296</v>
      </c>
      <c r="J10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0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00" s="8">
        <f>IF(Table13[[#This Row],[آیا
Achech  &gt;  Atree]]=1, 1, Table13[[#This Row],[Psh]]+(0.15*(1-Table13[[#This Row],[Psh]])))</f>
        <v>1</v>
      </c>
      <c r="M100" s="8">
        <f>IF(Table13[[#This Row],[آیا
Achech  &gt;  Atree]]=1, 0.65, 1)</f>
        <v>0.65</v>
      </c>
      <c r="N10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214</v>
      </c>
      <c r="O10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1.4861111111111112</v>
      </c>
    </row>
    <row r="101" spans="2:15" x14ac:dyDescent="0.3">
      <c r="B101" s="4" t="s">
        <v>430</v>
      </c>
      <c r="C101" s="4">
        <v>3902</v>
      </c>
      <c r="D101" s="4">
        <v>1060</v>
      </c>
      <c r="E101" s="4">
        <v>743</v>
      </c>
      <c r="F101" s="4">
        <v>46070</v>
      </c>
      <c r="G101" s="16" t="s">
        <v>7</v>
      </c>
      <c r="H101" s="4">
        <v>9</v>
      </c>
      <c r="I101" s="4">
        <f>Table13[[#This Row],[تعداد کل درخت‏های تحت آبیاری
(اصله مستقل)
(N)]]*Table13[[#This Row],[سطح پوشش مفروض برای هر درخت
(متر مربع)]]</f>
        <v>9540</v>
      </c>
      <c r="J10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0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01" s="8">
        <f>IF(Table13[[#This Row],[آیا
Achech  &gt;  Atree]]=1, 1, Table13[[#This Row],[Psh]]+(0.15*(1-Table13[[#This Row],[Psh]])))</f>
        <v>1</v>
      </c>
      <c r="M101" s="8">
        <f>IF(Table13[[#This Row],[آیا
Achech  &gt;  Atree]]=1, 0.65, 1)</f>
        <v>0.65</v>
      </c>
      <c r="N10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743</v>
      </c>
      <c r="O10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0.70094339622641511</v>
      </c>
    </row>
    <row r="102" spans="2:15" x14ac:dyDescent="0.3">
      <c r="B102" s="4" t="s">
        <v>431</v>
      </c>
      <c r="C102" s="4">
        <v>335</v>
      </c>
      <c r="D102" s="4">
        <v>128</v>
      </c>
      <c r="E102" s="4">
        <v>500</v>
      </c>
      <c r="F102" s="4">
        <v>6096</v>
      </c>
      <c r="G102" s="16" t="s">
        <v>7</v>
      </c>
      <c r="H102" s="4">
        <v>9</v>
      </c>
      <c r="I102" s="4">
        <f>Table13[[#This Row],[تعداد کل درخت‏های تحت آبیاری
(اصله مستقل)
(N)]]*Table13[[#This Row],[سطح پوشش مفروض برای هر درخت
(متر مربع)]]</f>
        <v>1152</v>
      </c>
      <c r="J10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0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02" s="8">
        <f>IF(Table13[[#This Row],[آیا
Achech  &gt;  Atree]]=1, 1, Table13[[#This Row],[Psh]]+(0.15*(1-Table13[[#This Row],[Psh]])))</f>
        <v>1</v>
      </c>
      <c r="M102" s="8">
        <f>IF(Table13[[#This Row],[آیا
Achech  &gt;  Atree]]=1, 0.65, 1)</f>
        <v>0.65</v>
      </c>
      <c r="N10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500</v>
      </c>
      <c r="O10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3.90625</v>
      </c>
    </row>
    <row r="103" spans="2:15" x14ac:dyDescent="0.3">
      <c r="B103" s="4" t="s">
        <v>432</v>
      </c>
      <c r="C103" s="4">
        <v>162</v>
      </c>
      <c r="D103" s="4">
        <v>18</v>
      </c>
      <c r="E103" s="4">
        <v>43</v>
      </c>
      <c r="F103" s="4">
        <v>4466</v>
      </c>
      <c r="G103" s="16" t="s">
        <v>7</v>
      </c>
      <c r="H103" s="4">
        <v>9</v>
      </c>
      <c r="I103" s="4">
        <f>Table13[[#This Row],[تعداد کل درخت‏های تحت آبیاری
(اصله مستقل)
(N)]]*Table13[[#This Row],[سطح پوشش مفروض برای هر درخت
(متر مربع)]]</f>
        <v>162</v>
      </c>
      <c r="J10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0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03" s="8">
        <f>IF(Table13[[#This Row],[آیا
Achech  &gt;  Atree]]=1, 1, Table13[[#This Row],[Psh]]+(0.15*(1-Table13[[#This Row],[Psh]])))</f>
        <v>1</v>
      </c>
      <c r="M103" s="8">
        <f>IF(Table13[[#This Row],[آیا
Achech  &gt;  Atree]]=1, 0.65, 1)</f>
        <v>0.65</v>
      </c>
      <c r="N10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43</v>
      </c>
      <c r="O10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2.3888888888888888</v>
      </c>
    </row>
    <row r="104" spans="2:15" x14ac:dyDescent="0.3">
      <c r="B104" s="4" t="s">
        <v>433</v>
      </c>
      <c r="C104" s="4">
        <v>579</v>
      </c>
      <c r="D104" s="4">
        <v>70</v>
      </c>
      <c r="E104" s="4">
        <v>250</v>
      </c>
      <c r="F104" s="4">
        <v>23841</v>
      </c>
      <c r="G104" s="16" t="s">
        <v>7</v>
      </c>
      <c r="H104" s="4">
        <v>9</v>
      </c>
      <c r="I104" s="4">
        <f>Table13[[#This Row],[تعداد کل درخت‏های تحت آبیاری
(اصله مستقل)
(N)]]*Table13[[#This Row],[سطح پوشش مفروض برای هر درخت
(متر مربع)]]</f>
        <v>630</v>
      </c>
      <c r="J10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0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04" s="8">
        <f>IF(Table13[[#This Row],[آیا
Achech  &gt;  Atree]]=1, 1, Table13[[#This Row],[Psh]]+(0.15*(1-Table13[[#This Row],[Psh]])))</f>
        <v>1</v>
      </c>
      <c r="M104" s="8">
        <f>IF(Table13[[#This Row],[آیا
Achech  &gt;  Atree]]=1, 0.65, 1)</f>
        <v>0.65</v>
      </c>
      <c r="N10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250</v>
      </c>
      <c r="O10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3.5714285714285716</v>
      </c>
    </row>
    <row r="105" spans="2:15" x14ac:dyDescent="0.3">
      <c r="B105" s="4" t="s">
        <v>434</v>
      </c>
      <c r="C105" s="4">
        <v>0</v>
      </c>
      <c r="D105" s="4">
        <v>176</v>
      </c>
      <c r="E105" s="4">
        <v>0</v>
      </c>
      <c r="F105" s="4"/>
      <c r="G105" s="16" t="s">
        <v>7</v>
      </c>
      <c r="H105" s="4">
        <v>9</v>
      </c>
      <c r="I105" s="4">
        <f>Table13[[#This Row],[تعداد کل درخت‏های تحت آبیاری
(اصله مستقل)
(N)]]*Table13[[#This Row],[سطح پوشش مفروض برای هر درخت
(متر مربع)]]</f>
        <v>1584</v>
      </c>
      <c r="J10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0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05" s="8">
        <f>IF(Table13[[#This Row],[آیا
Achech  &gt;  Atree]]=1, 1, Table13[[#This Row],[Psh]]+(0.15*(1-Table13[[#This Row],[Psh]])))</f>
        <v>1</v>
      </c>
      <c r="M105" s="8">
        <f>IF(Table13[[#This Row],[آیا
Achech  &gt;  Atree]]=1, 0.65, 1)</f>
        <v>0.65</v>
      </c>
      <c r="N10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0</v>
      </c>
      <c r="O10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0</v>
      </c>
    </row>
    <row r="106" spans="2:15" x14ac:dyDescent="0.3">
      <c r="B106" s="4" t="s">
        <v>435</v>
      </c>
      <c r="C106" s="4">
        <v>143</v>
      </c>
      <c r="D106" s="4">
        <v>22</v>
      </c>
      <c r="E106" s="4">
        <v>88</v>
      </c>
      <c r="F106" s="4">
        <v>4341</v>
      </c>
      <c r="G106" s="16" t="s">
        <v>7</v>
      </c>
      <c r="H106" s="4">
        <v>9</v>
      </c>
      <c r="I106" s="4">
        <f>Table13[[#This Row],[تعداد کل درخت‏های تحت آبیاری
(اصله مستقل)
(N)]]*Table13[[#This Row],[سطح پوشش مفروض برای هر درخت
(متر مربع)]]</f>
        <v>198</v>
      </c>
      <c r="J10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0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06" s="8">
        <f>IF(Table13[[#This Row],[آیا
Achech  &gt;  Atree]]=1, 1, Table13[[#This Row],[Psh]]+(0.15*(1-Table13[[#This Row],[Psh]])))</f>
        <v>1</v>
      </c>
      <c r="M106" s="8">
        <f>IF(Table13[[#This Row],[آیا
Achech  &gt;  Atree]]=1, 0.65, 1)</f>
        <v>0.65</v>
      </c>
      <c r="N10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88</v>
      </c>
      <c r="O10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</v>
      </c>
    </row>
    <row r="107" spans="2:15" x14ac:dyDescent="0.3">
      <c r="B107" s="4" t="s">
        <v>436</v>
      </c>
      <c r="C107" s="4">
        <v>655</v>
      </c>
      <c r="D107" s="4">
        <v>316</v>
      </c>
      <c r="E107" s="4">
        <v>656</v>
      </c>
      <c r="F107" s="4">
        <v>11965</v>
      </c>
      <c r="G107" s="16" t="s">
        <v>7</v>
      </c>
      <c r="H107" s="4">
        <v>9</v>
      </c>
      <c r="I107" s="4">
        <f>Table13[[#This Row],[تعداد کل درخت‏های تحت آبیاری
(اصله مستقل)
(N)]]*Table13[[#This Row],[سطح پوشش مفروض برای هر درخت
(متر مربع)]]</f>
        <v>2844</v>
      </c>
      <c r="J10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0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07" s="8">
        <f>IF(Table13[[#This Row],[آیا
Achech  &gt;  Atree]]=1, 1, Table13[[#This Row],[Psh]]+(0.15*(1-Table13[[#This Row],[Psh]])))</f>
        <v>1</v>
      </c>
      <c r="M107" s="8">
        <f>IF(Table13[[#This Row],[آیا
Achech  &gt;  Atree]]=1, 0.65, 1)</f>
        <v>0.65</v>
      </c>
      <c r="N10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656</v>
      </c>
      <c r="O10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2.0759493670886076</v>
      </c>
    </row>
    <row r="108" spans="2:15" x14ac:dyDescent="0.3">
      <c r="B108" s="4" t="s">
        <v>437</v>
      </c>
      <c r="C108" s="4">
        <v>562</v>
      </c>
      <c r="D108" s="4">
        <v>562</v>
      </c>
      <c r="E108" s="4">
        <v>2810</v>
      </c>
      <c r="F108" s="4">
        <v>16218</v>
      </c>
      <c r="G108" s="16" t="s">
        <v>7</v>
      </c>
      <c r="H108" s="4">
        <v>9</v>
      </c>
      <c r="I108" s="4">
        <f>Table13[[#This Row],[تعداد کل درخت‏های تحت آبیاری
(اصله مستقل)
(N)]]*Table13[[#This Row],[سطح پوشش مفروض برای هر درخت
(متر مربع)]]</f>
        <v>5058</v>
      </c>
      <c r="J10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0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08" s="8">
        <f>IF(Table13[[#This Row],[آیا
Achech  &gt;  Atree]]=1, 1, Table13[[#This Row],[Psh]]+(0.15*(1-Table13[[#This Row],[Psh]])))</f>
        <v>1</v>
      </c>
      <c r="M108" s="8">
        <f>IF(Table13[[#This Row],[آیا
Achech  &gt;  Atree]]=1, 0.65, 1)</f>
        <v>0.65</v>
      </c>
      <c r="N10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2810</v>
      </c>
      <c r="O10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</v>
      </c>
    </row>
    <row r="109" spans="2:15" x14ac:dyDescent="0.3">
      <c r="B109" s="4" t="s">
        <v>438</v>
      </c>
      <c r="C109" s="4">
        <v>1030</v>
      </c>
      <c r="D109" s="4">
        <v>861.6</v>
      </c>
      <c r="E109" s="4">
        <v>10066</v>
      </c>
      <c r="F109" s="4">
        <v>10121</v>
      </c>
      <c r="G109" s="16" t="s">
        <v>286</v>
      </c>
      <c r="H109" s="4">
        <v>9</v>
      </c>
      <c r="I109" s="4">
        <f>Table13[[#This Row],[تعداد کل درخت‏های تحت آبیاری
(اصله مستقل)
(N)]]*Table13[[#This Row],[سطح پوشش مفروض برای هر درخت
(متر مربع)]]</f>
        <v>7754.4000000000005</v>
      </c>
      <c r="J10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10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0.77035565269223127</v>
      </c>
      <c r="L109" s="8">
        <f>IF(Table13[[#This Row],[آیا
Achech  &gt;  Atree]]=1, 1, Table13[[#This Row],[Psh]]+(0.15*(1-Table13[[#This Row],[Psh]])))</f>
        <v>0.80480230478839654</v>
      </c>
      <c r="M109" s="8">
        <f>IF(Table13[[#This Row],[آیا
Achech  &gt;  Atree]]=1, 0.65, 1)</f>
        <v>1</v>
      </c>
      <c r="N10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7754.4000000000005</v>
      </c>
      <c r="O10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110" spans="2:15" x14ac:dyDescent="0.3">
      <c r="B110" s="4" t="s">
        <v>439</v>
      </c>
      <c r="C110" s="4">
        <v>18080</v>
      </c>
      <c r="D110" s="4">
        <v>7956</v>
      </c>
      <c r="E110" s="4">
        <v>133084</v>
      </c>
      <c r="F110" s="4">
        <v>418359</v>
      </c>
      <c r="G110" s="16" t="s">
        <v>78</v>
      </c>
      <c r="H110" s="4">
        <v>9</v>
      </c>
      <c r="I110" s="4">
        <f>Table13[[#This Row],[تعداد کل درخت‏های تحت آبیاری
(اصله مستقل)
(N)]]*Table13[[#This Row],[سطح پوشش مفروض برای هر درخت
(متر مربع)]]</f>
        <v>71604</v>
      </c>
      <c r="J11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11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0.53803612755853447</v>
      </c>
      <c r="L110" s="8">
        <f>IF(Table13[[#This Row],[آیا
Achech  &gt;  Atree]]=1, 1, Table13[[#This Row],[Psh]]+(0.15*(1-Table13[[#This Row],[Psh]])))</f>
        <v>0.60733070842475434</v>
      </c>
      <c r="M110" s="8">
        <f>IF(Table13[[#This Row],[آیا
Achech  &gt;  Atree]]=1, 0.65, 1)</f>
        <v>1</v>
      </c>
      <c r="N11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71604</v>
      </c>
      <c r="O11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111" spans="2:15" x14ac:dyDescent="0.3">
      <c r="B111" s="4" t="s">
        <v>440</v>
      </c>
      <c r="C111" s="4">
        <v>5791</v>
      </c>
      <c r="D111" s="4">
        <v>3962</v>
      </c>
      <c r="E111" s="4">
        <v>71879</v>
      </c>
      <c r="F111" s="4">
        <v>137929.24</v>
      </c>
      <c r="G111" s="16" t="s">
        <v>78</v>
      </c>
      <c r="H111" s="4">
        <v>9</v>
      </c>
      <c r="I111" s="4">
        <f>Table13[[#This Row],[تعداد کل درخت‏های تحت آبیاری
(اصله مستقل)
(N)]]*Table13[[#This Row],[سطح پوشش مفروض برای هر درخت
(متر مربع)]]</f>
        <v>35658</v>
      </c>
      <c r="J11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11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0.49608369621168907</v>
      </c>
      <c r="L111" s="8">
        <f>IF(Table13[[#This Row],[آیا
Achech  &gt;  Atree]]=1, 1, Table13[[#This Row],[Psh]]+(0.15*(1-Table13[[#This Row],[Psh]])))</f>
        <v>0.57167114177993572</v>
      </c>
      <c r="M111" s="8">
        <f>IF(Table13[[#This Row],[آیا
Achech  &gt;  Atree]]=1, 0.65, 1)</f>
        <v>1</v>
      </c>
      <c r="N11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35658</v>
      </c>
      <c r="O11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112" spans="2:15" x14ac:dyDescent="0.3">
      <c r="B112" s="4" t="s">
        <v>441</v>
      </c>
      <c r="C112" s="4">
        <v>3488</v>
      </c>
      <c r="D112" s="4">
        <v>2665</v>
      </c>
      <c r="E112" s="4">
        <v>11940</v>
      </c>
      <c r="F112" s="4">
        <v>50361</v>
      </c>
      <c r="G112" s="16" t="s">
        <v>78</v>
      </c>
      <c r="H112" s="4">
        <v>9</v>
      </c>
      <c r="I112" s="4">
        <f>Table13[[#This Row],[تعداد کل درخت‏های تحت آبیاری
(اصله مستقل)
(N)]]*Table13[[#This Row],[سطح پوشش مفروض برای هر درخت
(متر مربع)]]</f>
        <v>23985</v>
      </c>
      <c r="J11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1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12" s="8">
        <f>IF(Table13[[#This Row],[آیا
Achech  &gt;  Atree]]=1, 1, Table13[[#This Row],[Psh]]+(0.15*(1-Table13[[#This Row],[Psh]])))</f>
        <v>1</v>
      </c>
      <c r="M112" s="8">
        <f>IF(Table13[[#This Row],[آیا
Achech  &gt;  Atree]]=1, 0.65, 1)</f>
        <v>0.65</v>
      </c>
      <c r="N11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11940</v>
      </c>
      <c r="O11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4.480300187617261</v>
      </c>
    </row>
    <row r="113" spans="2:15" x14ac:dyDescent="0.3">
      <c r="B113" s="4" t="s">
        <v>451</v>
      </c>
      <c r="C113" s="4">
        <v>1950</v>
      </c>
      <c r="D113" s="4">
        <v>574</v>
      </c>
      <c r="E113" s="4">
        <v>2870</v>
      </c>
      <c r="F113" s="4">
        <v>19468</v>
      </c>
      <c r="G113" s="16" t="s">
        <v>7</v>
      </c>
      <c r="H113" s="4">
        <v>9</v>
      </c>
      <c r="I113" s="4">
        <f>Table13[[#This Row],[تعداد کل درخت‏های تحت آبیاری
(اصله مستقل)
(N)]]*Table13[[#This Row],[سطح پوشش مفروض برای هر درخت
(متر مربع)]]</f>
        <v>5166</v>
      </c>
      <c r="J11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1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13" s="8">
        <f>IF(Table13[[#This Row],[آیا
Achech  &gt;  Atree]]=1, 1, Table13[[#This Row],[Psh]]+(0.15*(1-Table13[[#This Row],[Psh]])))</f>
        <v>1</v>
      </c>
      <c r="M113" s="8">
        <f>IF(Table13[[#This Row],[آیا
Achech  &gt;  Atree]]=1, 0.65, 1)</f>
        <v>0.65</v>
      </c>
      <c r="N11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2870</v>
      </c>
      <c r="O11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</v>
      </c>
    </row>
    <row r="114" spans="2:15" x14ac:dyDescent="0.3">
      <c r="B114" s="4" t="s">
        <v>452</v>
      </c>
      <c r="C114" s="4">
        <v>798</v>
      </c>
      <c r="D114" s="4">
        <v>9</v>
      </c>
      <c r="E114" s="4">
        <v>45</v>
      </c>
      <c r="F114" s="4">
        <v>1285</v>
      </c>
      <c r="G114" s="16" t="s">
        <v>7</v>
      </c>
      <c r="H114" s="4">
        <v>9</v>
      </c>
      <c r="I114" s="4">
        <f>Table13[[#This Row],[تعداد کل درخت‏های تحت آبیاری
(اصله مستقل)
(N)]]*Table13[[#This Row],[سطح پوشش مفروض برای هر درخت
(متر مربع)]]</f>
        <v>81</v>
      </c>
      <c r="J11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1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14" s="8">
        <f>IF(Table13[[#This Row],[آیا
Achech  &gt;  Atree]]=1, 1, Table13[[#This Row],[Psh]]+(0.15*(1-Table13[[#This Row],[Psh]])))</f>
        <v>1</v>
      </c>
      <c r="M114" s="8">
        <f>IF(Table13[[#This Row],[آیا
Achech  &gt;  Atree]]=1, 0.65, 1)</f>
        <v>0.65</v>
      </c>
      <c r="N11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45</v>
      </c>
      <c r="O11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</v>
      </c>
    </row>
    <row r="115" spans="2:15" x14ac:dyDescent="0.3">
      <c r="B115" s="4" t="s">
        <v>453</v>
      </c>
      <c r="C115" s="4">
        <v>101</v>
      </c>
      <c r="D115" s="4">
        <v>67</v>
      </c>
      <c r="E115" s="4">
        <v>340</v>
      </c>
      <c r="F115" s="4">
        <v>2541</v>
      </c>
      <c r="G115" s="16" t="s">
        <v>7</v>
      </c>
      <c r="H115" s="4">
        <v>9</v>
      </c>
      <c r="I115" s="4">
        <f>Table13[[#This Row],[تعداد کل درخت‏های تحت آبیاری
(اصله مستقل)
(N)]]*Table13[[#This Row],[سطح پوشش مفروض برای هر درخت
(متر مربع)]]</f>
        <v>603</v>
      </c>
      <c r="J11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1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15" s="8">
        <f>IF(Table13[[#This Row],[آیا
Achech  &gt;  Atree]]=1, 1, Table13[[#This Row],[Psh]]+(0.15*(1-Table13[[#This Row],[Psh]])))</f>
        <v>1</v>
      </c>
      <c r="M115" s="8">
        <f>IF(Table13[[#This Row],[آیا
Achech  &gt;  Atree]]=1, 0.65, 1)</f>
        <v>0.65</v>
      </c>
      <c r="N11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340</v>
      </c>
      <c r="O11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5.0746268656716422</v>
      </c>
    </row>
    <row r="116" spans="2:15" x14ac:dyDescent="0.3">
      <c r="B116" s="4" t="s">
        <v>456</v>
      </c>
      <c r="C116" s="4">
        <v>7162</v>
      </c>
      <c r="D116" s="4">
        <v>2754.4666666666667</v>
      </c>
      <c r="E116" s="4">
        <v>14944</v>
      </c>
      <c r="F116" s="4">
        <v>146624</v>
      </c>
      <c r="G116" s="16" t="s">
        <v>78</v>
      </c>
      <c r="H116" s="4">
        <v>9</v>
      </c>
      <c r="I116" s="4">
        <f>Table13[[#This Row],[تعداد کل درخت‏های تحت آبیاری
(اصله مستقل)
(N)]]*Table13[[#This Row],[سطح پوشش مفروض برای هر درخت
(متر مربع)]]</f>
        <v>24790.2</v>
      </c>
      <c r="J11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1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16" s="8">
        <f>IF(Table13[[#This Row],[آیا
Achech  &gt;  Atree]]=1, 1, Table13[[#This Row],[Psh]]+(0.15*(1-Table13[[#This Row],[Psh]])))</f>
        <v>1</v>
      </c>
      <c r="M116" s="8">
        <f>IF(Table13[[#This Row],[آیا
Achech  &gt;  Atree]]=1, 0.65, 1)</f>
        <v>0.65</v>
      </c>
      <c r="N11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14944</v>
      </c>
      <c r="O11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5.4253697025437475</v>
      </c>
    </row>
    <row r="117" spans="2:15" x14ac:dyDescent="0.3">
      <c r="B117" s="4" t="s">
        <v>457</v>
      </c>
      <c r="C117" s="4">
        <v>604</v>
      </c>
      <c r="D117" s="4">
        <v>117</v>
      </c>
      <c r="E117" s="4">
        <v>1797</v>
      </c>
      <c r="F117" s="4">
        <v>20061</v>
      </c>
      <c r="G117" s="16" t="s">
        <v>7</v>
      </c>
      <c r="H117" s="4">
        <v>9</v>
      </c>
      <c r="I117" s="4">
        <f>Table13[[#This Row],[تعداد کل درخت‏های تحت آبیاری
(اصله مستقل)
(N)]]*Table13[[#This Row],[سطح پوشش مفروض برای هر درخت
(متر مربع)]]</f>
        <v>1053</v>
      </c>
      <c r="J11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11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0.58597662771285475</v>
      </c>
      <c r="L117" s="8">
        <f>IF(Table13[[#This Row],[آیا
Achech  &gt;  Atree]]=1, 1, Table13[[#This Row],[Psh]]+(0.15*(1-Table13[[#This Row],[Psh]])))</f>
        <v>0.64808013355592653</v>
      </c>
      <c r="M117" s="8">
        <f>IF(Table13[[#This Row],[آیا
Achech  &gt;  Atree]]=1, 0.65, 1)</f>
        <v>1</v>
      </c>
      <c r="N11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1053</v>
      </c>
      <c r="O11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118" spans="2:15" x14ac:dyDescent="0.3">
      <c r="B118" s="4" t="s">
        <v>478</v>
      </c>
      <c r="C118" s="4">
        <v>4015</v>
      </c>
      <c r="D118" s="4">
        <v>575</v>
      </c>
      <c r="E118" s="4">
        <v>1725</v>
      </c>
      <c r="F118" s="4">
        <v>145682</v>
      </c>
      <c r="G118" s="16" t="s">
        <v>78</v>
      </c>
      <c r="H118" s="4">
        <v>9</v>
      </c>
      <c r="I118" s="4">
        <f>Table13[[#This Row],[تعداد کل درخت‏های تحت آبیاری
(اصله مستقل)
(N)]]*Table13[[#This Row],[سطح پوشش مفروض برای هر درخت
(متر مربع)]]</f>
        <v>5175</v>
      </c>
      <c r="J11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1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18" s="8">
        <f>IF(Table13[[#This Row],[آیا
Achech  &gt;  Atree]]=1, 1, Table13[[#This Row],[Psh]]+(0.15*(1-Table13[[#This Row],[Psh]])))</f>
        <v>1</v>
      </c>
      <c r="M118" s="8">
        <f>IF(Table13[[#This Row],[آیا
Achech  &gt;  Atree]]=1, 0.65, 1)</f>
        <v>0.65</v>
      </c>
      <c r="N11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1725</v>
      </c>
      <c r="O11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</v>
      </c>
    </row>
    <row r="119" spans="2:15" x14ac:dyDescent="0.3">
      <c r="B119" s="4" t="s">
        <v>479</v>
      </c>
      <c r="C119" s="4">
        <v>709</v>
      </c>
      <c r="D119" s="4">
        <v>35</v>
      </c>
      <c r="E119" s="4">
        <v>50</v>
      </c>
      <c r="F119" s="4">
        <v>11720</v>
      </c>
      <c r="G119" s="16" t="s">
        <v>7</v>
      </c>
      <c r="H119" s="4">
        <v>9</v>
      </c>
      <c r="I119" s="4">
        <f>Table13[[#This Row],[تعداد کل درخت‏های تحت آبیاری
(اصله مستقل)
(N)]]*Table13[[#This Row],[سطح پوشش مفروض برای هر درخت
(متر مربع)]]</f>
        <v>315</v>
      </c>
      <c r="J11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1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19" s="8">
        <f>IF(Table13[[#This Row],[آیا
Achech  &gt;  Atree]]=1, 1, Table13[[#This Row],[Psh]]+(0.15*(1-Table13[[#This Row],[Psh]])))</f>
        <v>1</v>
      </c>
      <c r="M119" s="8">
        <f>IF(Table13[[#This Row],[آیا
Achech  &gt;  Atree]]=1, 0.65, 1)</f>
        <v>0.65</v>
      </c>
      <c r="N11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50</v>
      </c>
      <c r="O11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1.4285714285714286</v>
      </c>
    </row>
    <row r="120" spans="2:15" x14ac:dyDescent="0.3">
      <c r="B120" s="4" t="s">
        <v>480</v>
      </c>
      <c r="C120" s="4">
        <v>75</v>
      </c>
      <c r="D120" s="4">
        <v>1</v>
      </c>
      <c r="E120" s="4">
        <v>1</v>
      </c>
      <c r="F120" s="4">
        <v>1201</v>
      </c>
      <c r="G120" s="16" t="s">
        <v>7</v>
      </c>
      <c r="H120" s="4">
        <v>9</v>
      </c>
      <c r="I120" s="4">
        <f>Table13[[#This Row],[تعداد کل درخت‏های تحت آبیاری
(اصله مستقل)
(N)]]*Table13[[#This Row],[سطح پوشش مفروض برای هر درخت
(متر مربع)]]</f>
        <v>9</v>
      </c>
      <c r="J12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2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20" s="8">
        <f>IF(Table13[[#This Row],[آیا
Achech  &gt;  Atree]]=1, 1, Table13[[#This Row],[Psh]]+(0.15*(1-Table13[[#This Row],[Psh]])))</f>
        <v>1</v>
      </c>
      <c r="M120" s="8">
        <f>IF(Table13[[#This Row],[آیا
Achech  &gt;  Atree]]=1, 0.65, 1)</f>
        <v>0.65</v>
      </c>
      <c r="N12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</v>
      </c>
      <c r="O12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121" spans="2:15" x14ac:dyDescent="0.3">
      <c r="B121" s="4" t="s">
        <v>485</v>
      </c>
      <c r="C121" s="4">
        <v>549</v>
      </c>
      <c r="D121" s="4">
        <v>142</v>
      </c>
      <c r="E121" s="4">
        <v>400</v>
      </c>
      <c r="F121" s="4">
        <v>9585</v>
      </c>
      <c r="G121" s="16" t="s">
        <v>7</v>
      </c>
      <c r="H121" s="4">
        <v>9</v>
      </c>
      <c r="I121" s="4">
        <f>Table13[[#This Row],[تعداد کل درخت‏های تحت آبیاری
(اصله مستقل)
(N)]]*Table13[[#This Row],[سطح پوشش مفروض برای هر درخت
(متر مربع)]]</f>
        <v>1278</v>
      </c>
      <c r="J12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2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21" s="8">
        <f>IF(Table13[[#This Row],[آیا
Achech  &gt;  Atree]]=1, 1, Table13[[#This Row],[Psh]]+(0.15*(1-Table13[[#This Row],[Psh]])))</f>
        <v>1</v>
      </c>
      <c r="M121" s="8">
        <f>IF(Table13[[#This Row],[آیا
Achech  &gt;  Atree]]=1, 0.65, 1)</f>
        <v>0.65</v>
      </c>
      <c r="N12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400</v>
      </c>
      <c r="O12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2.816901408450704</v>
      </c>
    </row>
    <row r="122" spans="2:15" x14ac:dyDescent="0.3">
      <c r="B122" s="4" t="s">
        <v>486</v>
      </c>
      <c r="C122" s="4">
        <v>9416</v>
      </c>
      <c r="D122" s="4">
        <v>3349</v>
      </c>
      <c r="E122" s="4">
        <v>36299</v>
      </c>
      <c r="F122" s="4">
        <v>133606</v>
      </c>
      <c r="G122" s="16" t="s">
        <v>78</v>
      </c>
      <c r="H122" s="4">
        <v>9</v>
      </c>
      <c r="I122" s="4">
        <f>Table13[[#This Row],[تعداد کل درخت‏های تحت آبیاری
(اصله مستقل)
(N)]]*Table13[[#This Row],[سطح پوشش مفروض برای هر درخت
(متر مربع)]]</f>
        <v>30141</v>
      </c>
      <c r="J12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12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0.83035345326317533</v>
      </c>
      <c r="L122" s="8">
        <f>IF(Table13[[#This Row],[آیا
Achech  &gt;  Atree]]=1, 1, Table13[[#This Row],[Psh]]+(0.15*(1-Table13[[#This Row],[Psh]])))</f>
        <v>0.85580043527369898</v>
      </c>
      <c r="M122" s="8">
        <f>IF(Table13[[#This Row],[آیا
Achech  &gt;  Atree]]=1, 0.65, 1)</f>
        <v>1</v>
      </c>
      <c r="N12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30141</v>
      </c>
      <c r="O12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123" spans="2:15" x14ac:dyDescent="0.3">
      <c r="B123" s="4" t="s">
        <v>487</v>
      </c>
      <c r="C123" s="4">
        <v>621</v>
      </c>
      <c r="D123" s="4">
        <v>459</v>
      </c>
      <c r="E123" s="4">
        <v>1779</v>
      </c>
      <c r="F123" s="4">
        <v>16358</v>
      </c>
      <c r="G123" s="16" t="s">
        <v>7</v>
      </c>
      <c r="H123" s="4">
        <v>9</v>
      </c>
      <c r="I123" s="4">
        <f>Table13[[#This Row],[تعداد کل درخت‏های تحت آبیاری
(اصله مستقل)
(N)]]*Table13[[#This Row],[سطح پوشش مفروض برای هر درخت
(متر مربع)]]</f>
        <v>4131</v>
      </c>
      <c r="J12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2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23" s="8">
        <f>IF(Table13[[#This Row],[آیا
Achech  &gt;  Atree]]=1, 1, Table13[[#This Row],[Psh]]+(0.15*(1-Table13[[#This Row],[Psh]])))</f>
        <v>1</v>
      </c>
      <c r="M123" s="8">
        <f>IF(Table13[[#This Row],[آیا
Achech  &gt;  Atree]]=1, 0.65, 1)</f>
        <v>0.65</v>
      </c>
      <c r="N12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1779</v>
      </c>
      <c r="O12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3.8758169934640523</v>
      </c>
    </row>
    <row r="124" spans="2:15" x14ac:dyDescent="0.3">
      <c r="B124" s="4" t="s">
        <v>488</v>
      </c>
      <c r="C124" s="4">
        <v>665</v>
      </c>
      <c r="D124" s="4">
        <v>50</v>
      </c>
      <c r="E124" s="4">
        <v>50</v>
      </c>
      <c r="F124" s="4">
        <v>13309</v>
      </c>
      <c r="G124" s="16" t="s">
        <v>78</v>
      </c>
      <c r="H124" s="4">
        <v>9</v>
      </c>
      <c r="I124" s="4">
        <f>Table13[[#This Row],[تعداد کل درخت‏های تحت آبیاری
(اصله مستقل)
(N)]]*Table13[[#This Row],[سطح پوشش مفروض برای هر درخت
(متر مربع)]]</f>
        <v>450</v>
      </c>
      <c r="J12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2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24" s="8">
        <f>IF(Table13[[#This Row],[آیا
Achech  &gt;  Atree]]=1, 1, Table13[[#This Row],[Psh]]+(0.15*(1-Table13[[#This Row],[Psh]])))</f>
        <v>1</v>
      </c>
      <c r="M124" s="8">
        <f>IF(Table13[[#This Row],[آیا
Achech  &gt;  Atree]]=1, 0.65, 1)</f>
        <v>0.65</v>
      </c>
      <c r="N12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50</v>
      </c>
      <c r="O12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125" spans="2:15" x14ac:dyDescent="0.3">
      <c r="B125" s="4" t="s">
        <v>489</v>
      </c>
      <c r="C125" s="4">
        <v>166</v>
      </c>
      <c r="D125" s="4">
        <v>49</v>
      </c>
      <c r="E125" s="4">
        <v>121</v>
      </c>
      <c r="F125" s="4">
        <v>5366</v>
      </c>
      <c r="G125" s="16" t="s">
        <v>7</v>
      </c>
      <c r="H125" s="4">
        <v>9</v>
      </c>
      <c r="I125" s="4">
        <f>Table13[[#This Row],[تعداد کل درخت‏های تحت آبیاری
(اصله مستقل)
(N)]]*Table13[[#This Row],[سطح پوشش مفروض برای هر درخت
(متر مربع)]]</f>
        <v>441</v>
      </c>
      <c r="J12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2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25" s="8">
        <f>IF(Table13[[#This Row],[آیا
Achech  &gt;  Atree]]=1, 1, Table13[[#This Row],[Psh]]+(0.15*(1-Table13[[#This Row],[Psh]])))</f>
        <v>1</v>
      </c>
      <c r="M125" s="8">
        <f>IF(Table13[[#This Row],[آیا
Achech  &gt;  Atree]]=1, 0.65, 1)</f>
        <v>0.65</v>
      </c>
      <c r="N12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121</v>
      </c>
      <c r="O12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2.4693877551020407</v>
      </c>
    </row>
    <row r="126" spans="2:15" x14ac:dyDescent="0.3">
      <c r="B126" s="4" t="s">
        <v>490</v>
      </c>
      <c r="C126" s="4">
        <v>280</v>
      </c>
      <c r="D126" s="4">
        <v>241</v>
      </c>
      <c r="E126" s="4">
        <v>389</v>
      </c>
      <c r="F126" s="4">
        <v>9043</v>
      </c>
      <c r="G126" s="16" t="s">
        <v>7</v>
      </c>
      <c r="H126" s="4">
        <v>9</v>
      </c>
      <c r="I126" s="4">
        <f>Table13[[#This Row],[تعداد کل درخت‏های تحت آبیاری
(اصله مستقل)
(N)]]*Table13[[#This Row],[سطح پوشش مفروض برای هر درخت
(متر مربع)]]</f>
        <v>2169</v>
      </c>
      <c r="J12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2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26" s="8">
        <f>IF(Table13[[#This Row],[آیا
Achech  &gt;  Atree]]=1, 1, Table13[[#This Row],[Psh]]+(0.15*(1-Table13[[#This Row],[Psh]])))</f>
        <v>1</v>
      </c>
      <c r="M126" s="8">
        <f>IF(Table13[[#This Row],[آیا
Achech  &gt;  Atree]]=1, 0.65, 1)</f>
        <v>0.65</v>
      </c>
      <c r="N12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389</v>
      </c>
      <c r="O12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1.6141078838174274</v>
      </c>
    </row>
    <row r="127" spans="2:15" x14ac:dyDescent="0.3">
      <c r="B127" s="4" t="s">
        <v>491</v>
      </c>
      <c r="C127" s="4">
        <v>2024</v>
      </c>
      <c r="D127" s="4">
        <v>55</v>
      </c>
      <c r="E127" s="4">
        <v>968</v>
      </c>
      <c r="F127" s="4">
        <v>27804</v>
      </c>
      <c r="G127" s="16" t="s">
        <v>7</v>
      </c>
      <c r="H127" s="4">
        <v>9</v>
      </c>
      <c r="I127" s="4">
        <f>Table13[[#This Row],[تعداد کل درخت‏های تحت آبیاری
(اصله مستقل)
(N)]]*Table13[[#This Row],[سطح پوشش مفروض برای هر درخت
(متر مربع)]]</f>
        <v>495</v>
      </c>
      <c r="J12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12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0.51136363636363635</v>
      </c>
      <c r="L127" s="8">
        <f>IF(Table13[[#This Row],[آیا
Achech  &gt;  Atree]]=1, 1, Table13[[#This Row],[Psh]]+(0.15*(1-Table13[[#This Row],[Psh]])))</f>
        <v>0.58465909090909085</v>
      </c>
      <c r="M127" s="8">
        <f>IF(Table13[[#This Row],[آیا
Achech  &gt;  Atree]]=1, 0.65, 1)</f>
        <v>1</v>
      </c>
      <c r="N12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495</v>
      </c>
      <c r="O12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128" spans="2:15" x14ac:dyDescent="0.3">
      <c r="B128" s="4" t="s">
        <v>503</v>
      </c>
      <c r="C128" s="4">
        <v>829</v>
      </c>
      <c r="D128" s="4">
        <v>829</v>
      </c>
      <c r="E128" s="4">
        <v>829</v>
      </c>
      <c r="F128" s="4">
        <v>8878</v>
      </c>
      <c r="G128" s="16" t="s">
        <v>7</v>
      </c>
      <c r="H128" s="4">
        <v>9</v>
      </c>
      <c r="I128" s="4">
        <f>Table13[[#This Row],[تعداد کل درخت‏های تحت آبیاری
(اصله مستقل)
(N)]]*Table13[[#This Row],[سطح پوشش مفروض برای هر درخت
(متر مربع)]]</f>
        <v>7461</v>
      </c>
      <c r="J12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2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28" s="8">
        <f>IF(Table13[[#This Row],[آیا
Achech  &gt;  Atree]]=1, 1, Table13[[#This Row],[Psh]]+(0.15*(1-Table13[[#This Row],[Psh]])))</f>
        <v>1</v>
      </c>
      <c r="M128" s="8">
        <f>IF(Table13[[#This Row],[آیا
Achech  &gt;  Atree]]=1, 0.65, 1)</f>
        <v>0.65</v>
      </c>
      <c r="N12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829</v>
      </c>
      <c r="O12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129" spans="2:15" x14ac:dyDescent="0.3">
      <c r="B129" s="4" t="s">
        <v>504</v>
      </c>
      <c r="C129" s="4">
        <v>913</v>
      </c>
      <c r="D129" s="4">
        <v>84</v>
      </c>
      <c r="E129" s="4">
        <v>336</v>
      </c>
      <c r="F129" s="4">
        <v>8610</v>
      </c>
      <c r="G129" s="16" t="s">
        <v>7</v>
      </c>
      <c r="H129" s="4">
        <v>9</v>
      </c>
      <c r="I129" s="4">
        <f>Table13[[#This Row],[تعداد کل درخت‏های تحت آبیاری
(اصله مستقل)
(N)]]*Table13[[#This Row],[سطح پوشش مفروض برای هر درخت
(متر مربع)]]</f>
        <v>756</v>
      </c>
      <c r="J12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2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29" s="8">
        <f>IF(Table13[[#This Row],[آیا
Achech  &gt;  Atree]]=1, 1, Table13[[#This Row],[Psh]]+(0.15*(1-Table13[[#This Row],[Psh]])))</f>
        <v>1</v>
      </c>
      <c r="M129" s="8">
        <f>IF(Table13[[#This Row],[آیا
Achech  &gt;  Atree]]=1, 0.65, 1)</f>
        <v>0.65</v>
      </c>
      <c r="N12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336</v>
      </c>
      <c r="O12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</v>
      </c>
    </row>
    <row r="130" spans="2:15" x14ac:dyDescent="0.3">
      <c r="B130" s="4" t="s">
        <v>506</v>
      </c>
      <c r="C130" s="4">
        <v>4068</v>
      </c>
      <c r="D130" s="4">
        <v>1942</v>
      </c>
      <c r="E130" s="4">
        <v>7744</v>
      </c>
      <c r="F130" s="4">
        <v>160152</v>
      </c>
      <c r="G130" s="16" t="s">
        <v>78</v>
      </c>
      <c r="H130" s="4">
        <v>9</v>
      </c>
      <c r="I130" s="4">
        <f>Table13[[#This Row],[تعداد کل درخت‏های تحت آبیاری
(اصله مستقل)
(N)]]*Table13[[#This Row],[سطح پوشش مفروض برای هر درخت
(متر مربع)]]</f>
        <v>17478</v>
      </c>
      <c r="J13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3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30" s="8">
        <f>IF(Table13[[#This Row],[آیا
Achech  &gt;  Atree]]=1, 1, Table13[[#This Row],[Psh]]+(0.15*(1-Table13[[#This Row],[Psh]])))</f>
        <v>1</v>
      </c>
      <c r="M130" s="8">
        <f>IF(Table13[[#This Row],[آیا
Achech  &gt;  Atree]]=1, 0.65, 1)</f>
        <v>0.65</v>
      </c>
      <c r="N13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7744</v>
      </c>
      <c r="O13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3.9876416065911431</v>
      </c>
    </row>
    <row r="131" spans="2:15" x14ac:dyDescent="0.3">
      <c r="B131" s="4" t="s">
        <v>510</v>
      </c>
      <c r="C131" s="4">
        <v>120</v>
      </c>
      <c r="D131" s="4">
        <v>32</v>
      </c>
      <c r="E131" s="4">
        <v>128</v>
      </c>
      <c r="F131" s="4">
        <v>1732</v>
      </c>
      <c r="G131" s="16" t="s">
        <v>7</v>
      </c>
      <c r="H131" s="4">
        <v>9</v>
      </c>
      <c r="I131" s="4">
        <f>Table13[[#This Row],[تعداد کل درخت‏های تحت آبیاری
(اصله مستقل)
(N)]]*Table13[[#This Row],[سطح پوشش مفروض برای هر درخت
(متر مربع)]]</f>
        <v>288</v>
      </c>
      <c r="J13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3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31" s="8">
        <f>IF(Table13[[#This Row],[آیا
Achech  &gt;  Atree]]=1, 1, Table13[[#This Row],[Psh]]+(0.15*(1-Table13[[#This Row],[Psh]])))</f>
        <v>1</v>
      </c>
      <c r="M131" s="8">
        <f>IF(Table13[[#This Row],[آیا
Achech  &gt;  Atree]]=1, 0.65, 1)</f>
        <v>0.65</v>
      </c>
      <c r="N13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128</v>
      </c>
      <c r="O13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</v>
      </c>
    </row>
    <row r="132" spans="2:15" x14ac:dyDescent="0.3">
      <c r="B132" s="4" t="s">
        <v>511</v>
      </c>
      <c r="C132" s="4">
        <v>580</v>
      </c>
      <c r="D132" s="4">
        <v>60</v>
      </c>
      <c r="E132" s="4">
        <v>240</v>
      </c>
      <c r="F132" s="4">
        <v>22092</v>
      </c>
      <c r="G132" s="16" t="s">
        <v>7</v>
      </c>
      <c r="H132" s="4">
        <v>9</v>
      </c>
      <c r="I132" s="4">
        <f>Table13[[#This Row],[تعداد کل درخت‏های تحت آبیاری
(اصله مستقل)
(N)]]*Table13[[#This Row],[سطح پوشش مفروض برای هر درخت
(متر مربع)]]</f>
        <v>540</v>
      </c>
      <c r="J13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3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32" s="8">
        <f>IF(Table13[[#This Row],[آیا
Achech  &gt;  Atree]]=1, 1, Table13[[#This Row],[Psh]]+(0.15*(1-Table13[[#This Row],[Psh]])))</f>
        <v>1</v>
      </c>
      <c r="M132" s="8">
        <f>IF(Table13[[#This Row],[آیا
Achech  &gt;  Atree]]=1, 0.65, 1)</f>
        <v>0.65</v>
      </c>
      <c r="N13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240</v>
      </c>
      <c r="O13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</v>
      </c>
    </row>
    <row r="133" spans="2:15" x14ac:dyDescent="0.3">
      <c r="B133" s="4" t="s">
        <v>512</v>
      </c>
      <c r="C133" s="4">
        <v>550</v>
      </c>
      <c r="D133" s="4">
        <v>550</v>
      </c>
      <c r="E133" s="4">
        <v>2205</v>
      </c>
      <c r="F133" s="4">
        <v>2205</v>
      </c>
      <c r="G133" s="16" t="s">
        <v>7</v>
      </c>
      <c r="H133" s="4">
        <v>9</v>
      </c>
      <c r="I133" s="4">
        <f>Table13[[#This Row],[تعداد کل درخت‏های تحت آبیاری
(اصله مستقل)
(N)]]*Table13[[#This Row],[سطح پوشش مفروض برای هر درخت
(متر مربع)]]</f>
        <v>4950</v>
      </c>
      <c r="J13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3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33" s="8">
        <f>IF(Table13[[#This Row],[آیا
Achech  &gt;  Atree]]=1, 1, Table13[[#This Row],[Psh]]+(0.15*(1-Table13[[#This Row],[Psh]])))</f>
        <v>1</v>
      </c>
      <c r="M133" s="8">
        <f>IF(Table13[[#This Row],[آیا
Achech  &gt;  Atree]]=1, 0.65, 1)</f>
        <v>0.65</v>
      </c>
      <c r="N13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2205</v>
      </c>
      <c r="O13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4.0090909090909088</v>
      </c>
    </row>
    <row r="134" spans="2:15" x14ac:dyDescent="0.3">
      <c r="B134" s="4" t="s">
        <v>513</v>
      </c>
      <c r="C134" s="4">
        <v>385</v>
      </c>
      <c r="D134" s="4">
        <v>278</v>
      </c>
      <c r="E134" s="4">
        <v>1112</v>
      </c>
      <c r="F134" s="4">
        <v>3930</v>
      </c>
      <c r="G134" s="16" t="s">
        <v>7</v>
      </c>
      <c r="H134" s="4">
        <v>9</v>
      </c>
      <c r="I134" s="4">
        <f>Table13[[#This Row],[تعداد کل درخت‏های تحت آبیاری
(اصله مستقل)
(N)]]*Table13[[#This Row],[سطح پوشش مفروض برای هر درخت
(متر مربع)]]</f>
        <v>2502</v>
      </c>
      <c r="J13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3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34" s="8">
        <f>IF(Table13[[#This Row],[آیا
Achech  &gt;  Atree]]=1, 1, Table13[[#This Row],[Psh]]+(0.15*(1-Table13[[#This Row],[Psh]])))</f>
        <v>1</v>
      </c>
      <c r="M134" s="8">
        <f>IF(Table13[[#This Row],[آیا
Achech  &gt;  Atree]]=1, 0.65, 1)</f>
        <v>0.65</v>
      </c>
      <c r="N13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1112</v>
      </c>
      <c r="O13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</v>
      </c>
    </row>
    <row r="135" spans="2:15" x14ac:dyDescent="0.3">
      <c r="B135" s="4" t="s">
        <v>514</v>
      </c>
      <c r="C135" s="4">
        <v>707</v>
      </c>
      <c r="D135" s="4">
        <v>260</v>
      </c>
      <c r="E135" s="4">
        <v>1040</v>
      </c>
      <c r="F135" s="4">
        <v>21855</v>
      </c>
      <c r="G135" s="16" t="s">
        <v>7</v>
      </c>
      <c r="H135" s="4">
        <v>9</v>
      </c>
      <c r="I135" s="4">
        <f>Table13[[#This Row],[تعداد کل درخت‏های تحت آبیاری
(اصله مستقل)
(N)]]*Table13[[#This Row],[سطح پوشش مفروض برای هر درخت
(متر مربع)]]</f>
        <v>2340</v>
      </c>
      <c r="J13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3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35" s="8">
        <f>IF(Table13[[#This Row],[آیا
Achech  &gt;  Atree]]=1, 1, Table13[[#This Row],[Psh]]+(0.15*(1-Table13[[#This Row],[Psh]])))</f>
        <v>1</v>
      </c>
      <c r="M135" s="8">
        <f>IF(Table13[[#This Row],[آیا
Achech  &gt;  Atree]]=1, 0.65, 1)</f>
        <v>0.65</v>
      </c>
      <c r="N13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1040</v>
      </c>
      <c r="O13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</v>
      </c>
    </row>
    <row r="136" spans="2:15" x14ac:dyDescent="0.3">
      <c r="B136" s="4" t="s">
        <v>547</v>
      </c>
      <c r="C136" s="4">
        <v>192</v>
      </c>
      <c r="D136" s="4">
        <v>65</v>
      </c>
      <c r="E136" s="4">
        <v>650</v>
      </c>
      <c r="F136" s="4">
        <v>1965</v>
      </c>
      <c r="G136" s="16" t="s">
        <v>7</v>
      </c>
      <c r="H136" s="4">
        <v>9</v>
      </c>
      <c r="I136" s="4">
        <f>Table13[[#This Row],[تعداد کل درخت‏های تحت آبیاری
(اصله مستقل)
(N)]]*Table13[[#This Row],[سطح پوشش مفروض برای هر درخت
(متر مربع)]]</f>
        <v>585</v>
      </c>
      <c r="J13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13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0.9</v>
      </c>
      <c r="L136" s="8">
        <f>IF(Table13[[#This Row],[آیا
Achech  &gt;  Atree]]=1, 1, Table13[[#This Row],[Psh]]+(0.15*(1-Table13[[#This Row],[Psh]])))</f>
        <v>0.91500000000000004</v>
      </c>
      <c r="M136" s="8">
        <f>IF(Table13[[#This Row],[آیا
Achech  &gt;  Atree]]=1, 0.65, 1)</f>
        <v>1</v>
      </c>
      <c r="N13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585</v>
      </c>
      <c r="O13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137" spans="2:15" x14ac:dyDescent="0.3">
      <c r="B137" s="4" t="s">
        <v>548</v>
      </c>
      <c r="C137" s="4">
        <v>654</v>
      </c>
      <c r="D137" s="4">
        <v>43</v>
      </c>
      <c r="E137" s="4">
        <v>372</v>
      </c>
      <c r="F137" s="4">
        <v>13131</v>
      </c>
      <c r="G137" s="16" t="s">
        <v>7</v>
      </c>
      <c r="H137" s="4">
        <v>9</v>
      </c>
      <c r="I137" s="4">
        <f>Table13[[#This Row],[تعداد کل درخت‏های تحت آبیاری
(اصله مستقل)
(N)]]*Table13[[#This Row],[سطح پوشش مفروض برای هر درخت
(متر مربع)]]</f>
        <v>387</v>
      </c>
      <c r="J13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3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37" s="8">
        <f>IF(Table13[[#This Row],[آیا
Achech  &gt;  Atree]]=1, 1, Table13[[#This Row],[Psh]]+(0.15*(1-Table13[[#This Row],[Psh]])))</f>
        <v>1</v>
      </c>
      <c r="M137" s="8">
        <f>IF(Table13[[#This Row],[آیا
Achech  &gt;  Atree]]=1, 0.65, 1)</f>
        <v>0.65</v>
      </c>
      <c r="N13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372</v>
      </c>
      <c r="O13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8.6511627906976738</v>
      </c>
    </row>
    <row r="138" spans="2:15" x14ac:dyDescent="0.3">
      <c r="B138" s="4" t="s">
        <v>549</v>
      </c>
      <c r="C138" s="4">
        <v>1886</v>
      </c>
      <c r="D138" s="4">
        <v>582</v>
      </c>
      <c r="E138" s="4">
        <v>1746</v>
      </c>
      <c r="F138" s="4">
        <v>29677</v>
      </c>
      <c r="G138" s="16" t="s">
        <v>7</v>
      </c>
      <c r="H138" s="4">
        <v>9</v>
      </c>
      <c r="I138" s="4">
        <f>Table13[[#This Row],[تعداد کل درخت‏های تحت آبیاری
(اصله مستقل)
(N)]]*Table13[[#This Row],[سطح پوشش مفروض برای هر درخت
(متر مربع)]]</f>
        <v>5238</v>
      </c>
      <c r="J13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3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38" s="8">
        <f>IF(Table13[[#This Row],[آیا
Achech  &gt;  Atree]]=1, 1, Table13[[#This Row],[Psh]]+(0.15*(1-Table13[[#This Row],[Psh]])))</f>
        <v>1</v>
      </c>
      <c r="M138" s="8">
        <f>IF(Table13[[#This Row],[آیا
Achech  &gt;  Atree]]=1, 0.65, 1)</f>
        <v>0.65</v>
      </c>
      <c r="N13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1746</v>
      </c>
      <c r="O13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</v>
      </c>
    </row>
    <row r="139" spans="2:15" x14ac:dyDescent="0.3">
      <c r="B139" s="4" t="s">
        <v>550</v>
      </c>
      <c r="C139" s="4">
        <v>951</v>
      </c>
      <c r="D139" s="4">
        <v>467</v>
      </c>
      <c r="E139" s="4">
        <v>1401</v>
      </c>
      <c r="F139" s="4">
        <v>18191</v>
      </c>
      <c r="G139" s="16" t="s">
        <v>7</v>
      </c>
      <c r="H139" s="4">
        <v>9</v>
      </c>
      <c r="I139" s="4">
        <f>Table13[[#This Row],[تعداد کل درخت‏های تحت آبیاری
(اصله مستقل)
(N)]]*Table13[[#This Row],[سطح پوشش مفروض برای هر درخت
(متر مربع)]]</f>
        <v>4203</v>
      </c>
      <c r="J13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3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39" s="8">
        <f>IF(Table13[[#This Row],[آیا
Achech  &gt;  Atree]]=1, 1, Table13[[#This Row],[Psh]]+(0.15*(1-Table13[[#This Row],[Psh]])))</f>
        <v>1</v>
      </c>
      <c r="M139" s="8">
        <f>IF(Table13[[#This Row],[آیا
Achech  &gt;  Atree]]=1, 0.65, 1)</f>
        <v>0.65</v>
      </c>
      <c r="N13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1401</v>
      </c>
      <c r="O13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</v>
      </c>
    </row>
    <row r="140" spans="2:15" x14ac:dyDescent="0.3">
      <c r="B140" s="4" t="s">
        <v>551</v>
      </c>
      <c r="C140" s="4">
        <v>478</v>
      </c>
      <c r="D140" s="4">
        <v>380</v>
      </c>
      <c r="E140" s="4">
        <v>570</v>
      </c>
      <c r="F140" s="4">
        <v>4129</v>
      </c>
      <c r="G140" s="16" t="s">
        <v>7</v>
      </c>
      <c r="H140" s="4">
        <v>9</v>
      </c>
      <c r="I140" s="4">
        <f>Table13[[#This Row],[تعداد کل درخت‏های تحت آبیاری
(اصله مستقل)
(N)]]*Table13[[#This Row],[سطح پوشش مفروض برای هر درخت
(متر مربع)]]</f>
        <v>3420</v>
      </c>
      <c r="J14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4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40" s="8">
        <f>IF(Table13[[#This Row],[آیا
Achech  &gt;  Atree]]=1, 1, Table13[[#This Row],[Psh]]+(0.15*(1-Table13[[#This Row],[Psh]])))</f>
        <v>1</v>
      </c>
      <c r="M140" s="8">
        <f>IF(Table13[[#This Row],[آیا
Achech  &gt;  Atree]]=1, 0.65, 1)</f>
        <v>0.65</v>
      </c>
      <c r="N14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570</v>
      </c>
      <c r="O14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1.5</v>
      </c>
    </row>
    <row r="141" spans="2:15" x14ac:dyDescent="0.3">
      <c r="B141" s="4" t="s">
        <v>552</v>
      </c>
      <c r="C141" s="4">
        <v>220</v>
      </c>
      <c r="D141" s="4">
        <v>4</v>
      </c>
      <c r="E141" s="4">
        <v>16</v>
      </c>
      <c r="F141" s="4">
        <v>1320</v>
      </c>
      <c r="G141" s="16" t="s">
        <v>7</v>
      </c>
      <c r="H141" s="4">
        <v>9</v>
      </c>
      <c r="I141" s="4">
        <f>Table13[[#This Row],[تعداد کل درخت‏های تحت آبیاری
(اصله مستقل)
(N)]]*Table13[[#This Row],[سطح پوشش مفروض برای هر درخت
(متر مربع)]]</f>
        <v>36</v>
      </c>
      <c r="J14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4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41" s="8">
        <f>IF(Table13[[#This Row],[آیا
Achech  &gt;  Atree]]=1, 1, Table13[[#This Row],[Psh]]+(0.15*(1-Table13[[#This Row],[Psh]])))</f>
        <v>1</v>
      </c>
      <c r="M141" s="8">
        <f>IF(Table13[[#This Row],[آیا
Achech  &gt;  Atree]]=1, 0.65, 1)</f>
        <v>0.65</v>
      </c>
      <c r="N14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16</v>
      </c>
      <c r="O14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</v>
      </c>
    </row>
    <row r="142" spans="2:15" x14ac:dyDescent="0.3">
      <c r="B142" s="4" t="s">
        <v>583</v>
      </c>
      <c r="C142" s="4">
        <v>374</v>
      </c>
      <c r="D142" s="4">
        <v>66</v>
      </c>
      <c r="E142" s="4">
        <v>154</v>
      </c>
      <c r="F142" s="4">
        <v>9559</v>
      </c>
      <c r="G142" s="16" t="s">
        <v>7</v>
      </c>
      <c r="H142" s="4">
        <v>9</v>
      </c>
      <c r="I142" s="4">
        <f>Table13[[#This Row],[تعداد کل درخت‏های تحت آبیاری
(اصله مستقل)
(N)]]*Table13[[#This Row],[سطح پوشش مفروض برای هر درخت
(متر مربع)]]</f>
        <v>594</v>
      </c>
      <c r="J14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4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42" s="8">
        <f>IF(Table13[[#This Row],[آیا
Achech  &gt;  Atree]]=1, 1, Table13[[#This Row],[Psh]]+(0.15*(1-Table13[[#This Row],[Psh]])))</f>
        <v>1</v>
      </c>
      <c r="M142" s="8">
        <f>IF(Table13[[#This Row],[آیا
Achech  &gt;  Atree]]=1, 0.65, 1)</f>
        <v>0.65</v>
      </c>
      <c r="N14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154</v>
      </c>
      <c r="O14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2.3333333333333335</v>
      </c>
    </row>
    <row r="143" spans="2:15" x14ac:dyDescent="0.3">
      <c r="B143" s="4" t="s">
        <v>584</v>
      </c>
      <c r="C143" s="4">
        <v>970</v>
      </c>
      <c r="D143" s="4">
        <v>210</v>
      </c>
      <c r="E143" s="4">
        <v>189</v>
      </c>
      <c r="F143" s="4">
        <v>21295</v>
      </c>
      <c r="G143" s="16" t="s">
        <v>7</v>
      </c>
      <c r="H143" s="4">
        <v>9</v>
      </c>
      <c r="I143" s="4">
        <f>Table13[[#This Row],[تعداد کل درخت‏های تحت آبیاری
(اصله مستقل)
(N)]]*Table13[[#This Row],[سطح پوشش مفروض برای هر درخت
(متر مربع)]]</f>
        <v>1890</v>
      </c>
      <c r="J14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4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43" s="8">
        <f>IF(Table13[[#This Row],[آیا
Achech  &gt;  Atree]]=1, 1, Table13[[#This Row],[Psh]]+(0.15*(1-Table13[[#This Row],[Psh]])))</f>
        <v>1</v>
      </c>
      <c r="M143" s="8">
        <f>IF(Table13[[#This Row],[آیا
Achech  &gt;  Atree]]=1, 0.65, 1)</f>
        <v>0.65</v>
      </c>
      <c r="N14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189</v>
      </c>
      <c r="O14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0.9</v>
      </c>
    </row>
    <row r="144" spans="2:15" x14ac:dyDescent="0.3">
      <c r="B144" s="4" t="s">
        <v>585</v>
      </c>
      <c r="C144" s="4">
        <v>681</v>
      </c>
      <c r="D144" s="4">
        <v>408</v>
      </c>
      <c r="E144" s="4">
        <v>612</v>
      </c>
      <c r="F144" s="4">
        <v>8734</v>
      </c>
      <c r="G144" s="16" t="s">
        <v>7</v>
      </c>
      <c r="H144" s="4">
        <v>9</v>
      </c>
      <c r="I144" s="4">
        <f>Table13[[#This Row],[تعداد کل درخت‏های تحت آبیاری
(اصله مستقل)
(N)]]*Table13[[#This Row],[سطح پوشش مفروض برای هر درخت
(متر مربع)]]</f>
        <v>3672</v>
      </c>
      <c r="J14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4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44" s="8">
        <f>IF(Table13[[#This Row],[آیا
Achech  &gt;  Atree]]=1, 1, Table13[[#This Row],[Psh]]+(0.15*(1-Table13[[#This Row],[Psh]])))</f>
        <v>1</v>
      </c>
      <c r="M144" s="8">
        <f>IF(Table13[[#This Row],[آیا
Achech  &gt;  Atree]]=1, 0.65, 1)</f>
        <v>0.65</v>
      </c>
      <c r="N14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612</v>
      </c>
      <c r="O14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1.5</v>
      </c>
    </row>
    <row r="145" spans="2:15" x14ac:dyDescent="0.3">
      <c r="B145" s="4" t="s">
        <v>586</v>
      </c>
      <c r="C145" s="4">
        <v>414</v>
      </c>
      <c r="D145" s="4">
        <v>414</v>
      </c>
      <c r="E145" s="4">
        <v>621</v>
      </c>
      <c r="F145" s="4">
        <v>2367</v>
      </c>
      <c r="G145" s="16" t="s">
        <v>7</v>
      </c>
      <c r="H145" s="4">
        <v>9</v>
      </c>
      <c r="I145" s="4">
        <f>Table13[[#This Row],[تعداد کل درخت‏های تحت آبیاری
(اصله مستقل)
(N)]]*Table13[[#This Row],[سطح پوشش مفروض برای هر درخت
(متر مربع)]]</f>
        <v>3726</v>
      </c>
      <c r="J14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4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45" s="8">
        <f>IF(Table13[[#This Row],[آیا
Achech  &gt;  Atree]]=1, 1, Table13[[#This Row],[Psh]]+(0.15*(1-Table13[[#This Row],[Psh]])))</f>
        <v>1</v>
      </c>
      <c r="M145" s="8">
        <f>IF(Table13[[#This Row],[آیا
Achech  &gt;  Atree]]=1, 0.65, 1)</f>
        <v>0.65</v>
      </c>
      <c r="N14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621</v>
      </c>
      <c r="O14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1.5</v>
      </c>
    </row>
    <row r="146" spans="2:15" x14ac:dyDescent="0.3">
      <c r="B146" s="4" t="s">
        <v>587</v>
      </c>
      <c r="C146" s="4">
        <v>617</v>
      </c>
      <c r="D146" s="4">
        <v>51</v>
      </c>
      <c r="E146" s="4">
        <v>85</v>
      </c>
      <c r="F146" s="4">
        <v>14112</v>
      </c>
      <c r="G146" s="16" t="s">
        <v>7</v>
      </c>
      <c r="H146" s="4">
        <v>9</v>
      </c>
      <c r="I146" s="4">
        <f>Table13[[#This Row],[تعداد کل درخت‏های تحت آبیاری
(اصله مستقل)
(N)]]*Table13[[#This Row],[سطح پوشش مفروض برای هر درخت
(متر مربع)]]</f>
        <v>459</v>
      </c>
      <c r="J14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4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46" s="8">
        <f>IF(Table13[[#This Row],[آیا
Achech  &gt;  Atree]]=1, 1, Table13[[#This Row],[Psh]]+(0.15*(1-Table13[[#This Row],[Psh]])))</f>
        <v>1</v>
      </c>
      <c r="M146" s="8">
        <f>IF(Table13[[#This Row],[آیا
Achech  &gt;  Atree]]=1, 0.65, 1)</f>
        <v>0.65</v>
      </c>
      <c r="N14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85</v>
      </c>
      <c r="O14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1.6666666666666667</v>
      </c>
    </row>
    <row r="147" spans="2:15" x14ac:dyDescent="0.3">
      <c r="B147" s="4" t="s">
        <v>588</v>
      </c>
      <c r="C147" s="4">
        <v>35</v>
      </c>
      <c r="D147" s="4">
        <v>35</v>
      </c>
      <c r="E147" s="4">
        <v>14</v>
      </c>
      <c r="F147" s="4">
        <v>870</v>
      </c>
      <c r="G147" s="16" t="s">
        <v>7</v>
      </c>
      <c r="H147" s="4">
        <v>9</v>
      </c>
      <c r="I147" s="4">
        <f>Table13[[#This Row],[تعداد کل درخت‏های تحت آبیاری
(اصله مستقل)
(N)]]*Table13[[#This Row],[سطح پوشش مفروض برای هر درخت
(متر مربع)]]</f>
        <v>315</v>
      </c>
      <c r="J14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4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47" s="8">
        <f>IF(Table13[[#This Row],[آیا
Achech  &gt;  Atree]]=1, 1, Table13[[#This Row],[Psh]]+(0.15*(1-Table13[[#This Row],[Psh]])))</f>
        <v>1</v>
      </c>
      <c r="M147" s="8">
        <f>IF(Table13[[#This Row],[آیا
Achech  &gt;  Atree]]=1, 0.65, 1)</f>
        <v>0.65</v>
      </c>
      <c r="N14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14</v>
      </c>
      <c r="O14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0.4</v>
      </c>
    </row>
    <row r="148" spans="2:15" x14ac:dyDescent="0.3">
      <c r="B148" s="4" t="s">
        <v>589</v>
      </c>
      <c r="C148" s="4">
        <v>177</v>
      </c>
      <c r="D148" s="4">
        <v>20</v>
      </c>
      <c r="E148" s="4">
        <v>26</v>
      </c>
      <c r="F148" s="4">
        <v>2457</v>
      </c>
      <c r="G148" s="16" t="s">
        <v>7</v>
      </c>
      <c r="H148" s="4">
        <v>9</v>
      </c>
      <c r="I148" s="4">
        <f>Table13[[#This Row],[تعداد کل درخت‏های تحت آبیاری
(اصله مستقل)
(N)]]*Table13[[#This Row],[سطح پوشش مفروض برای هر درخت
(متر مربع)]]</f>
        <v>180</v>
      </c>
      <c r="J14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4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48" s="8">
        <f>IF(Table13[[#This Row],[آیا
Achech  &gt;  Atree]]=1, 1, Table13[[#This Row],[Psh]]+(0.15*(1-Table13[[#This Row],[Psh]])))</f>
        <v>1</v>
      </c>
      <c r="M148" s="8">
        <f>IF(Table13[[#This Row],[آیا
Achech  &gt;  Atree]]=1, 0.65, 1)</f>
        <v>0.65</v>
      </c>
      <c r="N14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26</v>
      </c>
      <c r="O14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1.3</v>
      </c>
    </row>
    <row r="149" spans="2:15" x14ac:dyDescent="0.3">
      <c r="B149" s="4" t="s">
        <v>590</v>
      </c>
      <c r="C149" s="4">
        <v>184</v>
      </c>
      <c r="D149" s="4">
        <v>65</v>
      </c>
      <c r="E149" s="4">
        <v>75</v>
      </c>
      <c r="F149" s="4">
        <v>4908</v>
      </c>
      <c r="G149" s="16" t="s">
        <v>7</v>
      </c>
      <c r="H149" s="4">
        <v>9</v>
      </c>
      <c r="I149" s="4">
        <f>Table13[[#This Row],[تعداد کل درخت‏های تحت آبیاری
(اصله مستقل)
(N)]]*Table13[[#This Row],[سطح پوشش مفروض برای هر درخت
(متر مربع)]]</f>
        <v>585</v>
      </c>
      <c r="J14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4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49" s="8">
        <f>IF(Table13[[#This Row],[آیا
Achech  &gt;  Atree]]=1, 1, Table13[[#This Row],[Psh]]+(0.15*(1-Table13[[#This Row],[Psh]])))</f>
        <v>1</v>
      </c>
      <c r="M149" s="8">
        <f>IF(Table13[[#This Row],[آیا
Achech  &gt;  Atree]]=1, 0.65, 1)</f>
        <v>0.65</v>
      </c>
      <c r="N14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75</v>
      </c>
      <c r="O14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1.1538461538461537</v>
      </c>
    </row>
    <row r="150" spans="2:15" x14ac:dyDescent="0.3">
      <c r="B150" s="4" t="s">
        <v>600</v>
      </c>
      <c r="C150" s="4">
        <v>1007</v>
      </c>
      <c r="D150" s="4">
        <v>45</v>
      </c>
      <c r="E150" s="4">
        <v>45</v>
      </c>
      <c r="F150" s="4">
        <v>8956</v>
      </c>
      <c r="G150" s="16" t="s">
        <v>7</v>
      </c>
      <c r="H150" s="4">
        <v>9</v>
      </c>
      <c r="I150" s="4">
        <f>Table13[[#This Row],[تعداد کل درخت‏های تحت آبیاری
(اصله مستقل)
(N)]]*Table13[[#This Row],[سطح پوشش مفروض برای هر درخت
(متر مربع)]]</f>
        <v>405</v>
      </c>
      <c r="J15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5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50" s="8">
        <f>IF(Table13[[#This Row],[آیا
Achech  &gt;  Atree]]=1, 1, Table13[[#This Row],[Psh]]+(0.15*(1-Table13[[#This Row],[Psh]])))</f>
        <v>1</v>
      </c>
      <c r="M150" s="8">
        <f>IF(Table13[[#This Row],[آیا
Achech  &gt;  Atree]]=1, 0.65, 1)</f>
        <v>0.65</v>
      </c>
      <c r="N15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45</v>
      </c>
      <c r="O15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151" spans="2:15" x14ac:dyDescent="0.3">
      <c r="B151" s="4" t="s">
        <v>601</v>
      </c>
      <c r="C151" s="4">
        <v>213</v>
      </c>
      <c r="D151" s="4">
        <v>33</v>
      </c>
      <c r="E151" s="4">
        <v>100</v>
      </c>
      <c r="F151" s="4">
        <v>2338</v>
      </c>
      <c r="G151" s="16" t="s">
        <v>7</v>
      </c>
      <c r="H151" s="4">
        <v>9</v>
      </c>
      <c r="I151" s="4">
        <f>Table13[[#This Row],[تعداد کل درخت‏های تحت آبیاری
(اصله مستقل)
(N)]]*Table13[[#This Row],[سطح پوشش مفروض برای هر درخت
(متر مربع)]]</f>
        <v>297</v>
      </c>
      <c r="J15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5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51" s="8">
        <f>IF(Table13[[#This Row],[آیا
Achech  &gt;  Atree]]=1, 1, Table13[[#This Row],[Psh]]+(0.15*(1-Table13[[#This Row],[Psh]])))</f>
        <v>1</v>
      </c>
      <c r="M151" s="8">
        <f>IF(Table13[[#This Row],[آیا
Achech  &gt;  Atree]]=1, 0.65, 1)</f>
        <v>0.65</v>
      </c>
      <c r="N15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100</v>
      </c>
      <c r="O15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3.0303030303030303</v>
      </c>
    </row>
    <row r="152" spans="2:15" x14ac:dyDescent="0.3">
      <c r="B152" s="4" t="s">
        <v>607</v>
      </c>
      <c r="C152" s="4">
        <v>2228</v>
      </c>
      <c r="D152" s="4">
        <v>1289.4666666666667</v>
      </c>
      <c r="E152" s="4">
        <v>7676</v>
      </c>
      <c r="F152" s="4">
        <v>15954</v>
      </c>
      <c r="G152" s="16" t="s">
        <v>7</v>
      </c>
      <c r="H152" s="4">
        <v>9</v>
      </c>
      <c r="I152" s="4">
        <f>Table13[[#This Row],[تعداد کل درخت‏های تحت آبیاری
(اصله مستقل)
(N)]]*Table13[[#This Row],[سطح پوشش مفروض برای هر درخت
(متر مربع)]]</f>
        <v>11605.2</v>
      </c>
      <c r="J15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5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52" s="8">
        <f>IF(Table13[[#This Row],[آیا
Achech  &gt;  Atree]]=1, 1, Table13[[#This Row],[Psh]]+(0.15*(1-Table13[[#This Row],[Psh]])))</f>
        <v>1</v>
      </c>
      <c r="M152" s="8">
        <f>IF(Table13[[#This Row],[آیا
Achech  &gt;  Atree]]=1, 0.65, 1)</f>
        <v>0.65</v>
      </c>
      <c r="N15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7676</v>
      </c>
      <c r="O15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5.9528487229862472</v>
      </c>
    </row>
    <row r="153" spans="2:15" x14ac:dyDescent="0.3">
      <c r="B153" s="4" t="s">
        <v>611</v>
      </c>
      <c r="C153" s="4">
        <v>594</v>
      </c>
      <c r="D153" s="4">
        <v>112</v>
      </c>
      <c r="E153" s="4">
        <v>523</v>
      </c>
      <c r="F153" s="4">
        <v>8787</v>
      </c>
      <c r="G153" s="16" t="s">
        <v>7</v>
      </c>
      <c r="H153" s="4">
        <v>9</v>
      </c>
      <c r="I153" s="4">
        <f>Table13[[#This Row],[تعداد کل درخت‏های تحت آبیاری
(اصله مستقل)
(N)]]*Table13[[#This Row],[سطح پوشش مفروض برای هر درخت
(متر مربع)]]</f>
        <v>1008</v>
      </c>
      <c r="J15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5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53" s="8">
        <f>IF(Table13[[#This Row],[آیا
Achech  &gt;  Atree]]=1, 1, Table13[[#This Row],[Psh]]+(0.15*(1-Table13[[#This Row],[Psh]])))</f>
        <v>1</v>
      </c>
      <c r="M153" s="8">
        <f>IF(Table13[[#This Row],[آیا
Achech  &gt;  Atree]]=1, 0.65, 1)</f>
        <v>0.65</v>
      </c>
      <c r="N15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523</v>
      </c>
      <c r="O15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4.6696428571428568</v>
      </c>
    </row>
    <row r="154" spans="2:15" x14ac:dyDescent="0.3">
      <c r="B154" s="4" t="s">
        <v>612</v>
      </c>
      <c r="C154" s="4">
        <v>175</v>
      </c>
      <c r="D154" s="4">
        <v>5</v>
      </c>
      <c r="E154" s="4">
        <v>5</v>
      </c>
      <c r="F154" s="4">
        <v>2677</v>
      </c>
      <c r="G154" s="16" t="s">
        <v>7</v>
      </c>
      <c r="H154" s="4">
        <v>9</v>
      </c>
      <c r="I154" s="4">
        <f>Table13[[#This Row],[تعداد کل درخت‏های تحت آبیاری
(اصله مستقل)
(N)]]*Table13[[#This Row],[سطح پوشش مفروض برای هر درخت
(متر مربع)]]</f>
        <v>45</v>
      </c>
      <c r="J15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5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54" s="8">
        <f>IF(Table13[[#This Row],[آیا
Achech  &gt;  Atree]]=1, 1, Table13[[#This Row],[Psh]]+(0.15*(1-Table13[[#This Row],[Psh]])))</f>
        <v>1</v>
      </c>
      <c r="M154" s="8">
        <f>IF(Table13[[#This Row],[آیا
Achech  &gt;  Atree]]=1, 0.65, 1)</f>
        <v>0.65</v>
      </c>
      <c r="N15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</v>
      </c>
      <c r="O15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155" spans="2:15" x14ac:dyDescent="0.3">
      <c r="B155" s="4" t="s">
        <v>613</v>
      </c>
      <c r="C155" s="4">
        <v>278</v>
      </c>
      <c r="D155" s="4">
        <v>9</v>
      </c>
      <c r="E155" s="4">
        <v>9</v>
      </c>
      <c r="F155" s="4">
        <v>5862</v>
      </c>
      <c r="G155" s="16" t="s">
        <v>7</v>
      </c>
      <c r="H155" s="4">
        <v>9</v>
      </c>
      <c r="I155" s="4">
        <f>Table13[[#This Row],[تعداد کل درخت‏های تحت آبیاری
(اصله مستقل)
(N)]]*Table13[[#This Row],[سطح پوشش مفروض برای هر درخت
(متر مربع)]]</f>
        <v>81</v>
      </c>
      <c r="J15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5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55" s="8">
        <f>IF(Table13[[#This Row],[آیا
Achech  &gt;  Atree]]=1, 1, Table13[[#This Row],[Psh]]+(0.15*(1-Table13[[#This Row],[Psh]])))</f>
        <v>1</v>
      </c>
      <c r="M155" s="8">
        <f>IF(Table13[[#This Row],[آیا
Achech  &gt;  Atree]]=1, 0.65, 1)</f>
        <v>0.65</v>
      </c>
      <c r="N15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9</v>
      </c>
      <c r="O15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156" spans="2:15" x14ac:dyDescent="0.3">
      <c r="B156" s="4" t="s">
        <v>614</v>
      </c>
      <c r="C156" s="4">
        <v>156</v>
      </c>
      <c r="D156" s="4">
        <v>40</v>
      </c>
      <c r="E156" s="4">
        <v>40</v>
      </c>
      <c r="F156" s="4">
        <v>3185</v>
      </c>
      <c r="G156" s="16" t="s">
        <v>7</v>
      </c>
      <c r="H156" s="4">
        <v>9</v>
      </c>
      <c r="I156" s="4">
        <f>Table13[[#This Row],[تعداد کل درخت‏های تحت آبیاری
(اصله مستقل)
(N)]]*Table13[[#This Row],[سطح پوشش مفروض برای هر درخت
(متر مربع)]]</f>
        <v>360</v>
      </c>
      <c r="J15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5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56" s="8">
        <f>IF(Table13[[#This Row],[آیا
Achech  &gt;  Atree]]=1, 1, Table13[[#This Row],[Psh]]+(0.15*(1-Table13[[#This Row],[Psh]])))</f>
        <v>1</v>
      </c>
      <c r="M156" s="8">
        <f>IF(Table13[[#This Row],[آیا
Achech  &gt;  Atree]]=1, 0.65, 1)</f>
        <v>0.65</v>
      </c>
      <c r="N15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40</v>
      </c>
      <c r="O15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157" spans="2:15" x14ac:dyDescent="0.3">
      <c r="B157" s="4" t="s">
        <v>615</v>
      </c>
      <c r="C157" s="4">
        <v>260</v>
      </c>
      <c r="D157" s="4">
        <v>10</v>
      </c>
      <c r="E157" s="4">
        <v>10</v>
      </c>
      <c r="F157" s="4">
        <v>3596</v>
      </c>
      <c r="G157" s="16" t="s">
        <v>7</v>
      </c>
      <c r="H157" s="4">
        <v>9</v>
      </c>
      <c r="I157" s="4">
        <f>Table13[[#This Row],[تعداد کل درخت‏های تحت آبیاری
(اصله مستقل)
(N)]]*Table13[[#This Row],[سطح پوشش مفروض برای هر درخت
(متر مربع)]]</f>
        <v>90</v>
      </c>
      <c r="J15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5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57" s="8">
        <f>IF(Table13[[#This Row],[آیا
Achech  &gt;  Atree]]=1, 1, Table13[[#This Row],[Psh]]+(0.15*(1-Table13[[#This Row],[Psh]])))</f>
        <v>1</v>
      </c>
      <c r="M157" s="8">
        <f>IF(Table13[[#This Row],[آیا
Achech  &gt;  Atree]]=1, 0.65, 1)</f>
        <v>0.65</v>
      </c>
      <c r="N15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10</v>
      </c>
      <c r="O15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158" spans="2:15" x14ac:dyDescent="0.3">
      <c r="B158" s="4" t="s">
        <v>616</v>
      </c>
      <c r="C158" s="4">
        <v>151</v>
      </c>
      <c r="D158" s="4">
        <v>5</v>
      </c>
      <c r="E158" s="4">
        <v>5</v>
      </c>
      <c r="F158" s="4">
        <v>3213</v>
      </c>
      <c r="G158" s="16" t="s">
        <v>7</v>
      </c>
      <c r="H158" s="4">
        <v>9</v>
      </c>
      <c r="I158" s="4">
        <f>Table13[[#This Row],[تعداد کل درخت‏های تحت آبیاری
(اصله مستقل)
(N)]]*Table13[[#This Row],[سطح پوشش مفروض برای هر درخت
(متر مربع)]]</f>
        <v>45</v>
      </c>
      <c r="J15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5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58" s="8">
        <f>IF(Table13[[#This Row],[آیا
Achech  &gt;  Atree]]=1, 1, Table13[[#This Row],[Psh]]+(0.15*(1-Table13[[#This Row],[Psh]])))</f>
        <v>1</v>
      </c>
      <c r="M158" s="8">
        <f>IF(Table13[[#This Row],[آیا
Achech  &gt;  Atree]]=1, 0.65, 1)</f>
        <v>0.65</v>
      </c>
      <c r="N15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</v>
      </c>
      <c r="O15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159" spans="2:15" x14ac:dyDescent="0.3">
      <c r="B159" s="4" t="s">
        <v>617</v>
      </c>
      <c r="C159" s="4">
        <v>268</v>
      </c>
      <c r="D159" s="4">
        <v>87</v>
      </c>
      <c r="E159" s="4">
        <v>87</v>
      </c>
      <c r="F159" s="4">
        <v>5750</v>
      </c>
      <c r="G159" s="16" t="s">
        <v>7</v>
      </c>
      <c r="H159" s="4">
        <v>9</v>
      </c>
      <c r="I159" s="4">
        <f>Table13[[#This Row],[تعداد کل درخت‏های تحت آبیاری
(اصله مستقل)
(N)]]*Table13[[#This Row],[سطح پوشش مفروض برای هر درخت
(متر مربع)]]</f>
        <v>783</v>
      </c>
      <c r="J15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5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59" s="8">
        <f>IF(Table13[[#This Row],[آیا
Achech  &gt;  Atree]]=1, 1, Table13[[#This Row],[Psh]]+(0.15*(1-Table13[[#This Row],[Psh]])))</f>
        <v>1</v>
      </c>
      <c r="M159" s="8">
        <f>IF(Table13[[#This Row],[آیا
Achech  &gt;  Atree]]=1, 0.65, 1)</f>
        <v>0.65</v>
      </c>
      <c r="N15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87</v>
      </c>
      <c r="O15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160" spans="2:15" x14ac:dyDescent="0.3">
      <c r="B160" s="4" t="s">
        <v>618</v>
      </c>
      <c r="C160" s="4">
        <v>219</v>
      </c>
      <c r="D160" s="4">
        <v>14.6</v>
      </c>
      <c r="E160" s="4">
        <v>184</v>
      </c>
      <c r="F160" s="4">
        <v>3719</v>
      </c>
      <c r="G160" s="16" t="s">
        <v>7</v>
      </c>
      <c r="H160" s="4">
        <v>9</v>
      </c>
      <c r="I160" s="4">
        <f>Table13[[#This Row],[تعداد کل درخت‏های تحت آبیاری
(اصله مستقل)
(N)]]*Table13[[#This Row],[سطح پوشش مفروض برای هر درخت
(متر مربع)]]</f>
        <v>131.4</v>
      </c>
      <c r="J16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16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0.71413043478260874</v>
      </c>
      <c r="L160" s="8">
        <f>IF(Table13[[#This Row],[آیا
Achech  &gt;  Atree]]=1, 1, Table13[[#This Row],[Psh]]+(0.15*(1-Table13[[#This Row],[Psh]])))</f>
        <v>0.75701086956521746</v>
      </c>
      <c r="M160" s="8">
        <f>IF(Table13[[#This Row],[آیا
Achech  &gt;  Atree]]=1, 0.65, 1)</f>
        <v>1</v>
      </c>
      <c r="N16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131.4</v>
      </c>
      <c r="O16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161" spans="2:15" x14ac:dyDescent="0.3">
      <c r="B161" s="4" t="s">
        <v>619</v>
      </c>
      <c r="C161" s="4">
        <v>260</v>
      </c>
      <c r="D161" s="4">
        <v>84</v>
      </c>
      <c r="E161" s="4">
        <v>495</v>
      </c>
      <c r="F161" s="4">
        <v>4816</v>
      </c>
      <c r="G161" s="16" t="s">
        <v>7</v>
      </c>
      <c r="H161" s="4">
        <v>9</v>
      </c>
      <c r="I161" s="4">
        <f>Table13[[#This Row],[تعداد کل درخت‏های تحت آبیاری
(اصله مستقل)
(N)]]*Table13[[#This Row],[سطح پوشش مفروض برای هر درخت
(متر مربع)]]</f>
        <v>756</v>
      </c>
      <c r="J16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6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61" s="8">
        <f>IF(Table13[[#This Row],[آیا
Achech  &gt;  Atree]]=1, 1, Table13[[#This Row],[Psh]]+(0.15*(1-Table13[[#This Row],[Psh]])))</f>
        <v>1</v>
      </c>
      <c r="M161" s="8">
        <f>IF(Table13[[#This Row],[آیا
Achech  &gt;  Atree]]=1, 0.65, 1)</f>
        <v>0.65</v>
      </c>
      <c r="N16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495</v>
      </c>
      <c r="O16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5.8928571428571432</v>
      </c>
    </row>
    <row r="162" spans="2:15" x14ac:dyDescent="0.3">
      <c r="B162" s="4" t="s">
        <v>620</v>
      </c>
      <c r="C162" s="4">
        <v>1730</v>
      </c>
      <c r="D162" s="4">
        <v>29</v>
      </c>
      <c r="E162" s="4">
        <v>35</v>
      </c>
      <c r="F162" s="4">
        <v>24694</v>
      </c>
      <c r="G162" s="16" t="s">
        <v>7</v>
      </c>
      <c r="H162" s="4">
        <v>9</v>
      </c>
      <c r="I162" s="4">
        <f>Table13[[#This Row],[تعداد کل درخت‏های تحت آبیاری
(اصله مستقل)
(N)]]*Table13[[#This Row],[سطح پوشش مفروض برای هر درخت
(متر مربع)]]</f>
        <v>261</v>
      </c>
      <c r="J16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6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62" s="8">
        <f>IF(Table13[[#This Row],[آیا
Achech  &gt;  Atree]]=1, 1, Table13[[#This Row],[Psh]]+(0.15*(1-Table13[[#This Row],[Psh]])))</f>
        <v>1</v>
      </c>
      <c r="M162" s="8">
        <f>IF(Table13[[#This Row],[آیا
Achech  &gt;  Atree]]=1, 0.65, 1)</f>
        <v>0.65</v>
      </c>
      <c r="N16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35</v>
      </c>
      <c r="O16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1.2068965517241379</v>
      </c>
    </row>
    <row r="163" spans="2:15" x14ac:dyDescent="0.3">
      <c r="B163" s="4" t="s">
        <v>621</v>
      </c>
      <c r="C163" s="4">
        <v>398</v>
      </c>
      <c r="D163" s="4">
        <v>56</v>
      </c>
      <c r="E163" s="4">
        <v>220</v>
      </c>
      <c r="F163" s="4">
        <v>3683</v>
      </c>
      <c r="G163" s="16" t="s">
        <v>7</v>
      </c>
      <c r="H163" s="4">
        <v>9</v>
      </c>
      <c r="I163" s="4">
        <f>Table13[[#This Row],[تعداد کل درخت‏های تحت آبیاری
(اصله مستقل)
(N)]]*Table13[[#This Row],[سطح پوشش مفروض برای هر درخت
(متر مربع)]]</f>
        <v>504</v>
      </c>
      <c r="J16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6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63" s="8">
        <f>IF(Table13[[#This Row],[آیا
Achech  &gt;  Atree]]=1, 1, Table13[[#This Row],[Psh]]+(0.15*(1-Table13[[#This Row],[Psh]])))</f>
        <v>1</v>
      </c>
      <c r="M163" s="8">
        <f>IF(Table13[[#This Row],[آیا
Achech  &gt;  Atree]]=1, 0.65, 1)</f>
        <v>0.65</v>
      </c>
      <c r="N16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220</v>
      </c>
      <c r="O16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3.9285714285714284</v>
      </c>
    </row>
    <row r="164" spans="2:15" x14ac:dyDescent="0.3">
      <c r="B164" s="4" t="s">
        <v>622</v>
      </c>
      <c r="C164" s="4">
        <v>501</v>
      </c>
      <c r="D164" s="4">
        <v>92</v>
      </c>
      <c r="E164" s="4">
        <v>566</v>
      </c>
      <c r="F164" s="4">
        <v>6797</v>
      </c>
      <c r="G164" s="16" t="s">
        <v>7</v>
      </c>
      <c r="H164" s="4">
        <v>9</v>
      </c>
      <c r="I164" s="4">
        <f>Table13[[#This Row],[تعداد کل درخت‏های تحت آبیاری
(اصله مستقل)
(N)]]*Table13[[#This Row],[سطح پوشش مفروض برای هر درخت
(متر مربع)]]</f>
        <v>828</v>
      </c>
      <c r="J16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6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64" s="8">
        <f>IF(Table13[[#This Row],[آیا
Achech  &gt;  Atree]]=1, 1, Table13[[#This Row],[Psh]]+(0.15*(1-Table13[[#This Row],[Psh]])))</f>
        <v>1</v>
      </c>
      <c r="M164" s="8">
        <f>IF(Table13[[#This Row],[آیا
Achech  &gt;  Atree]]=1, 0.65, 1)</f>
        <v>0.65</v>
      </c>
      <c r="N16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566</v>
      </c>
      <c r="O16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6.1521739130434785</v>
      </c>
    </row>
    <row r="165" spans="2:15" x14ac:dyDescent="0.3">
      <c r="B165" s="4" t="s">
        <v>623</v>
      </c>
      <c r="C165" s="4">
        <v>1172</v>
      </c>
      <c r="D165" s="4">
        <v>100</v>
      </c>
      <c r="E165" s="4">
        <v>200</v>
      </c>
      <c r="F165" s="4">
        <v>24200</v>
      </c>
      <c r="G165" s="16" t="s">
        <v>7</v>
      </c>
      <c r="H165" s="4">
        <v>9</v>
      </c>
      <c r="I165" s="4">
        <f>Table13[[#This Row],[تعداد کل درخت‏های تحت آبیاری
(اصله مستقل)
(N)]]*Table13[[#This Row],[سطح پوشش مفروض برای هر درخت
(متر مربع)]]</f>
        <v>900</v>
      </c>
      <c r="J16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6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65" s="8">
        <f>IF(Table13[[#This Row],[آیا
Achech  &gt;  Atree]]=1, 1, Table13[[#This Row],[Psh]]+(0.15*(1-Table13[[#This Row],[Psh]])))</f>
        <v>1</v>
      </c>
      <c r="M165" s="8">
        <f>IF(Table13[[#This Row],[آیا
Achech  &gt;  Atree]]=1, 0.65, 1)</f>
        <v>0.65</v>
      </c>
      <c r="N16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200</v>
      </c>
      <c r="O16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</v>
      </c>
    </row>
    <row r="166" spans="2:15" x14ac:dyDescent="0.3">
      <c r="B166" s="4" t="s">
        <v>624</v>
      </c>
      <c r="C166" s="4">
        <v>218</v>
      </c>
      <c r="D166" s="4">
        <v>6</v>
      </c>
      <c r="E166" s="4">
        <v>6</v>
      </c>
      <c r="F166" s="4">
        <v>3878</v>
      </c>
      <c r="G166" s="16" t="s">
        <v>7</v>
      </c>
      <c r="H166" s="4">
        <v>9</v>
      </c>
      <c r="I166" s="4">
        <f>Table13[[#This Row],[تعداد کل درخت‏های تحت آبیاری
(اصله مستقل)
(N)]]*Table13[[#This Row],[سطح پوشش مفروض برای هر درخت
(متر مربع)]]</f>
        <v>54</v>
      </c>
      <c r="J16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6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66" s="8">
        <f>IF(Table13[[#This Row],[آیا
Achech  &gt;  Atree]]=1, 1, Table13[[#This Row],[Psh]]+(0.15*(1-Table13[[#This Row],[Psh]])))</f>
        <v>1</v>
      </c>
      <c r="M166" s="8">
        <f>IF(Table13[[#This Row],[آیا
Achech  &gt;  Atree]]=1, 0.65, 1)</f>
        <v>0.65</v>
      </c>
      <c r="N16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</v>
      </c>
      <c r="O16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167" spans="2:15" x14ac:dyDescent="0.3">
      <c r="B167" s="4" t="s">
        <v>625</v>
      </c>
      <c r="C167" s="4">
        <v>1230</v>
      </c>
      <c r="D167" s="4">
        <v>22</v>
      </c>
      <c r="E167" s="4">
        <v>45</v>
      </c>
      <c r="F167" s="4">
        <v>4111</v>
      </c>
      <c r="G167" s="16" t="s">
        <v>7</v>
      </c>
      <c r="H167" s="4">
        <v>9</v>
      </c>
      <c r="I167" s="4">
        <f>Table13[[#This Row],[تعداد کل درخت‏های تحت آبیاری
(اصله مستقل)
(N)]]*Table13[[#This Row],[سطح پوشش مفروض برای هر درخت
(متر مربع)]]</f>
        <v>198</v>
      </c>
      <c r="J16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6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67" s="8">
        <f>IF(Table13[[#This Row],[آیا
Achech  &gt;  Atree]]=1, 1, Table13[[#This Row],[Psh]]+(0.15*(1-Table13[[#This Row],[Psh]])))</f>
        <v>1</v>
      </c>
      <c r="M167" s="8">
        <f>IF(Table13[[#This Row],[آیا
Achech  &gt;  Atree]]=1, 0.65, 1)</f>
        <v>0.65</v>
      </c>
      <c r="N16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45</v>
      </c>
      <c r="O16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2.0454545454545454</v>
      </c>
    </row>
    <row r="168" spans="2:15" x14ac:dyDescent="0.3">
      <c r="B168" s="4" t="s">
        <v>626</v>
      </c>
      <c r="C168" s="4">
        <v>200</v>
      </c>
      <c r="D168" s="4">
        <v>67</v>
      </c>
      <c r="E168" s="4">
        <v>402</v>
      </c>
      <c r="F168" s="4">
        <v>4128</v>
      </c>
      <c r="G168" s="16" t="s">
        <v>7</v>
      </c>
      <c r="H168" s="4">
        <v>9</v>
      </c>
      <c r="I168" s="4">
        <f>Table13[[#This Row],[تعداد کل درخت‏های تحت آبیاری
(اصله مستقل)
(N)]]*Table13[[#This Row],[سطح پوشش مفروض برای هر درخت
(متر مربع)]]</f>
        <v>603</v>
      </c>
      <c r="J16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6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68" s="8">
        <f>IF(Table13[[#This Row],[آیا
Achech  &gt;  Atree]]=1, 1, Table13[[#This Row],[Psh]]+(0.15*(1-Table13[[#This Row],[Psh]])))</f>
        <v>1</v>
      </c>
      <c r="M168" s="8">
        <f>IF(Table13[[#This Row],[آیا
Achech  &gt;  Atree]]=1, 0.65, 1)</f>
        <v>0.65</v>
      </c>
      <c r="N16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402</v>
      </c>
      <c r="O16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6</v>
      </c>
    </row>
    <row r="169" spans="2:15" x14ac:dyDescent="0.3">
      <c r="B169" s="4" t="s">
        <v>627</v>
      </c>
      <c r="C169" s="4">
        <v>339</v>
      </c>
      <c r="D169" s="4">
        <v>86</v>
      </c>
      <c r="E169" s="4">
        <v>86</v>
      </c>
      <c r="F169" s="4">
        <v>3767</v>
      </c>
      <c r="G169" s="16" t="s">
        <v>7</v>
      </c>
      <c r="H169" s="4">
        <v>9</v>
      </c>
      <c r="I169" s="4">
        <f>Table13[[#This Row],[تعداد کل درخت‏های تحت آبیاری
(اصله مستقل)
(N)]]*Table13[[#This Row],[سطح پوشش مفروض برای هر درخت
(متر مربع)]]</f>
        <v>774</v>
      </c>
      <c r="J16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6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69" s="8">
        <f>IF(Table13[[#This Row],[آیا
Achech  &gt;  Atree]]=1, 1, Table13[[#This Row],[Psh]]+(0.15*(1-Table13[[#This Row],[Psh]])))</f>
        <v>1</v>
      </c>
      <c r="M169" s="8">
        <f>IF(Table13[[#This Row],[آیا
Achech  &gt;  Atree]]=1, 0.65, 1)</f>
        <v>0.65</v>
      </c>
      <c r="N16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86</v>
      </c>
      <c r="O16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170" spans="2:15" x14ac:dyDescent="0.3">
      <c r="B170" s="4" t="s">
        <v>628</v>
      </c>
      <c r="C170" s="4">
        <v>1833</v>
      </c>
      <c r="D170" s="4">
        <v>130</v>
      </c>
      <c r="E170" s="4">
        <v>65</v>
      </c>
      <c r="F170" s="4">
        <v>14811</v>
      </c>
      <c r="G170" s="16" t="s">
        <v>7</v>
      </c>
      <c r="H170" s="4">
        <v>9</v>
      </c>
      <c r="I170" s="4">
        <f>Table13[[#This Row],[تعداد کل درخت‏های تحت آبیاری
(اصله مستقل)
(N)]]*Table13[[#This Row],[سطح پوشش مفروض برای هر درخت
(متر مربع)]]</f>
        <v>1170</v>
      </c>
      <c r="J17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7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70" s="8">
        <f>IF(Table13[[#This Row],[آیا
Achech  &gt;  Atree]]=1, 1, Table13[[#This Row],[Psh]]+(0.15*(1-Table13[[#This Row],[Psh]])))</f>
        <v>1</v>
      </c>
      <c r="M170" s="8">
        <f>IF(Table13[[#This Row],[آیا
Achech  &gt;  Atree]]=1, 0.65, 1)</f>
        <v>0.65</v>
      </c>
      <c r="N17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65</v>
      </c>
      <c r="O17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0.5</v>
      </c>
    </row>
    <row r="171" spans="2:15" x14ac:dyDescent="0.3">
      <c r="B171" s="4" t="s">
        <v>629</v>
      </c>
      <c r="C171" s="4">
        <v>1233</v>
      </c>
      <c r="D171" s="4">
        <v>422</v>
      </c>
      <c r="E171" s="4">
        <v>2122</v>
      </c>
      <c r="F171" s="4">
        <v>18222</v>
      </c>
      <c r="G171" s="16" t="s">
        <v>7</v>
      </c>
      <c r="H171" s="4">
        <v>9</v>
      </c>
      <c r="I171" s="4">
        <f>Table13[[#This Row],[تعداد کل درخت‏های تحت آبیاری
(اصله مستقل)
(N)]]*Table13[[#This Row],[سطح پوشش مفروض برای هر درخت
(متر مربع)]]</f>
        <v>3798</v>
      </c>
      <c r="J17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7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71" s="8">
        <f>IF(Table13[[#This Row],[آیا
Achech  &gt;  Atree]]=1, 1, Table13[[#This Row],[Psh]]+(0.15*(1-Table13[[#This Row],[Psh]])))</f>
        <v>1</v>
      </c>
      <c r="M171" s="8">
        <f>IF(Table13[[#This Row],[آیا
Achech  &gt;  Atree]]=1, 0.65, 1)</f>
        <v>0.65</v>
      </c>
      <c r="N17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2122</v>
      </c>
      <c r="O17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5.028436018957346</v>
      </c>
    </row>
    <row r="172" spans="2:15" x14ac:dyDescent="0.3">
      <c r="B172" s="4" t="s">
        <v>630</v>
      </c>
      <c r="C172" s="4">
        <v>640</v>
      </c>
      <c r="D172" s="4">
        <v>144.86666666666667</v>
      </c>
      <c r="E172" s="4">
        <v>1853</v>
      </c>
      <c r="F172" s="4">
        <v>7729</v>
      </c>
      <c r="G172" s="16" t="s">
        <v>7</v>
      </c>
      <c r="H172" s="4">
        <v>9</v>
      </c>
      <c r="I172" s="4">
        <f>Table13[[#This Row],[تعداد کل درخت‏های تحت آبیاری
(اصله مستقل)
(N)]]*Table13[[#This Row],[سطح پوشش مفروض برای هر درخت
(متر مربع)]]</f>
        <v>1303.8000000000002</v>
      </c>
      <c r="J17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17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0.70361575822989753</v>
      </c>
      <c r="L172" s="8">
        <f>IF(Table13[[#This Row],[آیا
Achech  &gt;  Atree]]=1, 1, Table13[[#This Row],[Psh]]+(0.15*(1-Table13[[#This Row],[Psh]])))</f>
        <v>0.74807339449541288</v>
      </c>
      <c r="M172" s="8">
        <f>IF(Table13[[#This Row],[آیا
Achech  &gt;  Atree]]=1, 0.65, 1)</f>
        <v>1</v>
      </c>
      <c r="N17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1303.8000000000002</v>
      </c>
      <c r="O17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173" spans="2:15" x14ac:dyDescent="0.3">
      <c r="B173" s="4" t="s">
        <v>631</v>
      </c>
      <c r="C173" s="4">
        <v>338</v>
      </c>
      <c r="D173" s="4">
        <v>58</v>
      </c>
      <c r="E173" s="4">
        <v>58</v>
      </c>
      <c r="F173" s="4">
        <v>3518</v>
      </c>
      <c r="G173" s="16" t="s">
        <v>7</v>
      </c>
      <c r="H173" s="4">
        <v>9</v>
      </c>
      <c r="I173" s="4">
        <f>Table13[[#This Row],[تعداد کل درخت‏های تحت آبیاری
(اصله مستقل)
(N)]]*Table13[[#This Row],[سطح پوشش مفروض برای هر درخت
(متر مربع)]]</f>
        <v>522</v>
      </c>
      <c r="J17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7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73" s="8">
        <f>IF(Table13[[#This Row],[آیا
Achech  &gt;  Atree]]=1, 1, Table13[[#This Row],[Psh]]+(0.15*(1-Table13[[#This Row],[Psh]])))</f>
        <v>1</v>
      </c>
      <c r="M173" s="8">
        <f>IF(Table13[[#This Row],[آیا
Achech  &gt;  Atree]]=1, 0.65, 1)</f>
        <v>0.65</v>
      </c>
      <c r="N17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58</v>
      </c>
      <c r="O17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174" spans="2:15" x14ac:dyDescent="0.3">
      <c r="B174" s="4" t="s">
        <v>641</v>
      </c>
      <c r="C174" s="4">
        <v>663</v>
      </c>
      <c r="D174" s="4">
        <v>115</v>
      </c>
      <c r="E174" s="4">
        <v>1738</v>
      </c>
      <c r="F174" s="4">
        <v>14668</v>
      </c>
      <c r="G174" s="16" t="s">
        <v>7</v>
      </c>
      <c r="H174" s="4">
        <v>9</v>
      </c>
      <c r="I174" s="4">
        <f>Table13[[#This Row],[تعداد کل درخت‏های تحت آبیاری
(اصله مستقل)
(N)]]*Table13[[#This Row],[سطح پوشش مفروض برای هر درخت
(متر مربع)]]</f>
        <v>1035</v>
      </c>
      <c r="J17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17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0.59551208285385504</v>
      </c>
      <c r="L174" s="8">
        <f>IF(Table13[[#This Row],[آیا
Achech  &gt;  Atree]]=1, 1, Table13[[#This Row],[Psh]]+(0.15*(1-Table13[[#This Row],[Psh]])))</f>
        <v>0.65618527042577679</v>
      </c>
      <c r="M174" s="8">
        <f>IF(Table13[[#This Row],[آیا
Achech  &gt;  Atree]]=1, 0.65, 1)</f>
        <v>1</v>
      </c>
      <c r="N17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1035</v>
      </c>
      <c r="O17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175" spans="2:15" x14ac:dyDescent="0.3">
      <c r="B175" s="4" t="s">
        <v>642</v>
      </c>
      <c r="C175" s="4">
        <v>481</v>
      </c>
      <c r="D175" s="4">
        <v>102</v>
      </c>
      <c r="E175" s="4">
        <v>2200</v>
      </c>
      <c r="F175" s="4">
        <v>15685</v>
      </c>
      <c r="G175" s="16" t="s">
        <v>7</v>
      </c>
      <c r="H175" s="4">
        <v>9</v>
      </c>
      <c r="I175" s="4">
        <f>Table13[[#This Row],[تعداد کل درخت‏های تحت آبیاری
(اصله مستقل)
(N)]]*Table13[[#This Row],[سطح پوشش مفروض برای هر درخت
(متر مربع)]]</f>
        <v>918</v>
      </c>
      <c r="J17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17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0.4172727272727273</v>
      </c>
      <c r="L175" s="8">
        <f>IF(Table13[[#This Row],[آیا
Achech  &gt;  Atree]]=1, 1, Table13[[#This Row],[Psh]]+(0.15*(1-Table13[[#This Row],[Psh]])))</f>
        <v>0.50468181818181823</v>
      </c>
      <c r="M175" s="8">
        <f>IF(Table13[[#This Row],[آیا
Achech  &gt;  Atree]]=1, 0.65, 1)</f>
        <v>1</v>
      </c>
      <c r="N17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918</v>
      </c>
      <c r="O17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176" spans="2:15" x14ac:dyDescent="0.3">
      <c r="B176" s="4" t="s">
        <v>649</v>
      </c>
      <c r="C176" s="4">
        <v>3407</v>
      </c>
      <c r="D176" s="4">
        <v>101</v>
      </c>
      <c r="E176" s="4">
        <v>1380</v>
      </c>
      <c r="F176" s="4">
        <v>68122</v>
      </c>
      <c r="G176" s="16" t="s">
        <v>319</v>
      </c>
      <c r="H176" s="4">
        <v>9</v>
      </c>
      <c r="I176" s="4">
        <f>Table13[[#This Row],[تعداد کل درخت‏های تحت آبیاری
(اصله مستقل)
(N)]]*Table13[[#This Row],[سطح پوشش مفروض برای هر درخت
(متر مربع)]]</f>
        <v>909</v>
      </c>
      <c r="J17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17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0.65869565217391302</v>
      </c>
      <c r="L176" s="8">
        <f>IF(Table13[[#This Row],[آیا
Achech  &gt;  Atree]]=1, 1, Table13[[#This Row],[Psh]]+(0.15*(1-Table13[[#This Row],[Psh]])))</f>
        <v>0.7098913043478261</v>
      </c>
      <c r="M176" s="8">
        <f>IF(Table13[[#This Row],[آیا
Achech  &gt;  Atree]]=1, 0.65, 1)</f>
        <v>1</v>
      </c>
      <c r="N17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909</v>
      </c>
      <c r="O17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177" spans="2:15" x14ac:dyDescent="0.3">
      <c r="B177" s="4" t="s">
        <v>650</v>
      </c>
      <c r="C177" s="4">
        <v>3828</v>
      </c>
      <c r="D177" s="4">
        <v>1156</v>
      </c>
      <c r="E177" s="4">
        <v>9562</v>
      </c>
      <c r="F177" s="4">
        <v>97990</v>
      </c>
      <c r="G177" s="16" t="s">
        <v>78</v>
      </c>
      <c r="H177" s="4">
        <v>9</v>
      </c>
      <c r="I177" s="4">
        <f>Table13[[#This Row],[تعداد کل درخت‏های تحت آبیاری
(اصله مستقل)
(N)]]*Table13[[#This Row],[سطح پوشش مفروض برای هر درخت
(متر مربع)]]</f>
        <v>10404</v>
      </c>
      <c r="J17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7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77" s="8">
        <f>IF(Table13[[#This Row],[آیا
Achech  &gt;  Atree]]=1, 1, Table13[[#This Row],[Psh]]+(0.15*(1-Table13[[#This Row],[Psh]])))</f>
        <v>1</v>
      </c>
      <c r="M177" s="8">
        <f>IF(Table13[[#This Row],[آیا
Achech  &gt;  Atree]]=1, 0.65, 1)</f>
        <v>0.65</v>
      </c>
      <c r="N17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9562</v>
      </c>
      <c r="O17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8.2716262975778552</v>
      </c>
    </row>
    <row r="178" spans="2:15" x14ac:dyDescent="0.3">
      <c r="B178" s="4" t="s">
        <v>659</v>
      </c>
      <c r="C178" s="4">
        <v>1742</v>
      </c>
      <c r="D178" s="4">
        <v>1261</v>
      </c>
      <c r="E178" s="4">
        <v>3200</v>
      </c>
      <c r="F178" s="4">
        <v>22051</v>
      </c>
      <c r="G178" s="16" t="s">
        <v>7</v>
      </c>
      <c r="H178" s="4">
        <v>9</v>
      </c>
      <c r="I178" s="4">
        <f>Table13[[#This Row],[تعداد کل درخت‏های تحت آبیاری
(اصله مستقل)
(N)]]*Table13[[#This Row],[سطح پوشش مفروض برای هر درخت
(متر مربع)]]</f>
        <v>11349</v>
      </c>
      <c r="J17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7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78" s="8">
        <f>IF(Table13[[#This Row],[آیا
Achech  &gt;  Atree]]=1, 1, Table13[[#This Row],[Psh]]+(0.15*(1-Table13[[#This Row],[Psh]])))</f>
        <v>1</v>
      </c>
      <c r="M178" s="8">
        <f>IF(Table13[[#This Row],[آیا
Achech  &gt;  Atree]]=1, 0.65, 1)</f>
        <v>0.65</v>
      </c>
      <c r="N17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3200</v>
      </c>
      <c r="O17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2.5376685170499602</v>
      </c>
    </row>
    <row r="179" spans="2:15" x14ac:dyDescent="0.3">
      <c r="B179" s="4" t="s">
        <v>660</v>
      </c>
      <c r="C179" s="4">
        <v>6150</v>
      </c>
      <c r="D179" s="4">
        <v>2199</v>
      </c>
      <c r="E179" s="4">
        <v>31120</v>
      </c>
      <c r="F179" s="4">
        <v>154595</v>
      </c>
      <c r="G179" s="16" t="s">
        <v>78</v>
      </c>
      <c r="H179" s="4">
        <v>9</v>
      </c>
      <c r="I179" s="4">
        <f>Table13[[#This Row],[تعداد کل درخت‏های تحت آبیاری
(اصله مستقل)
(N)]]*Table13[[#This Row],[سطح پوشش مفروض برای هر درخت
(متر مربع)]]</f>
        <v>19791</v>
      </c>
      <c r="J17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17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0.63595758354755783</v>
      </c>
      <c r="L179" s="8">
        <f>IF(Table13[[#This Row],[آیا
Achech  &gt;  Atree]]=1, 1, Table13[[#This Row],[Psh]]+(0.15*(1-Table13[[#This Row],[Psh]])))</f>
        <v>0.69056394601542415</v>
      </c>
      <c r="M179" s="8">
        <f>IF(Table13[[#This Row],[آیا
Achech  &gt;  Atree]]=1, 0.65, 1)</f>
        <v>1</v>
      </c>
      <c r="N17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19791</v>
      </c>
      <c r="O17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180" spans="2:15" x14ac:dyDescent="0.3">
      <c r="B180" s="4" t="s">
        <v>661</v>
      </c>
      <c r="C180" s="4">
        <v>87</v>
      </c>
      <c r="D180" s="4">
        <v>87</v>
      </c>
      <c r="E180" s="4">
        <v>217</v>
      </c>
      <c r="F180" s="4">
        <v>763</v>
      </c>
      <c r="G180" s="16" t="s">
        <v>7</v>
      </c>
      <c r="H180" s="4">
        <v>9</v>
      </c>
      <c r="I180" s="4">
        <f>Table13[[#This Row],[تعداد کل درخت‏های تحت آبیاری
(اصله مستقل)
(N)]]*Table13[[#This Row],[سطح پوشش مفروض برای هر درخت
(متر مربع)]]</f>
        <v>783</v>
      </c>
      <c r="J18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8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80" s="8">
        <f>IF(Table13[[#This Row],[آیا
Achech  &gt;  Atree]]=1, 1, Table13[[#This Row],[Psh]]+(0.15*(1-Table13[[#This Row],[Psh]])))</f>
        <v>1</v>
      </c>
      <c r="M180" s="8">
        <f>IF(Table13[[#This Row],[آیا
Achech  &gt;  Atree]]=1, 0.65, 1)</f>
        <v>0.65</v>
      </c>
      <c r="N18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217</v>
      </c>
      <c r="O18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2.4942528735632186</v>
      </c>
    </row>
    <row r="181" spans="2:15" x14ac:dyDescent="0.3">
      <c r="B181" s="4" t="s">
        <v>673</v>
      </c>
      <c r="C181" s="4">
        <v>1580</v>
      </c>
      <c r="D181" s="4">
        <v>841</v>
      </c>
      <c r="E181" s="4">
        <v>2700</v>
      </c>
      <c r="F181" s="4">
        <v>6229</v>
      </c>
      <c r="G181" s="16" t="s">
        <v>7</v>
      </c>
      <c r="H181" s="4">
        <v>9</v>
      </c>
      <c r="I181" s="4">
        <f>Table13[[#This Row],[تعداد کل درخت‏های تحت آبیاری
(اصله مستقل)
(N)]]*Table13[[#This Row],[سطح پوشش مفروض برای هر درخت
(متر مربع)]]</f>
        <v>7569</v>
      </c>
      <c r="J18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8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81" s="8">
        <f>IF(Table13[[#This Row],[آیا
Achech  &gt;  Atree]]=1, 1, Table13[[#This Row],[Psh]]+(0.15*(1-Table13[[#This Row],[Psh]])))</f>
        <v>1</v>
      </c>
      <c r="M181" s="8">
        <f>IF(Table13[[#This Row],[آیا
Achech  &gt;  Atree]]=1, 0.65, 1)</f>
        <v>0.65</v>
      </c>
      <c r="N18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2700</v>
      </c>
      <c r="O18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3.2104637336504163</v>
      </c>
    </row>
    <row r="182" spans="2:15" x14ac:dyDescent="0.3">
      <c r="B182" s="4" t="s">
        <v>674</v>
      </c>
      <c r="C182" s="4">
        <v>1186</v>
      </c>
      <c r="D182" s="4">
        <v>698</v>
      </c>
      <c r="E182" s="4">
        <v>7336</v>
      </c>
      <c r="F182" s="4">
        <v>12801</v>
      </c>
      <c r="G182" s="16" t="s">
        <v>7</v>
      </c>
      <c r="H182" s="4">
        <v>9</v>
      </c>
      <c r="I182" s="4">
        <f>Table13[[#This Row],[تعداد کل درخت‏های تحت آبیاری
(اصله مستقل)
(N)]]*Table13[[#This Row],[سطح پوشش مفروض برای هر درخت
(متر مربع)]]</f>
        <v>6282</v>
      </c>
      <c r="J18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18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0.85632497273718644</v>
      </c>
      <c r="L182" s="8">
        <f>IF(Table13[[#This Row],[آیا
Achech  &gt;  Atree]]=1, 1, Table13[[#This Row],[Psh]]+(0.15*(1-Table13[[#This Row],[Psh]])))</f>
        <v>0.87787622682660849</v>
      </c>
      <c r="M182" s="8">
        <f>IF(Table13[[#This Row],[آیا
Achech  &gt;  Atree]]=1, 0.65, 1)</f>
        <v>1</v>
      </c>
      <c r="N18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6282</v>
      </c>
      <c r="O18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183" spans="2:15" x14ac:dyDescent="0.3">
      <c r="B183" s="4" t="s">
        <v>675</v>
      </c>
      <c r="C183" s="4">
        <v>3892</v>
      </c>
      <c r="D183" s="4">
        <v>2876</v>
      </c>
      <c r="E183" s="4">
        <v>16244</v>
      </c>
      <c r="F183" s="4">
        <v>32646</v>
      </c>
      <c r="G183" s="16" t="s">
        <v>7</v>
      </c>
      <c r="H183" s="4">
        <v>9</v>
      </c>
      <c r="I183" s="4">
        <f>Table13[[#This Row],[تعداد کل درخت‏های تحت آبیاری
(اصله مستقل)
(N)]]*Table13[[#This Row],[سطح پوشش مفروض برای هر درخت
(متر مربع)]]</f>
        <v>25884</v>
      </c>
      <c r="J18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8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83" s="8">
        <f>IF(Table13[[#This Row],[آیا
Achech  &gt;  Atree]]=1, 1, Table13[[#This Row],[Psh]]+(0.15*(1-Table13[[#This Row],[Psh]])))</f>
        <v>1</v>
      </c>
      <c r="M183" s="8">
        <f>IF(Table13[[#This Row],[آیا
Achech  &gt;  Atree]]=1, 0.65, 1)</f>
        <v>0.65</v>
      </c>
      <c r="N18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16244</v>
      </c>
      <c r="O18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5.6481223922114046</v>
      </c>
    </row>
    <row r="184" spans="2:15" x14ac:dyDescent="0.3">
      <c r="B184" s="4" t="s">
        <v>676</v>
      </c>
      <c r="C184" s="4">
        <v>2067</v>
      </c>
      <c r="D184" s="4">
        <v>1892</v>
      </c>
      <c r="E184" s="4">
        <v>9388</v>
      </c>
      <c r="F184" s="4">
        <v>30431</v>
      </c>
      <c r="G184" s="16" t="s">
        <v>7</v>
      </c>
      <c r="H184" s="4">
        <v>9</v>
      </c>
      <c r="I184" s="4">
        <f>Table13[[#This Row],[تعداد کل درخت‏های تحت آبیاری
(اصله مستقل)
(N)]]*Table13[[#This Row],[سطح پوشش مفروض برای هر درخت
(متر مربع)]]</f>
        <v>17028</v>
      </c>
      <c r="J18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8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84" s="8">
        <f>IF(Table13[[#This Row],[آیا
Achech  &gt;  Atree]]=1, 1, Table13[[#This Row],[Psh]]+(0.15*(1-Table13[[#This Row],[Psh]])))</f>
        <v>1</v>
      </c>
      <c r="M184" s="8">
        <f>IF(Table13[[#This Row],[آیا
Achech  &gt;  Atree]]=1, 0.65, 1)</f>
        <v>0.65</v>
      </c>
      <c r="N18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9388</v>
      </c>
      <c r="O18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4.9619450317124736</v>
      </c>
    </row>
    <row r="185" spans="2:15" x14ac:dyDescent="0.3">
      <c r="B185" s="4" t="s">
        <v>677</v>
      </c>
      <c r="C185" s="4">
        <v>2807</v>
      </c>
      <c r="D185" s="4">
        <v>727</v>
      </c>
      <c r="E185" s="4">
        <v>2182</v>
      </c>
      <c r="F185" s="4">
        <v>25795</v>
      </c>
      <c r="G185" s="16" t="s">
        <v>7</v>
      </c>
      <c r="H185" s="4">
        <v>9</v>
      </c>
      <c r="I185" s="4">
        <f>Table13[[#This Row],[تعداد کل درخت‏های تحت آبیاری
(اصله مستقل)
(N)]]*Table13[[#This Row],[سطح پوشش مفروض برای هر درخت
(متر مربع)]]</f>
        <v>6543</v>
      </c>
      <c r="J18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8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85" s="8">
        <f>IF(Table13[[#This Row],[آیا
Achech  &gt;  Atree]]=1, 1, Table13[[#This Row],[Psh]]+(0.15*(1-Table13[[#This Row],[Psh]])))</f>
        <v>1</v>
      </c>
      <c r="M185" s="8">
        <f>IF(Table13[[#This Row],[آیا
Achech  &gt;  Atree]]=1, 0.65, 1)</f>
        <v>0.65</v>
      </c>
      <c r="N18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2182</v>
      </c>
      <c r="O18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3.0013755158184319</v>
      </c>
    </row>
    <row r="186" spans="2:15" x14ac:dyDescent="0.3">
      <c r="B186" s="4" t="s">
        <v>678</v>
      </c>
      <c r="C186" s="4">
        <v>1634</v>
      </c>
      <c r="D186" s="4">
        <v>212</v>
      </c>
      <c r="E186" s="4">
        <v>260</v>
      </c>
      <c r="F186" s="4">
        <v>27015</v>
      </c>
      <c r="G186" s="16" t="s">
        <v>7</v>
      </c>
      <c r="H186" s="4">
        <v>9</v>
      </c>
      <c r="I186" s="4">
        <f>Table13[[#This Row],[تعداد کل درخت‏های تحت آبیاری
(اصله مستقل)
(N)]]*Table13[[#This Row],[سطح پوشش مفروض برای هر درخت
(متر مربع)]]</f>
        <v>1908</v>
      </c>
      <c r="J18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8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86" s="8">
        <f>IF(Table13[[#This Row],[آیا
Achech  &gt;  Atree]]=1, 1, Table13[[#This Row],[Psh]]+(0.15*(1-Table13[[#This Row],[Psh]])))</f>
        <v>1</v>
      </c>
      <c r="M186" s="8">
        <f>IF(Table13[[#This Row],[آیا
Achech  &gt;  Atree]]=1, 0.65, 1)</f>
        <v>0.65</v>
      </c>
      <c r="N18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260</v>
      </c>
      <c r="O18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1.2264150943396226</v>
      </c>
    </row>
    <row r="187" spans="2:15" x14ac:dyDescent="0.3">
      <c r="B187" s="4" t="s">
        <v>679</v>
      </c>
      <c r="C187" s="4">
        <v>1782</v>
      </c>
      <c r="D187" s="4">
        <v>1156</v>
      </c>
      <c r="E187" s="4">
        <v>11156</v>
      </c>
      <c r="F187" s="4">
        <v>42957</v>
      </c>
      <c r="G187" s="16" t="s">
        <v>7</v>
      </c>
      <c r="H187" s="4">
        <v>9</v>
      </c>
      <c r="I187" s="4">
        <f>Table13[[#This Row],[تعداد کل درخت‏های تحت آبیاری
(اصله مستقل)
(N)]]*Table13[[#This Row],[سطح پوشش مفروض برای هر درخت
(متر مربع)]]</f>
        <v>10404</v>
      </c>
      <c r="J18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18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0.93259232699892436</v>
      </c>
      <c r="L187" s="8">
        <f>IF(Table13[[#This Row],[آیا
Achech  &gt;  Atree]]=1, 1, Table13[[#This Row],[Psh]]+(0.15*(1-Table13[[#This Row],[Psh]])))</f>
        <v>0.94270347794908571</v>
      </c>
      <c r="M187" s="8">
        <f>IF(Table13[[#This Row],[آیا
Achech  &gt;  Atree]]=1, 0.65, 1)</f>
        <v>1</v>
      </c>
      <c r="N18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10404</v>
      </c>
      <c r="O18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188" spans="2:15" x14ac:dyDescent="0.3">
      <c r="B188" s="4" t="s">
        <v>680</v>
      </c>
      <c r="C188" s="4">
        <v>800</v>
      </c>
      <c r="D188" s="4">
        <v>446</v>
      </c>
      <c r="E188" s="4">
        <v>3900</v>
      </c>
      <c r="F188" s="4">
        <v>23328</v>
      </c>
      <c r="G188" s="16" t="s">
        <v>7</v>
      </c>
      <c r="H188" s="4">
        <v>9</v>
      </c>
      <c r="I188" s="4">
        <f>Table13[[#This Row],[تعداد کل درخت‏های تحت آبیاری
(اصله مستقل)
(N)]]*Table13[[#This Row],[سطح پوشش مفروض برای هر درخت
(متر مربع)]]</f>
        <v>4014</v>
      </c>
      <c r="J18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8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88" s="8">
        <f>IF(Table13[[#This Row],[آیا
Achech  &gt;  Atree]]=1, 1, Table13[[#This Row],[Psh]]+(0.15*(1-Table13[[#This Row],[Psh]])))</f>
        <v>1</v>
      </c>
      <c r="M188" s="8">
        <f>IF(Table13[[#This Row],[آیا
Achech  &gt;  Atree]]=1, 0.65, 1)</f>
        <v>0.65</v>
      </c>
      <c r="N18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3900</v>
      </c>
      <c r="O18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8.7443946188340806</v>
      </c>
    </row>
    <row r="189" spans="2:15" x14ac:dyDescent="0.3">
      <c r="B189" s="4" t="s">
        <v>681</v>
      </c>
      <c r="C189" s="4">
        <v>157</v>
      </c>
      <c r="D189" s="4">
        <v>45</v>
      </c>
      <c r="E189" s="4">
        <v>316</v>
      </c>
      <c r="F189" s="4">
        <v>3470</v>
      </c>
      <c r="G189" s="16" t="s">
        <v>7</v>
      </c>
      <c r="H189" s="4">
        <v>9</v>
      </c>
      <c r="I189" s="4">
        <f>Table13[[#This Row],[تعداد کل درخت‏های تحت آبیاری
(اصله مستقل)
(N)]]*Table13[[#This Row],[سطح پوشش مفروض برای هر درخت
(متر مربع)]]</f>
        <v>405</v>
      </c>
      <c r="J18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8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89" s="8">
        <f>IF(Table13[[#This Row],[آیا
Achech  &gt;  Atree]]=1, 1, Table13[[#This Row],[Psh]]+(0.15*(1-Table13[[#This Row],[Psh]])))</f>
        <v>1</v>
      </c>
      <c r="M189" s="8">
        <f>IF(Table13[[#This Row],[آیا
Achech  &gt;  Atree]]=1, 0.65, 1)</f>
        <v>0.65</v>
      </c>
      <c r="N18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316</v>
      </c>
      <c r="O18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7.0222222222222221</v>
      </c>
    </row>
    <row r="190" spans="2:15" x14ac:dyDescent="0.3">
      <c r="B190" s="4" t="s">
        <v>682</v>
      </c>
      <c r="C190" s="4">
        <v>1960</v>
      </c>
      <c r="D190" s="4">
        <v>1114</v>
      </c>
      <c r="E190" s="4">
        <v>38854</v>
      </c>
      <c r="F190" s="4">
        <v>39214</v>
      </c>
      <c r="G190" s="16" t="s">
        <v>286</v>
      </c>
      <c r="H190" s="4">
        <v>9</v>
      </c>
      <c r="I190" s="4">
        <f>Table13[[#This Row],[تعداد کل درخت‏های تحت آبیاری
(اصله مستقل)
(N)]]*Table13[[#This Row],[سطح پوشش مفروض برای هر درخت
(متر مربع)]]</f>
        <v>10026</v>
      </c>
      <c r="J19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19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0.25804292994286304</v>
      </c>
      <c r="L190" s="8">
        <f>IF(Table13[[#This Row],[آیا
Achech  &gt;  Atree]]=1, 1, Table13[[#This Row],[Psh]]+(0.15*(1-Table13[[#This Row],[Psh]])))</f>
        <v>0.36933649045143357</v>
      </c>
      <c r="M190" s="8">
        <f>IF(Table13[[#This Row],[آیا
Achech  &gt;  Atree]]=1, 0.65, 1)</f>
        <v>1</v>
      </c>
      <c r="N19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10026</v>
      </c>
      <c r="O19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191" spans="2:15" x14ac:dyDescent="0.3">
      <c r="B191" s="4" t="s">
        <v>716</v>
      </c>
      <c r="C191" s="4">
        <v>2280</v>
      </c>
      <c r="D191" s="4">
        <v>2280</v>
      </c>
      <c r="E191" s="4">
        <v>32000</v>
      </c>
      <c r="F191" s="4">
        <v>32000</v>
      </c>
      <c r="G191" s="16" t="s">
        <v>7</v>
      </c>
      <c r="H191" s="4">
        <v>9</v>
      </c>
      <c r="I191" s="4">
        <f>Table13[[#This Row],[تعداد کل درخت‏های تحت آبیاری
(اصله مستقل)
(N)]]*Table13[[#This Row],[سطح پوشش مفروض برای هر درخت
(متر مربع)]]</f>
        <v>20520</v>
      </c>
      <c r="J19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19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0.64124999999999999</v>
      </c>
      <c r="L191" s="8">
        <f>IF(Table13[[#This Row],[آیا
Achech  &gt;  Atree]]=1, 1, Table13[[#This Row],[Psh]]+(0.15*(1-Table13[[#This Row],[Psh]])))</f>
        <v>0.69506250000000003</v>
      </c>
      <c r="M191" s="8">
        <f>IF(Table13[[#This Row],[آیا
Achech  &gt;  Atree]]=1, 0.65, 1)</f>
        <v>1</v>
      </c>
      <c r="N19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20520</v>
      </c>
      <c r="O19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192" spans="2:15" x14ac:dyDescent="0.3">
      <c r="B192" s="4" t="s">
        <v>717</v>
      </c>
      <c r="C192" s="4">
        <v>2727</v>
      </c>
      <c r="D192" s="4">
        <v>2727</v>
      </c>
      <c r="E192" s="4">
        <v>27270</v>
      </c>
      <c r="F192" s="4">
        <v>27270</v>
      </c>
      <c r="G192" s="16" t="s">
        <v>718</v>
      </c>
      <c r="H192" s="4">
        <v>9</v>
      </c>
      <c r="I192" s="5">
        <f>Table13[[#This Row],[تعداد کل درخت‏های تحت آبیاری
(اصله مستقل)
(N)]]*Table13[[#This Row],[سطح پوشش مفروض برای هر درخت
(متر مربع)]]</f>
        <v>24543</v>
      </c>
      <c r="J192" s="5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192" s="9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0.9</v>
      </c>
      <c r="L192" s="9">
        <f>IF(Table13[[#This Row],[آیا
Achech  &gt;  Atree]]=1, 1, Table13[[#This Row],[Psh]]+(0.15*(1-Table13[[#This Row],[Psh]])))</f>
        <v>0.91500000000000004</v>
      </c>
      <c r="M192" s="9">
        <f>IF(Table13[[#This Row],[آیا
Achech  &gt;  Atree]]=1, 0.65, 1)</f>
        <v>1</v>
      </c>
      <c r="N192" s="5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24543</v>
      </c>
      <c r="O192" s="12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193" spans="2:15" x14ac:dyDescent="0.3">
      <c r="B193" s="4" t="s">
        <v>729</v>
      </c>
      <c r="C193" s="4">
        <v>603</v>
      </c>
      <c r="D193" s="4">
        <v>380</v>
      </c>
      <c r="E193" s="4">
        <v>1535</v>
      </c>
      <c r="F193" s="4">
        <v>8033</v>
      </c>
      <c r="G193" s="16" t="s">
        <v>7</v>
      </c>
      <c r="H193" s="4">
        <v>9</v>
      </c>
      <c r="I193" s="4">
        <f>Table13[[#This Row],[تعداد کل درخت‏های تحت آبیاری
(اصله مستقل)
(N)]]*Table13[[#This Row],[سطح پوشش مفروض برای هر درخت
(متر مربع)]]</f>
        <v>3420</v>
      </c>
      <c r="J19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9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93" s="8">
        <f>IF(Table13[[#This Row],[آیا
Achech  &gt;  Atree]]=1, 1, Table13[[#This Row],[Psh]]+(0.15*(1-Table13[[#This Row],[Psh]])))</f>
        <v>1</v>
      </c>
      <c r="M193" s="8">
        <f>IF(Table13[[#This Row],[آیا
Achech  &gt;  Atree]]=1, 0.65, 1)</f>
        <v>0.65</v>
      </c>
      <c r="N19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1535</v>
      </c>
      <c r="O19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4.0394736842105265</v>
      </c>
    </row>
    <row r="194" spans="2:15" x14ac:dyDescent="0.3">
      <c r="B194" s="4" t="s">
        <v>730</v>
      </c>
      <c r="C194" s="4">
        <v>279</v>
      </c>
      <c r="D194" s="4">
        <v>45</v>
      </c>
      <c r="E194" s="4">
        <v>361</v>
      </c>
      <c r="F194" s="4">
        <v>10511</v>
      </c>
      <c r="G194" s="16" t="s">
        <v>7</v>
      </c>
      <c r="H194" s="4">
        <v>9</v>
      </c>
      <c r="I194" s="4">
        <f>Table13[[#This Row],[تعداد کل درخت‏های تحت آبیاری
(اصله مستقل)
(N)]]*Table13[[#This Row],[سطح پوشش مفروض برای هر درخت
(متر مربع)]]</f>
        <v>405</v>
      </c>
      <c r="J19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9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94" s="8">
        <f>IF(Table13[[#This Row],[آیا
Achech  &gt;  Atree]]=1, 1, Table13[[#This Row],[Psh]]+(0.15*(1-Table13[[#This Row],[Psh]])))</f>
        <v>1</v>
      </c>
      <c r="M194" s="8">
        <f>IF(Table13[[#This Row],[آیا
Achech  &gt;  Atree]]=1, 0.65, 1)</f>
        <v>0.65</v>
      </c>
      <c r="N19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361</v>
      </c>
      <c r="O19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8.0222222222222221</v>
      </c>
    </row>
    <row r="195" spans="2:15" x14ac:dyDescent="0.3">
      <c r="B195" s="4" t="s">
        <v>731</v>
      </c>
      <c r="C195" s="4">
        <v>505</v>
      </c>
      <c r="D195" s="4">
        <v>147</v>
      </c>
      <c r="E195" s="4">
        <v>386</v>
      </c>
      <c r="F195" s="4">
        <v>14527</v>
      </c>
      <c r="G195" s="16" t="s">
        <v>7</v>
      </c>
      <c r="H195" s="4">
        <v>9</v>
      </c>
      <c r="I195" s="4">
        <f>Table13[[#This Row],[تعداد کل درخت‏های تحت آبیاری
(اصله مستقل)
(N)]]*Table13[[#This Row],[سطح پوشش مفروض برای هر درخت
(متر مربع)]]</f>
        <v>1323</v>
      </c>
      <c r="J19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9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95" s="8">
        <f>IF(Table13[[#This Row],[آیا
Achech  &gt;  Atree]]=1, 1, Table13[[#This Row],[Psh]]+(0.15*(1-Table13[[#This Row],[Psh]])))</f>
        <v>1</v>
      </c>
      <c r="M195" s="8">
        <f>IF(Table13[[#This Row],[آیا
Achech  &gt;  Atree]]=1, 0.65, 1)</f>
        <v>0.65</v>
      </c>
      <c r="N19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386</v>
      </c>
      <c r="O19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2.6258503401360542</v>
      </c>
    </row>
    <row r="196" spans="2:15" x14ac:dyDescent="0.3">
      <c r="B196" s="4" t="s">
        <v>732</v>
      </c>
      <c r="C196" s="4">
        <v>345</v>
      </c>
      <c r="D196" s="4">
        <v>82</v>
      </c>
      <c r="E196" s="4">
        <v>252</v>
      </c>
      <c r="F196" s="4">
        <v>7918</v>
      </c>
      <c r="G196" s="16" t="s">
        <v>7</v>
      </c>
      <c r="H196" s="4">
        <v>9</v>
      </c>
      <c r="I196" s="4">
        <f>Table13[[#This Row],[تعداد کل درخت‏های تحت آبیاری
(اصله مستقل)
(N)]]*Table13[[#This Row],[سطح پوشش مفروض برای هر درخت
(متر مربع)]]</f>
        <v>738</v>
      </c>
      <c r="J19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9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96" s="8">
        <f>IF(Table13[[#This Row],[آیا
Achech  &gt;  Atree]]=1, 1, Table13[[#This Row],[Psh]]+(0.15*(1-Table13[[#This Row],[Psh]])))</f>
        <v>1</v>
      </c>
      <c r="M196" s="8">
        <f>IF(Table13[[#This Row],[آیا
Achech  &gt;  Atree]]=1, 0.65, 1)</f>
        <v>0.65</v>
      </c>
      <c r="N19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252</v>
      </c>
      <c r="O19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3.0731707317073171</v>
      </c>
    </row>
    <row r="197" spans="2:15" x14ac:dyDescent="0.3">
      <c r="B197" s="4" t="s">
        <v>733</v>
      </c>
      <c r="C197" s="4">
        <v>525</v>
      </c>
      <c r="D197" s="4">
        <v>115</v>
      </c>
      <c r="E197" s="4">
        <v>235</v>
      </c>
      <c r="F197" s="4">
        <v>20892</v>
      </c>
      <c r="G197" s="16" t="s">
        <v>7</v>
      </c>
      <c r="H197" s="4">
        <v>9</v>
      </c>
      <c r="I197" s="4">
        <f>Table13[[#This Row],[تعداد کل درخت‏های تحت آبیاری
(اصله مستقل)
(N)]]*Table13[[#This Row],[سطح پوشش مفروض برای هر درخت
(متر مربع)]]</f>
        <v>1035</v>
      </c>
      <c r="J19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9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97" s="8">
        <f>IF(Table13[[#This Row],[آیا
Achech  &gt;  Atree]]=1, 1, Table13[[#This Row],[Psh]]+(0.15*(1-Table13[[#This Row],[Psh]])))</f>
        <v>1</v>
      </c>
      <c r="M197" s="8">
        <f>IF(Table13[[#This Row],[آیا
Achech  &gt;  Atree]]=1, 0.65, 1)</f>
        <v>0.65</v>
      </c>
      <c r="N19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235</v>
      </c>
      <c r="O19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2.0434782608695654</v>
      </c>
    </row>
    <row r="198" spans="2:15" x14ac:dyDescent="0.3">
      <c r="B198" s="4" t="s">
        <v>734</v>
      </c>
      <c r="C198" s="4">
        <v>365</v>
      </c>
      <c r="D198" s="4">
        <v>60</v>
      </c>
      <c r="E198" s="4">
        <v>352</v>
      </c>
      <c r="F198" s="4">
        <v>4879</v>
      </c>
      <c r="G198" s="16" t="s">
        <v>7</v>
      </c>
      <c r="H198" s="4">
        <v>9</v>
      </c>
      <c r="I198" s="4">
        <f>Table13[[#This Row],[تعداد کل درخت‏های تحت آبیاری
(اصله مستقل)
(N)]]*Table13[[#This Row],[سطح پوشش مفروض برای هر درخت
(متر مربع)]]</f>
        <v>540</v>
      </c>
      <c r="J19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9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98" s="8">
        <f>IF(Table13[[#This Row],[آیا
Achech  &gt;  Atree]]=1, 1, Table13[[#This Row],[Psh]]+(0.15*(1-Table13[[#This Row],[Psh]])))</f>
        <v>1</v>
      </c>
      <c r="M198" s="8">
        <f>IF(Table13[[#This Row],[آیا
Achech  &gt;  Atree]]=1, 0.65, 1)</f>
        <v>0.65</v>
      </c>
      <c r="N19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352</v>
      </c>
      <c r="O19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5.8666666666666663</v>
      </c>
    </row>
    <row r="199" spans="2:15" x14ac:dyDescent="0.3">
      <c r="B199" s="4" t="s">
        <v>735</v>
      </c>
      <c r="C199" s="4">
        <v>2140</v>
      </c>
      <c r="D199" s="4">
        <v>450</v>
      </c>
      <c r="E199" s="4">
        <v>2500</v>
      </c>
      <c r="F199" s="4">
        <v>19062</v>
      </c>
      <c r="G199" s="16" t="s">
        <v>7</v>
      </c>
      <c r="H199" s="4">
        <v>9</v>
      </c>
      <c r="I199" s="4">
        <f>Table13[[#This Row],[تعداد کل درخت‏های تحت آبیاری
(اصله مستقل)
(N)]]*Table13[[#This Row],[سطح پوشش مفروض برای هر درخت
(متر مربع)]]</f>
        <v>4050</v>
      </c>
      <c r="J19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19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199" s="8">
        <f>IF(Table13[[#This Row],[آیا
Achech  &gt;  Atree]]=1, 1, Table13[[#This Row],[Psh]]+(0.15*(1-Table13[[#This Row],[Psh]])))</f>
        <v>1</v>
      </c>
      <c r="M199" s="8">
        <f>IF(Table13[[#This Row],[آیا
Achech  &gt;  Atree]]=1, 0.65, 1)</f>
        <v>0.65</v>
      </c>
      <c r="N19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2500</v>
      </c>
      <c r="O19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5.5555555555555554</v>
      </c>
    </row>
    <row r="200" spans="2:15" x14ac:dyDescent="0.3">
      <c r="B200" s="4" t="s">
        <v>736</v>
      </c>
      <c r="C200" s="4">
        <v>290</v>
      </c>
      <c r="D200" s="4">
        <v>70</v>
      </c>
      <c r="E200" s="4">
        <v>650</v>
      </c>
      <c r="F200" s="4">
        <v>6945</v>
      </c>
      <c r="G200" s="16" t="s">
        <v>7</v>
      </c>
      <c r="H200" s="4">
        <v>9</v>
      </c>
      <c r="I200" s="4">
        <f>Table13[[#This Row],[تعداد کل درخت‏های تحت آبیاری
(اصله مستقل)
(N)]]*Table13[[#This Row],[سطح پوشش مفروض برای هر درخت
(متر مربع)]]</f>
        <v>630</v>
      </c>
      <c r="J20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0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0.96923076923076923</v>
      </c>
      <c r="L200" s="8">
        <f>IF(Table13[[#This Row],[آیا
Achech  &gt;  Atree]]=1, 1, Table13[[#This Row],[Psh]]+(0.15*(1-Table13[[#This Row],[Psh]])))</f>
        <v>0.97384615384615381</v>
      </c>
      <c r="M200" s="8">
        <f>IF(Table13[[#This Row],[آیا
Achech  &gt;  Atree]]=1, 0.65, 1)</f>
        <v>1</v>
      </c>
      <c r="N20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630</v>
      </c>
      <c r="O20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01" spans="2:15" x14ac:dyDescent="0.3">
      <c r="B201" s="4" t="s">
        <v>737</v>
      </c>
      <c r="C201" s="4">
        <v>130</v>
      </c>
      <c r="D201" s="4">
        <v>85</v>
      </c>
      <c r="E201" s="4">
        <v>235</v>
      </c>
      <c r="F201" s="4">
        <v>4778</v>
      </c>
      <c r="G201" s="16" t="s">
        <v>7</v>
      </c>
      <c r="H201" s="4">
        <v>9</v>
      </c>
      <c r="I201" s="4">
        <f>Table13[[#This Row],[تعداد کل درخت‏های تحت آبیاری
(اصله مستقل)
(N)]]*Table13[[#This Row],[سطح پوشش مفروض برای هر درخت
(متر مربع)]]</f>
        <v>765</v>
      </c>
      <c r="J20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0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01" s="8">
        <f>IF(Table13[[#This Row],[آیا
Achech  &gt;  Atree]]=1, 1, Table13[[#This Row],[Psh]]+(0.15*(1-Table13[[#This Row],[Psh]])))</f>
        <v>1</v>
      </c>
      <c r="M201" s="8">
        <f>IF(Table13[[#This Row],[آیا
Achech  &gt;  Atree]]=1, 0.65, 1)</f>
        <v>0.65</v>
      </c>
      <c r="N20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235</v>
      </c>
      <c r="O20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2.7647058823529411</v>
      </c>
    </row>
    <row r="202" spans="2:15" x14ac:dyDescent="0.3">
      <c r="B202" s="4" t="s">
        <v>738</v>
      </c>
      <c r="C202" s="4">
        <v>350</v>
      </c>
      <c r="D202" s="4">
        <v>350</v>
      </c>
      <c r="E202" s="4">
        <v>2200</v>
      </c>
      <c r="F202" s="4">
        <v>3295</v>
      </c>
      <c r="G202" s="16" t="s">
        <v>7</v>
      </c>
      <c r="H202" s="4">
        <v>9</v>
      </c>
      <c r="I202" s="4">
        <f>Table13[[#This Row],[تعداد کل درخت‏های تحت آبیاری
(اصله مستقل)
(N)]]*Table13[[#This Row],[سطح پوشش مفروض برای هر درخت
(متر مربع)]]</f>
        <v>3150</v>
      </c>
      <c r="J20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0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02" s="8">
        <f>IF(Table13[[#This Row],[آیا
Achech  &gt;  Atree]]=1, 1, Table13[[#This Row],[Psh]]+(0.15*(1-Table13[[#This Row],[Psh]])))</f>
        <v>1</v>
      </c>
      <c r="M202" s="8">
        <f>IF(Table13[[#This Row],[آیا
Achech  &gt;  Atree]]=1, 0.65, 1)</f>
        <v>0.65</v>
      </c>
      <c r="N20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2200</v>
      </c>
      <c r="O20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6.2857142857142856</v>
      </c>
    </row>
    <row r="203" spans="2:15" x14ac:dyDescent="0.3">
      <c r="B203" s="4" t="s">
        <v>739</v>
      </c>
      <c r="C203" s="4">
        <v>507</v>
      </c>
      <c r="D203" s="4">
        <v>55</v>
      </c>
      <c r="E203" s="4">
        <v>220</v>
      </c>
      <c r="F203" s="4">
        <v>12608</v>
      </c>
      <c r="G203" s="16" t="s">
        <v>7</v>
      </c>
      <c r="H203" s="4">
        <v>9</v>
      </c>
      <c r="I203" s="4">
        <f>Table13[[#This Row],[تعداد کل درخت‏های تحت آبیاری
(اصله مستقل)
(N)]]*Table13[[#This Row],[سطح پوشش مفروض برای هر درخت
(متر مربع)]]</f>
        <v>495</v>
      </c>
      <c r="J20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0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03" s="8">
        <f>IF(Table13[[#This Row],[آیا
Achech  &gt;  Atree]]=1, 1, Table13[[#This Row],[Psh]]+(0.15*(1-Table13[[#This Row],[Psh]])))</f>
        <v>1</v>
      </c>
      <c r="M203" s="8">
        <f>IF(Table13[[#This Row],[آیا
Achech  &gt;  Atree]]=1, 0.65, 1)</f>
        <v>0.65</v>
      </c>
      <c r="N20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220</v>
      </c>
      <c r="O20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</v>
      </c>
    </row>
    <row r="204" spans="2:15" x14ac:dyDescent="0.3">
      <c r="B204" s="4" t="s">
        <v>740</v>
      </c>
      <c r="C204" s="4">
        <v>50</v>
      </c>
      <c r="D204" s="4">
        <v>10</v>
      </c>
      <c r="E204" s="4">
        <v>50</v>
      </c>
      <c r="F204" s="4">
        <v>1230</v>
      </c>
      <c r="G204" s="16" t="s">
        <v>7</v>
      </c>
      <c r="H204" s="4">
        <v>9</v>
      </c>
      <c r="I204" s="4">
        <f>Table13[[#This Row],[تعداد کل درخت‏های تحت آبیاری
(اصله مستقل)
(N)]]*Table13[[#This Row],[سطح پوشش مفروض برای هر درخت
(متر مربع)]]</f>
        <v>90</v>
      </c>
      <c r="J20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0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04" s="8">
        <f>IF(Table13[[#This Row],[آیا
Achech  &gt;  Atree]]=1, 1, Table13[[#This Row],[Psh]]+(0.15*(1-Table13[[#This Row],[Psh]])))</f>
        <v>1</v>
      </c>
      <c r="M204" s="8">
        <f>IF(Table13[[#This Row],[آیا
Achech  &gt;  Atree]]=1, 0.65, 1)</f>
        <v>0.65</v>
      </c>
      <c r="N20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50</v>
      </c>
      <c r="O20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</v>
      </c>
    </row>
    <row r="205" spans="2:15" x14ac:dyDescent="0.3">
      <c r="B205" s="4" t="s">
        <v>741</v>
      </c>
      <c r="C205" s="4">
        <v>120</v>
      </c>
      <c r="D205" s="4">
        <v>55</v>
      </c>
      <c r="E205" s="4">
        <v>550</v>
      </c>
      <c r="F205" s="4">
        <v>2495</v>
      </c>
      <c r="G205" s="16" t="s">
        <v>7</v>
      </c>
      <c r="H205" s="4">
        <v>9</v>
      </c>
      <c r="I205" s="4">
        <f>Table13[[#This Row],[تعداد کل درخت‏های تحت آبیاری
(اصله مستقل)
(N)]]*Table13[[#This Row],[سطح پوشش مفروض برای هر درخت
(متر مربع)]]</f>
        <v>495</v>
      </c>
      <c r="J20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0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0.9</v>
      </c>
      <c r="L205" s="8">
        <f>IF(Table13[[#This Row],[آیا
Achech  &gt;  Atree]]=1, 1, Table13[[#This Row],[Psh]]+(0.15*(1-Table13[[#This Row],[Psh]])))</f>
        <v>0.91500000000000004</v>
      </c>
      <c r="M205" s="8">
        <f>IF(Table13[[#This Row],[آیا
Achech  &gt;  Atree]]=1, 0.65, 1)</f>
        <v>1</v>
      </c>
      <c r="N20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495</v>
      </c>
      <c r="O20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06" spans="2:15" x14ac:dyDescent="0.3">
      <c r="B206" s="4" t="s">
        <v>742</v>
      </c>
      <c r="C206" s="4">
        <v>565</v>
      </c>
      <c r="D206" s="4">
        <v>565</v>
      </c>
      <c r="E206" s="4">
        <v>12100</v>
      </c>
      <c r="F206" s="4">
        <v>12100</v>
      </c>
      <c r="G206" s="16" t="s">
        <v>286</v>
      </c>
      <c r="H206" s="4">
        <v>9</v>
      </c>
      <c r="I206" s="4">
        <f>Table13[[#This Row],[تعداد کل درخت‏های تحت آبیاری
(اصله مستقل)
(N)]]*Table13[[#This Row],[سطح پوشش مفروض برای هر درخت
(متر مربع)]]</f>
        <v>5085</v>
      </c>
      <c r="J20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0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0.42024793388429754</v>
      </c>
      <c r="L206" s="8">
        <f>IF(Table13[[#This Row],[آیا
Achech  &gt;  Atree]]=1, 1, Table13[[#This Row],[Psh]]+(0.15*(1-Table13[[#This Row],[Psh]])))</f>
        <v>0.50721074380165287</v>
      </c>
      <c r="M206" s="8">
        <f>IF(Table13[[#This Row],[آیا
Achech  &gt;  Atree]]=1, 0.65, 1)</f>
        <v>1</v>
      </c>
      <c r="N20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5085</v>
      </c>
      <c r="O20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07" spans="2:15" x14ac:dyDescent="0.3">
      <c r="B207" s="4" t="s">
        <v>749</v>
      </c>
      <c r="C207" s="4">
        <v>610</v>
      </c>
      <c r="D207" s="4">
        <v>550</v>
      </c>
      <c r="E207" s="4">
        <v>2500</v>
      </c>
      <c r="F207" s="4">
        <v>9760</v>
      </c>
      <c r="G207" s="16" t="s">
        <v>7</v>
      </c>
      <c r="H207" s="4">
        <v>9</v>
      </c>
      <c r="I207" s="4">
        <f>Table13[[#This Row],[تعداد کل درخت‏های تحت آبیاری
(اصله مستقل)
(N)]]*Table13[[#This Row],[سطح پوشش مفروض برای هر درخت
(متر مربع)]]</f>
        <v>4950</v>
      </c>
      <c r="J20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0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07" s="8">
        <f>IF(Table13[[#This Row],[آیا
Achech  &gt;  Atree]]=1, 1, Table13[[#This Row],[Psh]]+(0.15*(1-Table13[[#This Row],[Psh]])))</f>
        <v>1</v>
      </c>
      <c r="M207" s="8">
        <f>IF(Table13[[#This Row],[آیا
Achech  &gt;  Atree]]=1, 0.65, 1)</f>
        <v>0.65</v>
      </c>
      <c r="N20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2500</v>
      </c>
      <c r="O20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4.5454545454545459</v>
      </c>
    </row>
    <row r="208" spans="2:15" x14ac:dyDescent="0.3">
      <c r="B208" s="4" t="s">
        <v>758</v>
      </c>
      <c r="C208" s="4">
        <v>105</v>
      </c>
      <c r="D208" s="4">
        <v>66</v>
      </c>
      <c r="E208" s="4">
        <v>350</v>
      </c>
      <c r="F208" s="4">
        <v>3025</v>
      </c>
      <c r="G208" s="16" t="s">
        <v>7</v>
      </c>
      <c r="H208" s="4">
        <v>9</v>
      </c>
      <c r="I208" s="4">
        <f>Table13[[#This Row],[تعداد کل درخت‏های تحت آبیاری
(اصله مستقل)
(N)]]*Table13[[#This Row],[سطح پوشش مفروض برای هر درخت
(متر مربع)]]</f>
        <v>594</v>
      </c>
      <c r="J20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0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08" s="8">
        <f>IF(Table13[[#This Row],[آیا
Achech  &gt;  Atree]]=1, 1, Table13[[#This Row],[Psh]]+(0.15*(1-Table13[[#This Row],[Psh]])))</f>
        <v>1</v>
      </c>
      <c r="M208" s="8">
        <f>IF(Table13[[#This Row],[آیا
Achech  &gt;  Atree]]=1, 0.65, 1)</f>
        <v>0.65</v>
      </c>
      <c r="N20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350</v>
      </c>
      <c r="O20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5.3030303030303028</v>
      </c>
    </row>
    <row r="209" spans="2:15" x14ac:dyDescent="0.3">
      <c r="B209" s="4" t="s">
        <v>766</v>
      </c>
      <c r="C209" s="4">
        <v>404</v>
      </c>
      <c r="D209" s="4">
        <v>150</v>
      </c>
      <c r="E209" s="4">
        <v>1170</v>
      </c>
      <c r="F209" s="4">
        <v>7072</v>
      </c>
      <c r="G209" s="16" t="s">
        <v>7</v>
      </c>
      <c r="H209" s="4">
        <v>9</v>
      </c>
      <c r="I209" s="4">
        <f>Table13[[#This Row],[تعداد کل درخت‏های تحت آبیاری
(اصله مستقل)
(N)]]*Table13[[#This Row],[سطح پوشش مفروض برای هر درخت
(متر مربع)]]</f>
        <v>1350</v>
      </c>
      <c r="J20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0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09" s="8">
        <f>IF(Table13[[#This Row],[آیا
Achech  &gt;  Atree]]=1, 1, Table13[[#This Row],[Psh]]+(0.15*(1-Table13[[#This Row],[Psh]])))</f>
        <v>1</v>
      </c>
      <c r="M209" s="8">
        <f>IF(Table13[[#This Row],[آیا
Achech  &gt;  Atree]]=1, 0.65, 1)</f>
        <v>0.65</v>
      </c>
      <c r="N20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1170</v>
      </c>
      <c r="O20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7.8</v>
      </c>
    </row>
    <row r="210" spans="2:15" x14ac:dyDescent="0.3">
      <c r="B210" s="4" t="s">
        <v>767</v>
      </c>
      <c r="C210" s="4">
        <v>486</v>
      </c>
      <c r="D210" s="4">
        <v>178</v>
      </c>
      <c r="E210" s="4">
        <v>1530</v>
      </c>
      <c r="F210" s="4">
        <v>11950</v>
      </c>
      <c r="G210" s="16" t="s">
        <v>7</v>
      </c>
      <c r="H210" s="4">
        <v>9</v>
      </c>
      <c r="I210" s="4">
        <f>Table13[[#This Row],[تعداد کل درخت‏های تحت آبیاری
(اصله مستقل)
(N)]]*Table13[[#This Row],[سطح پوشش مفروض برای هر درخت
(متر مربع)]]</f>
        <v>1602</v>
      </c>
      <c r="J21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1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10" s="8">
        <f>IF(Table13[[#This Row],[آیا
Achech  &gt;  Atree]]=1, 1, Table13[[#This Row],[Psh]]+(0.15*(1-Table13[[#This Row],[Psh]])))</f>
        <v>1</v>
      </c>
      <c r="M210" s="8">
        <f>IF(Table13[[#This Row],[آیا
Achech  &gt;  Atree]]=1, 0.65, 1)</f>
        <v>0.65</v>
      </c>
      <c r="N21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1530</v>
      </c>
      <c r="O21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8.595505617977528</v>
      </c>
    </row>
    <row r="211" spans="2:15" x14ac:dyDescent="0.3">
      <c r="B211" s="4" t="s">
        <v>768</v>
      </c>
      <c r="C211" s="4">
        <v>1529</v>
      </c>
      <c r="D211" s="4">
        <v>1317</v>
      </c>
      <c r="E211" s="4">
        <v>6716</v>
      </c>
      <c r="F211" s="4">
        <v>29562</v>
      </c>
      <c r="G211" s="16" t="s">
        <v>7</v>
      </c>
      <c r="H211" s="4">
        <v>9</v>
      </c>
      <c r="I211" s="4">
        <f>Table13[[#This Row],[تعداد کل درخت‏های تحت آبیاری
(اصله مستقل)
(N)]]*Table13[[#This Row],[سطح پوشش مفروض برای هر درخت
(متر مربع)]]</f>
        <v>11853</v>
      </c>
      <c r="J21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1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11" s="8">
        <f>IF(Table13[[#This Row],[آیا
Achech  &gt;  Atree]]=1, 1, Table13[[#This Row],[Psh]]+(0.15*(1-Table13[[#This Row],[Psh]])))</f>
        <v>1</v>
      </c>
      <c r="M211" s="8">
        <f>IF(Table13[[#This Row],[آیا
Achech  &gt;  Atree]]=1, 0.65, 1)</f>
        <v>0.65</v>
      </c>
      <c r="N21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6716</v>
      </c>
      <c r="O21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5.0994684889901292</v>
      </c>
    </row>
    <row r="212" spans="2:15" x14ac:dyDescent="0.3">
      <c r="B212" s="4" t="s">
        <v>769</v>
      </c>
      <c r="C212" s="4">
        <v>448</v>
      </c>
      <c r="D212" s="4">
        <v>85</v>
      </c>
      <c r="E212" s="4">
        <v>340</v>
      </c>
      <c r="F212" s="4">
        <v>11348</v>
      </c>
      <c r="G212" s="16" t="s">
        <v>7</v>
      </c>
      <c r="H212" s="4">
        <v>9</v>
      </c>
      <c r="I212" s="4">
        <f>Table13[[#This Row],[تعداد کل درخت‏های تحت آبیاری
(اصله مستقل)
(N)]]*Table13[[#This Row],[سطح پوشش مفروض برای هر درخت
(متر مربع)]]</f>
        <v>765</v>
      </c>
      <c r="J21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1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12" s="8">
        <f>IF(Table13[[#This Row],[آیا
Achech  &gt;  Atree]]=1, 1, Table13[[#This Row],[Psh]]+(0.15*(1-Table13[[#This Row],[Psh]])))</f>
        <v>1</v>
      </c>
      <c r="M212" s="8">
        <f>IF(Table13[[#This Row],[آیا
Achech  &gt;  Atree]]=1, 0.65, 1)</f>
        <v>0.65</v>
      </c>
      <c r="N21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340</v>
      </c>
      <c r="O21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</v>
      </c>
    </row>
    <row r="213" spans="2:15" x14ac:dyDescent="0.3">
      <c r="B213" s="4" t="s">
        <v>770</v>
      </c>
      <c r="C213" s="4">
        <v>611</v>
      </c>
      <c r="D213" s="4">
        <v>86</v>
      </c>
      <c r="E213" s="4">
        <v>344</v>
      </c>
      <c r="F213" s="4">
        <v>7047</v>
      </c>
      <c r="G213" s="16" t="s">
        <v>7</v>
      </c>
      <c r="H213" s="4">
        <v>9</v>
      </c>
      <c r="I213" s="4">
        <f>Table13[[#This Row],[تعداد کل درخت‏های تحت آبیاری
(اصله مستقل)
(N)]]*Table13[[#This Row],[سطح پوشش مفروض برای هر درخت
(متر مربع)]]</f>
        <v>774</v>
      </c>
      <c r="J21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1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13" s="8">
        <f>IF(Table13[[#This Row],[آیا
Achech  &gt;  Atree]]=1, 1, Table13[[#This Row],[Psh]]+(0.15*(1-Table13[[#This Row],[Psh]])))</f>
        <v>1</v>
      </c>
      <c r="M213" s="8">
        <f>IF(Table13[[#This Row],[آیا
Achech  &gt;  Atree]]=1, 0.65, 1)</f>
        <v>0.65</v>
      </c>
      <c r="N21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344</v>
      </c>
      <c r="O21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</v>
      </c>
    </row>
    <row r="214" spans="2:15" x14ac:dyDescent="0.3">
      <c r="B214" s="4" t="s">
        <v>771</v>
      </c>
      <c r="C214" s="4">
        <v>238</v>
      </c>
      <c r="D214" s="4">
        <v>238</v>
      </c>
      <c r="E214" s="4">
        <v>1404</v>
      </c>
      <c r="F214" s="4">
        <v>5538</v>
      </c>
      <c r="G214" s="16" t="s">
        <v>7</v>
      </c>
      <c r="H214" s="4">
        <v>9</v>
      </c>
      <c r="I214" s="4">
        <f>Table13[[#This Row],[تعداد کل درخت‏های تحت آبیاری
(اصله مستقل)
(N)]]*Table13[[#This Row],[سطح پوشش مفروض برای هر درخت
(متر مربع)]]</f>
        <v>2142</v>
      </c>
      <c r="J21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1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14" s="8">
        <f>IF(Table13[[#This Row],[آیا
Achech  &gt;  Atree]]=1, 1, Table13[[#This Row],[Psh]]+(0.15*(1-Table13[[#This Row],[Psh]])))</f>
        <v>1</v>
      </c>
      <c r="M214" s="8">
        <f>IF(Table13[[#This Row],[آیا
Achech  &gt;  Atree]]=1, 0.65, 1)</f>
        <v>0.65</v>
      </c>
      <c r="N21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1404</v>
      </c>
      <c r="O21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5.8991596638655466</v>
      </c>
    </row>
    <row r="215" spans="2:15" x14ac:dyDescent="0.3">
      <c r="B215" s="4" t="s">
        <v>775</v>
      </c>
      <c r="C215" s="4">
        <v>826</v>
      </c>
      <c r="D215" s="4">
        <v>612</v>
      </c>
      <c r="E215" s="4">
        <v>2448</v>
      </c>
      <c r="F215" s="4">
        <v>14860</v>
      </c>
      <c r="G215" s="16" t="s">
        <v>7</v>
      </c>
      <c r="H215" s="4">
        <v>9</v>
      </c>
      <c r="I215" s="4">
        <f>Table13[[#This Row],[تعداد کل درخت‏های تحت آبیاری
(اصله مستقل)
(N)]]*Table13[[#This Row],[سطح پوشش مفروض برای هر درخت
(متر مربع)]]</f>
        <v>5508</v>
      </c>
      <c r="J21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1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15" s="8">
        <f>IF(Table13[[#This Row],[آیا
Achech  &gt;  Atree]]=1, 1, Table13[[#This Row],[Psh]]+(0.15*(1-Table13[[#This Row],[Psh]])))</f>
        <v>1</v>
      </c>
      <c r="M215" s="8">
        <f>IF(Table13[[#This Row],[آیا
Achech  &gt;  Atree]]=1, 0.65, 1)</f>
        <v>0.65</v>
      </c>
      <c r="N21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2448</v>
      </c>
      <c r="O21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</v>
      </c>
    </row>
    <row r="216" spans="2:15" x14ac:dyDescent="0.3">
      <c r="B216" s="4" t="s">
        <v>776</v>
      </c>
      <c r="C216" s="4">
        <v>1101</v>
      </c>
      <c r="D216" s="4">
        <v>280</v>
      </c>
      <c r="E216" s="4">
        <v>2302</v>
      </c>
      <c r="F216" s="4">
        <v>13709</v>
      </c>
      <c r="G216" s="16" t="s">
        <v>7</v>
      </c>
      <c r="H216" s="4">
        <v>9</v>
      </c>
      <c r="I216" s="4">
        <f>Table13[[#This Row],[تعداد کل درخت‏های تحت آبیاری
(اصله مستقل)
(N)]]*Table13[[#This Row],[سطح پوشش مفروض برای هر درخت
(متر مربع)]]</f>
        <v>2520</v>
      </c>
      <c r="J21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1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16" s="8">
        <f>IF(Table13[[#This Row],[آیا
Achech  &gt;  Atree]]=1, 1, Table13[[#This Row],[Psh]]+(0.15*(1-Table13[[#This Row],[Psh]])))</f>
        <v>1</v>
      </c>
      <c r="M216" s="8">
        <f>IF(Table13[[#This Row],[آیا
Achech  &gt;  Atree]]=1, 0.65, 1)</f>
        <v>0.65</v>
      </c>
      <c r="N21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2302</v>
      </c>
      <c r="O21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8.2214285714285715</v>
      </c>
    </row>
    <row r="217" spans="2:15" x14ac:dyDescent="0.3">
      <c r="B217" s="4" t="s">
        <v>783</v>
      </c>
      <c r="C217" s="4">
        <v>12505</v>
      </c>
      <c r="D217" s="4">
        <v>4507.2</v>
      </c>
      <c r="E217" s="4">
        <v>97790</v>
      </c>
      <c r="F217" s="4">
        <v>127080</v>
      </c>
      <c r="G217" s="16" t="s">
        <v>319</v>
      </c>
      <c r="H217" s="4">
        <v>9</v>
      </c>
      <c r="I217" s="4">
        <f>Table13[[#This Row],[تعداد کل درخت‏های تحت آبیاری
(اصله مستقل)
(N)]]*Table13[[#This Row],[سطح پوشش مفروض برای هر درخت
(متر مربع)]]</f>
        <v>40564.799999999996</v>
      </c>
      <c r="J21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1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0.41481542079967271</v>
      </c>
      <c r="L217" s="8">
        <f>IF(Table13[[#This Row],[آیا
Achech  &gt;  Atree]]=1, 1, Table13[[#This Row],[Psh]]+(0.15*(1-Table13[[#This Row],[Psh]])))</f>
        <v>0.50259310767972176</v>
      </c>
      <c r="M217" s="8">
        <f>IF(Table13[[#This Row],[آیا
Achech  &gt;  Atree]]=1, 0.65, 1)</f>
        <v>1</v>
      </c>
      <c r="N21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40564.799999999996</v>
      </c>
      <c r="O21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18" spans="2:15" x14ac:dyDescent="0.3">
      <c r="B218" s="4" t="s">
        <v>784</v>
      </c>
      <c r="C218" s="4">
        <v>11926</v>
      </c>
      <c r="D218" s="4">
        <v>6162.9333333333334</v>
      </c>
      <c r="E218" s="4">
        <v>64425</v>
      </c>
      <c r="F218" s="4">
        <v>85650</v>
      </c>
      <c r="G218" s="16" t="s">
        <v>319</v>
      </c>
      <c r="H218" s="4">
        <v>9</v>
      </c>
      <c r="I218" s="4">
        <f>Table13[[#This Row],[تعداد کل درخت‏های تحت آبیاری
(اصله مستقل)
(N)]]*Table13[[#This Row],[سطح پوشش مفروض برای هر درخت
(متر مربع)]]</f>
        <v>55466.400000000001</v>
      </c>
      <c r="J21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1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0.86094528521536673</v>
      </c>
      <c r="L218" s="8">
        <f>IF(Table13[[#This Row],[آیا
Achech  &gt;  Atree]]=1, 1, Table13[[#This Row],[Psh]]+(0.15*(1-Table13[[#This Row],[Psh]])))</f>
        <v>0.88180349243306178</v>
      </c>
      <c r="M218" s="8">
        <f>IF(Table13[[#This Row],[آیا
Achech  &gt;  Atree]]=1, 0.65, 1)</f>
        <v>1</v>
      </c>
      <c r="N21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55466.400000000001</v>
      </c>
      <c r="O21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19" spans="2:15" x14ac:dyDescent="0.3">
      <c r="B219" s="4" t="s">
        <v>785</v>
      </c>
      <c r="C219" s="4">
        <v>565</v>
      </c>
      <c r="D219" s="4">
        <v>35</v>
      </c>
      <c r="E219" s="4">
        <v>280</v>
      </c>
      <c r="F219" s="4">
        <v>16384</v>
      </c>
      <c r="G219" s="16" t="s">
        <v>7</v>
      </c>
      <c r="H219" s="4">
        <v>9</v>
      </c>
      <c r="I219" s="4">
        <f>Table13[[#This Row],[تعداد کل درخت‏های تحت آبیاری
(اصله مستقل)
(N)]]*Table13[[#This Row],[سطح پوشش مفروض برای هر درخت
(متر مربع)]]</f>
        <v>315</v>
      </c>
      <c r="J21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1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19" s="8">
        <f>IF(Table13[[#This Row],[آیا
Achech  &gt;  Atree]]=1, 1, Table13[[#This Row],[Psh]]+(0.15*(1-Table13[[#This Row],[Psh]])))</f>
        <v>1</v>
      </c>
      <c r="M219" s="8">
        <f>IF(Table13[[#This Row],[آیا
Achech  &gt;  Atree]]=1, 0.65, 1)</f>
        <v>0.65</v>
      </c>
      <c r="N21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280</v>
      </c>
      <c r="O21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8</v>
      </c>
    </row>
    <row r="220" spans="2:15" x14ac:dyDescent="0.3">
      <c r="B220" s="4" t="s">
        <v>786</v>
      </c>
      <c r="C220" s="4">
        <v>7822</v>
      </c>
      <c r="D220" s="4">
        <v>8010</v>
      </c>
      <c r="E220" s="4">
        <v>40293</v>
      </c>
      <c r="F220" s="4">
        <v>42663</v>
      </c>
      <c r="G220" s="16" t="s">
        <v>286</v>
      </c>
      <c r="H220" s="4">
        <v>9</v>
      </c>
      <c r="I220" s="4">
        <f>Table13[[#This Row],[تعداد کل درخت‏های تحت آبیاری
(اصله مستقل)
(N)]]*Table13[[#This Row],[سطح پوشش مفروض برای هر درخت
(متر مربع)]]</f>
        <v>72090</v>
      </c>
      <c r="J22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2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20" s="8">
        <f>IF(Table13[[#This Row],[آیا
Achech  &gt;  Atree]]=1, 1, Table13[[#This Row],[Psh]]+(0.15*(1-Table13[[#This Row],[Psh]])))</f>
        <v>1</v>
      </c>
      <c r="M220" s="8">
        <f>IF(Table13[[#This Row],[آیا
Achech  &gt;  Atree]]=1, 0.65, 1)</f>
        <v>0.65</v>
      </c>
      <c r="N22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40293</v>
      </c>
      <c r="O22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5.0303370786516854</v>
      </c>
    </row>
    <row r="221" spans="2:15" x14ac:dyDescent="0.3">
      <c r="B221" s="4" t="s">
        <v>794</v>
      </c>
      <c r="C221" s="4">
        <v>79646</v>
      </c>
      <c r="D221" s="4">
        <v>28385.4</v>
      </c>
      <c r="E221" s="4">
        <v>761395</v>
      </c>
      <c r="F221" s="4">
        <v>968839</v>
      </c>
      <c r="G221" s="16" t="s">
        <v>78</v>
      </c>
      <c r="H221" s="4">
        <v>9</v>
      </c>
      <c r="I221" s="4">
        <f>Table13[[#This Row],[تعداد کل درخت‏های تحت آبیاری
(اصله مستقل)
(N)]]*Table13[[#This Row],[سطح پوشش مفروض برای هر درخت
(متر مربع)]]</f>
        <v>255468.6</v>
      </c>
      <c r="J22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2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0.33552702605086715</v>
      </c>
      <c r="L221" s="8">
        <f>IF(Table13[[#This Row],[آیا
Achech  &gt;  Atree]]=1, 1, Table13[[#This Row],[Psh]]+(0.15*(1-Table13[[#This Row],[Psh]])))</f>
        <v>0.43519797214323708</v>
      </c>
      <c r="M221" s="8">
        <f>IF(Table13[[#This Row],[آیا
Achech  &gt;  Atree]]=1, 0.65, 1)</f>
        <v>1</v>
      </c>
      <c r="N22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255468.6</v>
      </c>
      <c r="O22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22" spans="2:15" x14ac:dyDescent="0.3">
      <c r="B222" s="4" t="s">
        <v>795</v>
      </c>
      <c r="C222" s="4">
        <v>11724</v>
      </c>
      <c r="D222" s="4">
        <v>5613.6</v>
      </c>
      <c r="E222" s="4">
        <v>165472</v>
      </c>
      <c r="F222" s="4">
        <v>174649.8</v>
      </c>
      <c r="G222" s="16" t="s">
        <v>286</v>
      </c>
      <c r="H222" s="4">
        <v>9</v>
      </c>
      <c r="I222" s="4">
        <f>Table13[[#This Row],[تعداد کل درخت‏های تحت آبیاری
(اصله مستقل)
(N)]]*Table13[[#This Row],[سطح پوشش مفروض برای هر درخت
(متر مربع)]]</f>
        <v>50522.400000000001</v>
      </c>
      <c r="J22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2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0.30532295494101724</v>
      </c>
      <c r="L222" s="8">
        <f>IF(Table13[[#This Row],[آیا
Achech  &gt;  Atree]]=1, 1, Table13[[#This Row],[Psh]]+(0.15*(1-Table13[[#This Row],[Psh]])))</f>
        <v>0.40952451169986465</v>
      </c>
      <c r="M222" s="8">
        <f>IF(Table13[[#This Row],[آیا
Achech  &gt;  Atree]]=1, 0.65, 1)</f>
        <v>1</v>
      </c>
      <c r="N22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50522.400000000001</v>
      </c>
      <c r="O22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23" spans="2:15" x14ac:dyDescent="0.3">
      <c r="B223" s="4" t="s">
        <v>796</v>
      </c>
      <c r="C223" s="4">
        <v>13050</v>
      </c>
      <c r="D223" s="4">
        <v>5521.2666666666664</v>
      </c>
      <c r="E223" s="4">
        <v>160064</v>
      </c>
      <c r="F223" s="4">
        <v>176476</v>
      </c>
      <c r="G223" s="16" t="s">
        <v>286</v>
      </c>
      <c r="H223" s="4">
        <v>9</v>
      </c>
      <c r="I223" s="4">
        <f>Table13[[#This Row],[تعداد کل درخت‏های تحت آبیاری
(اصله مستقل)
(N)]]*Table13[[#This Row],[سطح پوشش مفروض برای هر درخت
(متر مربع)]]</f>
        <v>49691.399999999994</v>
      </c>
      <c r="J22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2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0.31044707117153136</v>
      </c>
      <c r="L223" s="8">
        <f>IF(Table13[[#This Row],[آیا
Achech  &gt;  Atree]]=1, 1, Table13[[#This Row],[Psh]]+(0.15*(1-Table13[[#This Row],[Psh]])))</f>
        <v>0.41388001049580164</v>
      </c>
      <c r="M223" s="8">
        <f>IF(Table13[[#This Row],[آیا
Achech  &gt;  Atree]]=1, 0.65, 1)</f>
        <v>1</v>
      </c>
      <c r="N22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49691.399999999994</v>
      </c>
      <c r="O22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24" spans="2:15" x14ac:dyDescent="0.3">
      <c r="B224" s="4" t="s">
        <v>797</v>
      </c>
      <c r="C224" s="4">
        <v>15690</v>
      </c>
      <c r="D224" s="4">
        <v>14913.4</v>
      </c>
      <c r="E224" s="4">
        <v>197375</v>
      </c>
      <c r="F224" s="4">
        <v>208378</v>
      </c>
      <c r="G224" s="16" t="s">
        <v>286</v>
      </c>
      <c r="H224" s="4">
        <v>9</v>
      </c>
      <c r="I224" s="4">
        <f>Table13[[#This Row],[تعداد کل درخت‏های تحت آبیاری
(اصله مستقل)
(N)]]*Table13[[#This Row],[سطح پوشش مفروض برای هر درخت
(متر مربع)]]</f>
        <v>134220.6</v>
      </c>
      <c r="J22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2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0.68002837238758707</v>
      </c>
      <c r="L224" s="8">
        <f>IF(Table13[[#This Row],[آیا
Achech  &gt;  Atree]]=1, 1, Table13[[#This Row],[Psh]]+(0.15*(1-Table13[[#This Row],[Psh]])))</f>
        <v>0.72802411652944898</v>
      </c>
      <c r="M224" s="8">
        <f>IF(Table13[[#This Row],[آیا
Achech  &gt;  Atree]]=1, 0.65, 1)</f>
        <v>1</v>
      </c>
      <c r="N22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134220.6</v>
      </c>
      <c r="O22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25" spans="2:15" x14ac:dyDescent="0.3">
      <c r="B225" s="4" t="s">
        <v>798</v>
      </c>
      <c r="C225" s="4">
        <v>15330</v>
      </c>
      <c r="D225" s="4">
        <v>7251.2666666666664</v>
      </c>
      <c r="E225" s="4">
        <v>256219</v>
      </c>
      <c r="F225" s="4">
        <v>269567</v>
      </c>
      <c r="G225" s="16" t="s">
        <v>286</v>
      </c>
      <c r="H225" s="4">
        <v>9</v>
      </c>
      <c r="I225" s="4">
        <f>Table13[[#This Row],[تعداد کل درخت‏های تحت آبیاری
(اصله مستقل)
(N)]]*Table13[[#This Row],[سطح پوشش مفروض برای هر درخت
(متر مربع)]]</f>
        <v>65261.399999999994</v>
      </c>
      <c r="J22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2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0.25470944777709692</v>
      </c>
      <c r="L225" s="8">
        <f>IF(Table13[[#This Row],[آیا
Achech  &gt;  Atree]]=1, 1, Table13[[#This Row],[Psh]]+(0.15*(1-Table13[[#This Row],[Psh]])))</f>
        <v>0.36650303061053235</v>
      </c>
      <c r="M225" s="8">
        <f>IF(Table13[[#This Row],[آیا
Achech  &gt;  Atree]]=1, 0.65, 1)</f>
        <v>1</v>
      </c>
      <c r="N22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65261.399999999994</v>
      </c>
      <c r="O22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26" spans="2:15" x14ac:dyDescent="0.3">
      <c r="B226" s="4" t="s">
        <v>802</v>
      </c>
      <c r="C226" s="4">
        <v>1211</v>
      </c>
      <c r="D226" s="4">
        <v>684</v>
      </c>
      <c r="E226" s="4">
        <v>2736</v>
      </c>
      <c r="F226" s="4">
        <v>31967</v>
      </c>
      <c r="G226" s="16" t="s">
        <v>7</v>
      </c>
      <c r="H226" s="4">
        <v>9</v>
      </c>
      <c r="I226" s="4">
        <f>Table13[[#This Row],[تعداد کل درخت‏های تحت آبیاری
(اصله مستقل)
(N)]]*Table13[[#This Row],[سطح پوشش مفروض برای هر درخت
(متر مربع)]]</f>
        <v>6156</v>
      </c>
      <c r="J22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2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26" s="8">
        <f>IF(Table13[[#This Row],[آیا
Achech  &gt;  Atree]]=1, 1, Table13[[#This Row],[Psh]]+(0.15*(1-Table13[[#This Row],[Psh]])))</f>
        <v>1</v>
      </c>
      <c r="M226" s="8">
        <f>IF(Table13[[#This Row],[آیا
Achech  &gt;  Atree]]=1, 0.65, 1)</f>
        <v>0.65</v>
      </c>
      <c r="N22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2736</v>
      </c>
      <c r="O22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</v>
      </c>
    </row>
    <row r="227" spans="2:15" x14ac:dyDescent="0.3">
      <c r="B227" s="4" t="s">
        <v>818</v>
      </c>
      <c r="C227" s="4">
        <v>10043</v>
      </c>
      <c r="D227" s="4">
        <v>10043</v>
      </c>
      <c r="E227" s="4">
        <v>98845</v>
      </c>
      <c r="F227" s="4">
        <v>109843</v>
      </c>
      <c r="G227" s="16" t="s">
        <v>78</v>
      </c>
      <c r="H227" s="4">
        <v>9</v>
      </c>
      <c r="I227" s="4">
        <f>Table13[[#This Row],[تعداد کل درخت‏های تحت آبیاری
(اصله مستقل)
(N)]]*Table13[[#This Row],[سطح پوشش مفروض برای هر درخت
(متر مربع)]]</f>
        <v>90387</v>
      </c>
      <c r="J22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2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0.91443168597298796</v>
      </c>
      <c r="L227" s="8">
        <f>IF(Table13[[#This Row],[آیا
Achech  &gt;  Atree]]=1, 1, Table13[[#This Row],[Psh]]+(0.15*(1-Table13[[#This Row],[Psh]])))</f>
        <v>0.92726693307703978</v>
      </c>
      <c r="M227" s="8">
        <f>IF(Table13[[#This Row],[آیا
Achech  &gt;  Atree]]=1, 0.65, 1)</f>
        <v>1</v>
      </c>
      <c r="N22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90387</v>
      </c>
      <c r="O22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28" spans="2:15" x14ac:dyDescent="0.3">
      <c r="B228" s="4" t="s">
        <v>819</v>
      </c>
      <c r="C228" s="4">
        <v>28713</v>
      </c>
      <c r="D228" s="4">
        <v>46452.866666666669</v>
      </c>
      <c r="E228" s="4">
        <v>780000</v>
      </c>
      <c r="F228" s="4">
        <v>780100</v>
      </c>
      <c r="G228" s="16" t="s">
        <v>286</v>
      </c>
      <c r="H228" s="4">
        <v>9</v>
      </c>
      <c r="I228" s="4">
        <f>Table13[[#This Row],[تعداد کل درخت‏های تحت آبیاری
(اصله مستقل)
(N)]]*Table13[[#This Row],[سطح پوشش مفروض برای هر درخت
(متر مربع)]]</f>
        <v>418075.80000000005</v>
      </c>
      <c r="J22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2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0.53599461538461546</v>
      </c>
      <c r="L228" s="8">
        <f>IF(Table13[[#This Row],[آیا
Achech  &gt;  Atree]]=1, 1, Table13[[#This Row],[Psh]]+(0.15*(1-Table13[[#This Row],[Psh]])))</f>
        <v>0.60559542307692316</v>
      </c>
      <c r="M228" s="8">
        <f>IF(Table13[[#This Row],[آیا
Achech  &gt;  Atree]]=1, 0.65, 1)</f>
        <v>1</v>
      </c>
      <c r="N22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418075.80000000005</v>
      </c>
      <c r="O22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29" spans="2:15" x14ac:dyDescent="0.3">
      <c r="B229" s="4" t="s">
        <v>820</v>
      </c>
      <c r="C229" s="4">
        <v>18661</v>
      </c>
      <c r="D229" s="4">
        <v>18661</v>
      </c>
      <c r="E229" s="4">
        <v>540180</v>
      </c>
      <c r="F229" s="4">
        <v>543241</v>
      </c>
      <c r="G229" s="16" t="s">
        <v>286</v>
      </c>
      <c r="H229" s="4">
        <v>9</v>
      </c>
      <c r="I229" s="4">
        <f>Table13[[#This Row],[تعداد کل درخت‏های تحت آبیاری
(اصله مستقل)
(N)]]*Table13[[#This Row],[سطح پوشش مفروض برای هر درخت
(متر مربع)]]</f>
        <v>167949</v>
      </c>
      <c r="J22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2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0.31091302899033657</v>
      </c>
      <c r="L229" s="8">
        <f>IF(Table13[[#This Row],[آیا
Achech  &gt;  Atree]]=1, 1, Table13[[#This Row],[Psh]]+(0.15*(1-Table13[[#This Row],[Psh]])))</f>
        <v>0.41427607464178606</v>
      </c>
      <c r="M229" s="8">
        <f>IF(Table13[[#This Row],[آیا
Achech  &gt;  Atree]]=1, 0.65, 1)</f>
        <v>1</v>
      </c>
      <c r="N22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167949</v>
      </c>
      <c r="O22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30" spans="2:15" x14ac:dyDescent="0.3">
      <c r="B230" s="4" t="s">
        <v>826</v>
      </c>
      <c r="C230" s="4">
        <v>568</v>
      </c>
      <c r="D230" s="4">
        <v>15</v>
      </c>
      <c r="E230" s="4">
        <v>30</v>
      </c>
      <c r="F230" s="4">
        <v>13474</v>
      </c>
      <c r="G230" s="16" t="s">
        <v>7</v>
      </c>
      <c r="H230" s="4">
        <v>9</v>
      </c>
      <c r="I230" s="4">
        <f>Table13[[#This Row],[تعداد کل درخت‏های تحت آبیاری
(اصله مستقل)
(N)]]*Table13[[#This Row],[سطح پوشش مفروض برای هر درخت
(متر مربع)]]</f>
        <v>135</v>
      </c>
      <c r="J23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3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30" s="8">
        <f>IF(Table13[[#This Row],[آیا
Achech  &gt;  Atree]]=1, 1, Table13[[#This Row],[Psh]]+(0.15*(1-Table13[[#This Row],[Psh]])))</f>
        <v>1</v>
      </c>
      <c r="M230" s="8">
        <f>IF(Table13[[#This Row],[آیا
Achech  &gt;  Atree]]=1, 0.65, 1)</f>
        <v>0.65</v>
      </c>
      <c r="N23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30</v>
      </c>
      <c r="O23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</v>
      </c>
    </row>
    <row r="231" spans="2:15" x14ac:dyDescent="0.3">
      <c r="B231" s="4" t="s">
        <v>827</v>
      </c>
      <c r="C231" s="4">
        <v>67</v>
      </c>
      <c r="D231" s="4">
        <v>9</v>
      </c>
      <c r="E231" s="4">
        <v>14</v>
      </c>
      <c r="F231" s="4">
        <v>557.5</v>
      </c>
      <c r="G231" s="16" t="s">
        <v>7</v>
      </c>
      <c r="H231" s="4">
        <v>9</v>
      </c>
      <c r="I231" s="4">
        <f>Table13[[#This Row],[تعداد کل درخت‏های تحت آبیاری
(اصله مستقل)
(N)]]*Table13[[#This Row],[سطح پوشش مفروض برای هر درخت
(متر مربع)]]</f>
        <v>81</v>
      </c>
      <c r="J23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3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31" s="8">
        <f>IF(Table13[[#This Row],[آیا
Achech  &gt;  Atree]]=1, 1, Table13[[#This Row],[Psh]]+(0.15*(1-Table13[[#This Row],[Psh]])))</f>
        <v>1</v>
      </c>
      <c r="M231" s="8">
        <f>IF(Table13[[#This Row],[آیا
Achech  &gt;  Atree]]=1, 0.65, 1)</f>
        <v>0.65</v>
      </c>
      <c r="N23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14</v>
      </c>
      <c r="O23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1.5555555555555556</v>
      </c>
    </row>
    <row r="232" spans="2:15" x14ac:dyDescent="0.3">
      <c r="B232" s="4" t="s">
        <v>848</v>
      </c>
      <c r="C232" s="4">
        <v>46</v>
      </c>
      <c r="D232" s="4">
        <v>2</v>
      </c>
      <c r="E232" s="4">
        <v>3</v>
      </c>
      <c r="F232" s="4">
        <v>1206</v>
      </c>
      <c r="G232" s="16" t="s">
        <v>7</v>
      </c>
      <c r="H232" s="4">
        <v>9</v>
      </c>
      <c r="I232" s="4">
        <f>Table13[[#This Row],[تعداد کل درخت‏های تحت آبیاری
(اصله مستقل)
(N)]]*Table13[[#This Row],[سطح پوشش مفروض برای هر درخت
(متر مربع)]]</f>
        <v>18</v>
      </c>
      <c r="J23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3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32" s="8">
        <f>IF(Table13[[#This Row],[آیا
Achech  &gt;  Atree]]=1, 1, Table13[[#This Row],[Psh]]+(0.15*(1-Table13[[#This Row],[Psh]])))</f>
        <v>1</v>
      </c>
      <c r="M232" s="8">
        <f>IF(Table13[[#This Row],[آیا
Achech  &gt;  Atree]]=1, 0.65, 1)</f>
        <v>0.65</v>
      </c>
      <c r="N23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</v>
      </c>
      <c r="O23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1.5</v>
      </c>
    </row>
    <row r="233" spans="2:15" x14ac:dyDescent="0.3">
      <c r="B233" s="4" t="s">
        <v>849</v>
      </c>
      <c r="C233" s="4">
        <v>451</v>
      </c>
      <c r="D233" s="4">
        <v>30</v>
      </c>
      <c r="E233" s="4">
        <v>150</v>
      </c>
      <c r="F233" s="4">
        <v>7667</v>
      </c>
      <c r="G233" s="16" t="s">
        <v>7</v>
      </c>
      <c r="H233" s="4">
        <v>9</v>
      </c>
      <c r="I233" s="4">
        <f>Table13[[#This Row],[تعداد کل درخت‏های تحت آبیاری
(اصله مستقل)
(N)]]*Table13[[#This Row],[سطح پوشش مفروض برای هر درخت
(متر مربع)]]</f>
        <v>270</v>
      </c>
      <c r="J23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3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33" s="8">
        <f>IF(Table13[[#This Row],[آیا
Achech  &gt;  Atree]]=1, 1, Table13[[#This Row],[Psh]]+(0.15*(1-Table13[[#This Row],[Psh]])))</f>
        <v>1</v>
      </c>
      <c r="M233" s="8">
        <f>IF(Table13[[#This Row],[آیا
Achech  &gt;  Atree]]=1, 0.65, 1)</f>
        <v>0.65</v>
      </c>
      <c r="N23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150</v>
      </c>
      <c r="O23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</v>
      </c>
    </row>
    <row r="234" spans="2:15" x14ac:dyDescent="0.3">
      <c r="B234" s="4" t="s">
        <v>850</v>
      </c>
      <c r="C234" s="4">
        <v>44</v>
      </c>
      <c r="D234" s="4">
        <v>13</v>
      </c>
      <c r="E234" s="4">
        <v>13</v>
      </c>
      <c r="F234" s="4">
        <v>1204</v>
      </c>
      <c r="G234" s="16" t="s">
        <v>7</v>
      </c>
      <c r="H234" s="4">
        <v>9</v>
      </c>
      <c r="I234" s="4">
        <f>Table13[[#This Row],[تعداد کل درخت‏های تحت آبیاری
(اصله مستقل)
(N)]]*Table13[[#This Row],[سطح پوشش مفروض برای هر درخت
(متر مربع)]]</f>
        <v>117</v>
      </c>
      <c r="J23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3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34" s="8">
        <f>IF(Table13[[#This Row],[آیا
Achech  &gt;  Atree]]=1, 1, Table13[[#This Row],[Psh]]+(0.15*(1-Table13[[#This Row],[Psh]])))</f>
        <v>1</v>
      </c>
      <c r="M234" s="8">
        <f>IF(Table13[[#This Row],[آیا
Achech  &gt;  Atree]]=1, 0.65, 1)</f>
        <v>0.65</v>
      </c>
      <c r="N23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13</v>
      </c>
      <c r="O23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235" spans="2:15" x14ac:dyDescent="0.3">
      <c r="B235" s="4" t="s">
        <v>851</v>
      </c>
      <c r="C235" s="4">
        <v>279</v>
      </c>
      <c r="D235" s="4">
        <v>30</v>
      </c>
      <c r="E235" s="4">
        <v>30</v>
      </c>
      <c r="F235" s="4">
        <v>6103</v>
      </c>
      <c r="G235" s="16" t="s">
        <v>7</v>
      </c>
      <c r="H235" s="4">
        <v>9</v>
      </c>
      <c r="I235" s="4">
        <f>Table13[[#This Row],[تعداد کل درخت‏های تحت آبیاری
(اصله مستقل)
(N)]]*Table13[[#This Row],[سطح پوشش مفروض برای هر درخت
(متر مربع)]]</f>
        <v>270</v>
      </c>
      <c r="J23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3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35" s="8">
        <f>IF(Table13[[#This Row],[آیا
Achech  &gt;  Atree]]=1, 1, Table13[[#This Row],[Psh]]+(0.15*(1-Table13[[#This Row],[Psh]])))</f>
        <v>1</v>
      </c>
      <c r="M235" s="8">
        <f>IF(Table13[[#This Row],[آیا
Achech  &gt;  Atree]]=1, 0.65, 1)</f>
        <v>0.65</v>
      </c>
      <c r="N23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30</v>
      </c>
      <c r="O23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236" spans="2:15" x14ac:dyDescent="0.3">
      <c r="B236" s="4" t="s">
        <v>852</v>
      </c>
      <c r="C236" s="4">
        <v>101</v>
      </c>
      <c r="D236" s="4">
        <v>73</v>
      </c>
      <c r="E236" s="4">
        <v>219</v>
      </c>
      <c r="F236" s="4">
        <v>3202</v>
      </c>
      <c r="G236" s="16" t="s">
        <v>7</v>
      </c>
      <c r="H236" s="4">
        <v>9</v>
      </c>
      <c r="I236" s="4">
        <f>Table13[[#This Row],[تعداد کل درخت‏های تحت آبیاری
(اصله مستقل)
(N)]]*Table13[[#This Row],[سطح پوشش مفروض برای هر درخت
(متر مربع)]]</f>
        <v>657</v>
      </c>
      <c r="J23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3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36" s="8">
        <f>IF(Table13[[#This Row],[آیا
Achech  &gt;  Atree]]=1, 1, Table13[[#This Row],[Psh]]+(0.15*(1-Table13[[#This Row],[Psh]])))</f>
        <v>1</v>
      </c>
      <c r="M236" s="8">
        <f>IF(Table13[[#This Row],[آیا
Achech  &gt;  Atree]]=1, 0.65, 1)</f>
        <v>0.65</v>
      </c>
      <c r="N23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219</v>
      </c>
      <c r="O23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</v>
      </c>
    </row>
    <row r="237" spans="2:15" x14ac:dyDescent="0.3">
      <c r="B237" s="4" t="s">
        <v>853</v>
      </c>
      <c r="C237" s="4">
        <v>134</v>
      </c>
      <c r="D237" s="4">
        <v>82</v>
      </c>
      <c r="E237" s="4">
        <v>116</v>
      </c>
      <c r="F237" s="4">
        <v>3921</v>
      </c>
      <c r="G237" s="16" t="s">
        <v>7</v>
      </c>
      <c r="H237" s="4">
        <v>9</v>
      </c>
      <c r="I237" s="4">
        <f>Table13[[#This Row],[تعداد کل درخت‏های تحت آبیاری
(اصله مستقل)
(N)]]*Table13[[#This Row],[سطح پوشش مفروض برای هر درخت
(متر مربع)]]</f>
        <v>738</v>
      </c>
      <c r="J23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3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37" s="8">
        <f>IF(Table13[[#This Row],[آیا
Achech  &gt;  Atree]]=1, 1, Table13[[#This Row],[Psh]]+(0.15*(1-Table13[[#This Row],[Psh]])))</f>
        <v>1</v>
      </c>
      <c r="M237" s="8">
        <f>IF(Table13[[#This Row],[آیا
Achech  &gt;  Atree]]=1, 0.65, 1)</f>
        <v>0.65</v>
      </c>
      <c r="N23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116</v>
      </c>
      <c r="O23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1.4146341463414633</v>
      </c>
    </row>
    <row r="238" spans="2:15" x14ac:dyDescent="0.3">
      <c r="B238" s="4" t="s">
        <v>854</v>
      </c>
      <c r="C238" s="4">
        <v>418</v>
      </c>
      <c r="D238" s="4">
        <v>100</v>
      </c>
      <c r="E238" s="4">
        <v>282</v>
      </c>
      <c r="F238" s="4">
        <v>4233</v>
      </c>
      <c r="G238" s="16" t="s">
        <v>7</v>
      </c>
      <c r="H238" s="4">
        <v>9</v>
      </c>
      <c r="I238" s="4">
        <f>Table13[[#This Row],[تعداد کل درخت‏های تحت آبیاری
(اصله مستقل)
(N)]]*Table13[[#This Row],[سطح پوشش مفروض برای هر درخت
(متر مربع)]]</f>
        <v>900</v>
      </c>
      <c r="J23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3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38" s="8">
        <f>IF(Table13[[#This Row],[آیا
Achech  &gt;  Atree]]=1, 1, Table13[[#This Row],[Psh]]+(0.15*(1-Table13[[#This Row],[Psh]])))</f>
        <v>1</v>
      </c>
      <c r="M238" s="8">
        <f>IF(Table13[[#This Row],[آیا
Achech  &gt;  Atree]]=1, 0.65, 1)</f>
        <v>0.65</v>
      </c>
      <c r="N23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282</v>
      </c>
      <c r="O23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2.82</v>
      </c>
    </row>
    <row r="239" spans="2:15" x14ac:dyDescent="0.3">
      <c r="B239" s="4" t="s">
        <v>877</v>
      </c>
      <c r="C239" s="4">
        <v>613</v>
      </c>
      <c r="D239" s="4">
        <v>76</v>
      </c>
      <c r="E239" s="4">
        <v>1100</v>
      </c>
      <c r="F239" s="4">
        <v>6964</v>
      </c>
      <c r="G239" s="16" t="s">
        <v>7</v>
      </c>
      <c r="H239" s="4">
        <v>9</v>
      </c>
      <c r="I239" s="4">
        <f>Table13[[#This Row],[تعداد کل درخت‏های تحت آبیاری
(اصله مستقل)
(N)]]*Table13[[#This Row],[سطح پوشش مفروض برای هر درخت
(متر مربع)]]</f>
        <v>684</v>
      </c>
      <c r="J23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3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0.62181818181818183</v>
      </c>
      <c r="L239" s="8">
        <f>IF(Table13[[#This Row],[آیا
Achech  &gt;  Atree]]=1, 1, Table13[[#This Row],[Psh]]+(0.15*(1-Table13[[#This Row],[Psh]])))</f>
        <v>0.67854545454545456</v>
      </c>
      <c r="M239" s="8">
        <f>IF(Table13[[#This Row],[آیا
Achech  &gt;  Atree]]=1, 0.65, 1)</f>
        <v>1</v>
      </c>
      <c r="N23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684</v>
      </c>
      <c r="O23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40" spans="2:15" x14ac:dyDescent="0.3">
      <c r="B240" s="4" t="s">
        <v>878</v>
      </c>
      <c r="C240" s="4">
        <v>123</v>
      </c>
      <c r="D240" s="4">
        <v>98</v>
      </c>
      <c r="E240" s="4">
        <v>628</v>
      </c>
      <c r="F240" s="4">
        <v>1584</v>
      </c>
      <c r="G240" s="16" t="s">
        <v>7</v>
      </c>
      <c r="H240" s="4">
        <v>9</v>
      </c>
      <c r="I240" s="4">
        <f>Table13[[#This Row],[تعداد کل درخت‏های تحت آبیاری
(اصله مستقل)
(N)]]*Table13[[#This Row],[سطح پوشش مفروض برای هر درخت
(متر مربع)]]</f>
        <v>882</v>
      </c>
      <c r="J24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4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40" s="8">
        <f>IF(Table13[[#This Row],[آیا
Achech  &gt;  Atree]]=1, 1, Table13[[#This Row],[Psh]]+(0.15*(1-Table13[[#This Row],[Psh]])))</f>
        <v>1</v>
      </c>
      <c r="M240" s="8">
        <f>IF(Table13[[#This Row],[آیا
Achech  &gt;  Atree]]=1, 0.65, 1)</f>
        <v>0.65</v>
      </c>
      <c r="N24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628</v>
      </c>
      <c r="O24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6.408163265306122</v>
      </c>
    </row>
    <row r="241" spans="2:15" x14ac:dyDescent="0.3">
      <c r="B241" s="4" t="s">
        <v>879</v>
      </c>
      <c r="C241" s="4">
        <v>569</v>
      </c>
      <c r="D241" s="4">
        <v>569</v>
      </c>
      <c r="E241" s="4">
        <v>8752</v>
      </c>
      <c r="F241" s="4">
        <v>14328</v>
      </c>
      <c r="G241" s="16" t="s">
        <v>7</v>
      </c>
      <c r="H241" s="4">
        <v>9</v>
      </c>
      <c r="I241" s="4">
        <f>Table13[[#This Row],[تعداد کل درخت‏های تحت آبیاری
(اصله مستقل)
(N)]]*Table13[[#This Row],[سطح پوشش مفروض برای هر درخت
(متر مربع)]]</f>
        <v>5121</v>
      </c>
      <c r="J24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4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0.58512340036563071</v>
      </c>
      <c r="L241" s="8">
        <f>IF(Table13[[#This Row],[آیا
Achech  &gt;  Atree]]=1, 1, Table13[[#This Row],[Psh]]+(0.15*(1-Table13[[#This Row],[Psh]])))</f>
        <v>0.64735489031078608</v>
      </c>
      <c r="M241" s="8">
        <f>IF(Table13[[#This Row],[آیا
Achech  &gt;  Atree]]=1, 0.65, 1)</f>
        <v>1</v>
      </c>
      <c r="N24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5121</v>
      </c>
      <c r="O24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42" spans="2:15" x14ac:dyDescent="0.3">
      <c r="B242" s="4" t="s">
        <v>880</v>
      </c>
      <c r="C242" s="4">
        <v>7128</v>
      </c>
      <c r="D242" s="4">
        <v>6151</v>
      </c>
      <c r="E242" s="4">
        <v>35274</v>
      </c>
      <c r="F242" s="4">
        <v>106513</v>
      </c>
      <c r="G242" s="16" t="s">
        <v>78</v>
      </c>
      <c r="H242" s="4">
        <v>9</v>
      </c>
      <c r="I242" s="4">
        <f>Table13[[#This Row],[تعداد کل درخت‏های تحت آبیاری
(اصله مستقل)
(N)]]*Table13[[#This Row],[سطح پوشش مفروض برای هر درخت
(متر مربع)]]</f>
        <v>55359</v>
      </c>
      <c r="J24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4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42" s="8">
        <f>IF(Table13[[#This Row],[آیا
Achech  &gt;  Atree]]=1, 1, Table13[[#This Row],[Psh]]+(0.15*(1-Table13[[#This Row],[Psh]])))</f>
        <v>1</v>
      </c>
      <c r="M242" s="8">
        <f>IF(Table13[[#This Row],[آیا
Achech  &gt;  Atree]]=1, 0.65, 1)</f>
        <v>0.65</v>
      </c>
      <c r="N24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35274</v>
      </c>
      <c r="O24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5.7346772882458135</v>
      </c>
    </row>
    <row r="243" spans="2:15" x14ac:dyDescent="0.3">
      <c r="B243" s="4" t="s">
        <v>881</v>
      </c>
      <c r="C243" s="4">
        <v>11805</v>
      </c>
      <c r="D243" s="4">
        <v>7615</v>
      </c>
      <c r="E243" s="4">
        <v>20726</v>
      </c>
      <c r="F243" s="4">
        <v>209573</v>
      </c>
      <c r="G243" s="16" t="s">
        <v>78</v>
      </c>
      <c r="H243" s="4">
        <v>9</v>
      </c>
      <c r="I243" s="4">
        <f>Table13[[#This Row],[تعداد کل درخت‏های تحت آبیاری
(اصله مستقل)
(N)]]*Table13[[#This Row],[سطح پوشش مفروض برای هر درخت
(متر مربع)]]</f>
        <v>68535</v>
      </c>
      <c r="J24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4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43" s="8">
        <f>IF(Table13[[#This Row],[آیا
Achech  &gt;  Atree]]=1, 1, Table13[[#This Row],[Psh]]+(0.15*(1-Table13[[#This Row],[Psh]])))</f>
        <v>1</v>
      </c>
      <c r="M243" s="8">
        <f>IF(Table13[[#This Row],[آیا
Achech  &gt;  Atree]]=1, 0.65, 1)</f>
        <v>0.65</v>
      </c>
      <c r="N24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20726</v>
      </c>
      <c r="O24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2.7217334208798425</v>
      </c>
    </row>
    <row r="244" spans="2:15" x14ac:dyDescent="0.3">
      <c r="B244" s="4" t="s">
        <v>882</v>
      </c>
      <c r="C244" s="4">
        <v>2715</v>
      </c>
      <c r="D244" s="4">
        <v>451</v>
      </c>
      <c r="E244" s="4">
        <v>1900</v>
      </c>
      <c r="F244" s="4">
        <v>115931</v>
      </c>
      <c r="G244" s="16" t="s">
        <v>78</v>
      </c>
      <c r="H244" s="4">
        <v>9</v>
      </c>
      <c r="I244" s="4">
        <f>Table13[[#This Row],[تعداد کل درخت‏های تحت آبیاری
(اصله مستقل)
(N)]]*Table13[[#This Row],[سطح پوشش مفروض برای هر درخت
(متر مربع)]]</f>
        <v>4059</v>
      </c>
      <c r="J24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4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44" s="8">
        <f>IF(Table13[[#This Row],[آیا
Achech  &gt;  Atree]]=1, 1, Table13[[#This Row],[Psh]]+(0.15*(1-Table13[[#This Row],[Psh]])))</f>
        <v>1</v>
      </c>
      <c r="M244" s="8">
        <f>IF(Table13[[#This Row],[آیا
Achech  &gt;  Atree]]=1, 0.65, 1)</f>
        <v>0.65</v>
      </c>
      <c r="N24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1900</v>
      </c>
      <c r="O24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4.2128603104212861</v>
      </c>
    </row>
    <row r="245" spans="2:15" x14ac:dyDescent="0.3">
      <c r="B245" s="4" t="s">
        <v>883</v>
      </c>
      <c r="C245" s="4">
        <v>3534</v>
      </c>
      <c r="D245" s="4">
        <v>1251</v>
      </c>
      <c r="E245" s="4">
        <v>2645</v>
      </c>
      <c r="F245" s="4">
        <v>122722</v>
      </c>
      <c r="G245" s="16" t="s">
        <v>78</v>
      </c>
      <c r="H245" s="4">
        <v>9</v>
      </c>
      <c r="I245" s="4">
        <f>Table13[[#This Row],[تعداد کل درخت‏های تحت آبیاری
(اصله مستقل)
(N)]]*Table13[[#This Row],[سطح پوشش مفروض برای هر درخت
(متر مربع)]]</f>
        <v>11259</v>
      </c>
      <c r="J24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4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45" s="8">
        <f>IF(Table13[[#This Row],[آیا
Achech  &gt;  Atree]]=1, 1, Table13[[#This Row],[Psh]]+(0.15*(1-Table13[[#This Row],[Psh]])))</f>
        <v>1</v>
      </c>
      <c r="M245" s="8">
        <f>IF(Table13[[#This Row],[آیا
Achech  &gt;  Atree]]=1, 0.65, 1)</f>
        <v>0.65</v>
      </c>
      <c r="N24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2645</v>
      </c>
      <c r="O24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2.1143085531574739</v>
      </c>
    </row>
    <row r="246" spans="2:15" x14ac:dyDescent="0.3">
      <c r="B246" s="4" t="s">
        <v>884</v>
      </c>
      <c r="C246" s="4">
        <v>7739</v>
      </c>
      <c r="D246" s="4">
        <v>6540</v>
      </c>
      <c r="E246" s="4">
        <v>25030</v>
      </c>
      <c r="F246" s="4">
        <v>81905</v>
      </c>
      <c r="G246" s="16" t="s">
        <v>78</v>
      </c>
      <c r="H246" s="4">
        <v>9</v>
      </c>
      <c r="I246" s="4">
        <f>Table13[[#This Row],[تعداد کل درخت‏های تحت آبیاری
(اصله مستقل)
(N)]]*Table13[[#This Row],[سطح پوشش مفروض برای هر درخت
(متر مربع)]]</f>
        <v>58860</v>
      </c>
      <c r="J24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4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46" s="8">
        <f>IF(Table13[[#This Row],[آیا
Achech  &gt;  Atree]]=1, 1, Table13[[#This Row],[Psh]]+(0.15*(1-Table13[[#This Row],[Psh]])))</f>
        <v>1</v>
      </c>
      <c r="M246" s="8">
        <f>IF(Table13[[#This Row],[آیا
Achech  &gt;  Atree]]=1, 0.65, 1)</f>
        <v>0.65</v>
      </c>
      <c r="N24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25030</v>
      </c>
      <c r="O24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3.8272171253822629</v>
      </c>
    </row>
    <row r="247" spans="2:15" x14ac:dyDescent="0.3">
      <c r="B247" s="4" t="s">
        <v>893</v>
      </c>
      <c r="C247" s="4">
        <v>13713</v>
      </c>
      <c r="D247" s="4">
        <v>13713</v>
      </c>
      <c r="E247" s="4">
        <v>348242</v>
      </c>
      <c r="F247" s="4">
        <v>350118</v>
      </c>
      <c r="G247" s="16" t="s">
        <v>718</v>
      </c>
      <c r="H247" s="4">
        <v>9</v>
      </c>
      <c r="I247" s="5">
        <f>Table13[[#This Row],[تعداد کل درخت‏های تحت آبیاری
(اصله مستقل)
(N)]]*Table13[[#This Row],[سطح پوشش مفروض برای هر درخت
(متر مربع)]]</f>
        <v>123417</v>
      </c>
      <c r="J247" s="5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47" s="9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0.35440010107913461</v>
      </c>
      <c r="L247" s="9">
        <f>IF(Table13[[#This Row],[آیا
Achech  &gt;  Atree]]=1, 1, Table13[[#This Row],[Psh]]+(0.15*(1-Table13[[#This Row],[Psh]])))</f>
        <v>0.45124008591726439</v>
      </c>
      <c r="M247" s="9">
        <f>IF(Table13[[#This Row],[آیا
Achech  &gt;  Atree]]=1, 0.65, 1)</f>
        <v>1</v>
      </c>
      <c r="N247" s="5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123417</v>
      </c>
      <c r="O247" s="12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48" spans="2:15" x14ac:dyDescent="0.3">
      <c r="B248" s="4" t="s">
        <v>911</v>
      </c>
      <c r="C248" s="4">
        <v>2417</v>
      </c>
      <c r="D248" s="4">
        <v>2417</v>
      </c>
      <c r="E248" s="4">
        <v>57717</v>
      </c>
      <c r="F248" s="4">
        <v>57717</v>
      </c>
      <c r="G248" s="16" t="s">
        <v>286</v>
      </c>
      <c r="H248" s="4">
        <v>9</v>
      </c>
      <c r="I248" s="4">
        <f>Table13[[#This Row],[تعداد کل درخت‏های تحت آبیاری
(اصله مستقل)
(N)]]*Table13[[#This Row],[سطح پوشش مفروض برای هر درخت
(متر مربع)]]</f>
        <v>21753</v>
      </c>
      <c r="J24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4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0.37689069078434428</v>
      </c>
      <c r="L248" s="8">
        <f>IF(Table13[[#This Row],[آیا
Achech  &gt;  Atree]]=1, 1, Table13[[#This Row],[Psh]]+(0.15*(1-Table13[[#This Row],[Psh]])))</f>
        <v>0.47035708716669261</v>
      </c>
      <c r="M248" s="8">
        <f>IF(Table13[[#This Row],[آیا
Achech  &gt;  Atree]]=1, 0.65, 1)</f>
        <v>1</v>
      </c>
      <c r="N24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21753</v>
      </c>
      <c r="O24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49" spans="2:15" x14ac:dyDescent="0.3">
      <c r="B249" s="4" t="s">
        <v>912</v>
      </c>
      <c r="C249" s="4">
        <v>255</v>
      </c>
      <c r="D249" s="4">
        <v>26</v>
      </c>
      <c r="E249" s="4">
        <v>26</v>
      </c>
      <c r="F249" s="4">
        <v>4039</v>
      </c>
      <c r="G249" s="16" t="s">
        <v>7</v>
      </c>
      <c r="H249" s="4">
        <v>9</v>
      </c>
      <c r="I249" s="4">
        <f>Table13[[#This Row],[تعداد کل درخت‏های تحت آبیاری
(اصله مستقل)
(N)]]*Table13[[#This Row],[سطح پوشش مفروض برای هر درخت
(متر مربع)]]</f>
        <v>234</v>
      </c>
      <c r="J24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4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49" s="8">
        <f>IF(Table13[[#This Row],[آیا
Achech  &gt;  Atree]]=1, 1, Table13[[#This Row],[Psh]]+(0.15*(1-Table13[[#This Row],[Psh]])))</f>
        <v>1</v>
      </c>
      <c r="M249" s="8">
        <f>IF(Table13[[#This Row],[آیا
Achech  &gt;  Atree]]=1, 0.65, 1)</f>
        <v>0.65</v>
      </c>
      <c r="N24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26</v>
      </c>
      <c r="O24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250" spans="2:15" x14ac:dyDescent="0.3">
      <c r="B250" s="4" t="s">
        <v>913</v>
      </c>
      <c r="C250" s="4">
        <v>153</v>
      </c>
      <c r="D250" s="4">
        <v>41</v>
      </c>
      <c r="E250" s="4">
        <v>41</v>
      </c>
      <c r="F250" s="4">
        <v>4224</v>
      </c>
      <c r="G250" s="16" t="s">
        <v>7</v>
      </c>
      <c r="H250" s="4">
        <v>9</v>
      </c>
      <c r="I250" s="4">
        <f>Table13[[#This Row],[تعداد کل درخت‏های تحت آبیاری
(اصله مستقل)
(N)]]*Table13[[#This Row],[سطح پوشش مفروض برای هر درخت
(متر مربع)]]</f>
        <v>369</v>
      </c>
      <c r="J25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5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50" s="8">
        <f>IF(Table13[[#This Row],[آیا
Achech  &gt;  Atree]]=1, 1, Table13[[#This Row],[Psh]]+(0.15*(1-Table13[[#This Row],[Psh]])))</f>
        <v>1</v>
      </c>
      <c r="M250" s="8">
        <f>IF(Table13[[#This Row],[آیا
Achech  &gt;  Atree]]=1, 0.65, 1)</f>
        <v>0.65</v>
      </c>
      <c r="N25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41</v>
      </c>
      <c r="O25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251" spans="2:15" x14ac:dyDescent="0.3">
      <c r="B251" s="4" t="s">
        <v>914</v>
      </c>
      <c r="C251" s="4">
        <v>55</v>
      </c>
      <c r="D251" s="4">
        <v>4</v>
      </c>
      <c r="E251" s="4">
        <v>4</v>
      </c>
      <c r="F251" s="4">
        <v>744</v>
      </c>
      <c r="G251" s="16" t="s">
        <v>7</v>
      </c>
      <c r="H251" s="4">
        <v>9</v>
      </c>
      <c r="I251" s="4">
        <f>Table13[[#This Row],[تعداد کل درخت‏های تحت آبیاری
(اصله مستقل)
(N)]]*Table13[[#This Row],[سطح پوشش مفروض برای هر درخت
(متر مربع)]]</f>
        <v>36</v>
      </c>
      <c r="J25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5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51" s="8">
        <f>IF(Table13[[#This Row],[آیا
Achech  &gt;  Atree]]=1, 1, Table13[[#This Row],[Psh]]+(0.15*(1-Table13[[#This Row],[Psh]])))</f>
        <v>1</v>
      </c>
      <c r="M251" s="8">
        <f>IF(Table13[[#This Row],[آیا
Achech  &gt;  Atree]]=1, 0.65, 1)</f>
        <v>0.65</v>
      </c>
      <c r="N25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</v>
      </c>
      <c r="O25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252" spans="2:15" x14ac:dyDescent="0.3">
      <c r="B252" s="4" t="s">
        <v>915</v>
      </c>
      <c r="C252" s="4">
        <v>156</v>
      </c>
      <c r="D252" s="4">
        <v>39</v>
      </c>
      <c r="E252" s="4">
        <v>39</v>
      </c>
      <c r="F252" s="4">
        <v>3044</v>
      </c>
      <c r="G252" s="16" t="s">
        <v>7</v>
      </c>
      <c r="H252" s="4">
        <v>9</v>
      </c>
      <c r="I252" s="4">
        <f>Table13[[#This Row],[تعداد کل درخت‏های تحت آبیاری
(اصله مستقل)
(N)]]*Table13[[#This Row],[سطح پوشش مفروض برای هر درخت
(متر مربع)]]</f>
        <v>351</v>
      </c>
      <c r="J25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5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52" s="8">
        <f>IF(Table13[[#This Row],[آیا
Achech  &gt;  Atree]]=1, 1, Table13[[#This Row],[Psh]]+(0.15*(1-Table13[[#This Row],[Psh]])))</f>
        <v>1</v>
      </c>
      <c r="M252" s="8">
        <f>IF(Table13[[#This Row],[آیا
Achech  &gt;  Atree]]=1, 0.65, 1)</f>
        <v>0.65</v>
      </c>
      <c r="N25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39</v>
      </c>
      <c r="O25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253" spans="2:15" x14ac:dyDescent="0.3">
      <c r="B253" s="4" t="s">
        <v>916</v>
      </c>
      <c r="C253" s="4">
        <v>3725</v>
      </c>
      <c r="D253" s="4">
        <v>3481</v>
      </c>
      <c r="E253" s="4">
        <v>18338</v>
      </c>
      <c r="F253" s="4">
        <v>23421</v>
      </c>
      <c r="G253" s="16" t="s">
        <v>7</v>
      </c>
      <c r="H253" s="4">
        <v>9</v>
      </c>
      <c r="I253" s="4">
        <f>Table13[[#This Row],[تعداد کل درخت‏های تحت آبیاری
(اصله مستقل)
(N)]]*Table13[[#This Row],[سطح پوشش مفروض برای هر درخت
(متر مربع)]]</f>
        <v>31329</v>
      </c>
      <c r="J25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5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53" s="8">
        <f>IF(Table13[[#This Row],[آیا
Achech  &gt;  Atree]]=1, 1, Table13[[#This Row],[Psh]]+(0.15*(1-Table13[[#This Row],[Psh]])))</f>
        <v>1</v>
      </c>
      <c r="M253" s="8">
        <f>IF(Table13[[#This Row],[آیا
Achech  &gt;  Atree]]=1, 0.65, 1)</f>
        <v>0.65</v>
      </c>
      <c r="N25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18338</v>
      </c>
      <c r="O25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5.2680264291870156</v>
      </c>
    </row>
    <row r="254" spans="2:15" x14ac:dyDescent="0.3">
      <c r="B254" s="4" t="s">
        <v>922</v>
      </c>
      <c r="C254" s="4">
        <v>1197</v>
      </c>
      <c r="D254" s="4">
        <v>674</v>
      </c>
      <c r="E254" s="4">
        <v>3554</v>
      </c>
      <c r="F254" s="4">
        <v>13678</v>
      </c>
      <c r="G254" s="16" t="s">
        <v>7</v>
      </c>
      <c r="H254" s="4">
        <v>9</v>
      </c>
      <c r="I254" s="4">
        <f>Table13[[#This Row],[تعداد کل درخت‏های تحت آبیاری
(اصله مستقل)
(N)]]*Table13[[#This Row],[سطح پوشش مفروض برای هر درخت
(متر مربع)]]</f>
        <v>6066</v>
      </c>
      <c r="J25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5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54" s="8">
        <f>IF(Table13[[#This Row],[آیا
Achech  &gt;  Atree]]=1, 1, Table13[[#This Row],[Psh]]+(0.15*(1-Table13[[#This Row],[Psh]])))</f>
        <v>1</v>
      </c>
      <c r="M254" s="8">
        <f>IF(Table13[[#This Row],[آیا
Achech  &gt;  Atree]]=1, 0.65, 1)</f>
        <v>0.65</v>
      </c>
      <c r="N25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3554</v>
      </c>
      <c r="O25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5.2729970326409497</v>
      </c>
    </row>
    <row r="255" spans="2:15" x14ac:dyDescent="0.3">
      <c r="B255" s="4" t="s">
        <v>923</v>
      </c>
      <c r="C255" s="4">
        <v>405</v>
      </c>
      <c r="D255" s="4">
        <v>166</v>
      </c>
      <c r="E255" s="4">
        <v>385</v>
      </c>
      <c r="F255" s="4">
        <v>2915</v>
      </c>
      <c r="G255" s="16" t="s">
        <v>7</v>
      </c>
      <c r="H255" s="4">
        <v>9</v>
      </c>
      <c r="I255" s="4">
        <f>Table13[[#This Row],[تعداد کل درخت‏های تحت آبیاری
(اصله مستقل)
(N)]]*Table13[[#This Row],[سطح پوشش مفروض برای هر درخت
(متر مربع)]]</f>
        <v>1494</v>
      </c>
      <c r="J25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5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55" s="8">
        <f>IF(Table13[[#This Row],[آیا
Achech  &gt;  Atree]]=1, 1, Table13[[#This Row],[Psh]]+(0.15*(1-Table13[[#This Row],[Psh]])))</f>
        <v>1</v>
      </c>
      <c r="M255" s="8">
        <f>IF(Table13[[#This Row],[آیا
Achech  &gt;  Atree]]=1, 0.65, 1)</f>
        <v>0.65</v>
      </c>
      <c r="N25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385</v>
      </c>
      <c r="O25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2.3192771084337349</v>
      </c>
    </row>
    <row r="256" spans="2:15" x14ac:dyDescent="0.3">
      <c r="B256" s="4" t="s">
        <v>924</v>
      </c>
      <c r="C256" s="4">
        <v>375</v>
      </c>
      <c r="D256" s="4">
        <v>110</v>
      </c>
      <c r="E256" s="4">
        <v>490</v>
      </c>
      <c r="F256" s="4">
        <v>7718</v>
      </c>
      <c r="G256" s="16" t="s">
        <v>7</v>
      </c>
      <c r="H256" s="4">
        <v>9</v>
      </c>
      <c r="I256" s="4">
        <f>Table13[[#This Row],[تعداد کل درخت‏های تحت آبیاری
(اصله مستقل)
(N)]]*Table13[[#This Row],[سطح پوشش مفروض برای هر درخت
(متر مربع)]]</f>
        <v>990</v>
      </c>
      <c r="J25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5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56" s="8">
        <f>IF(Table13[[#This Row],[آیا
Achech  &gt;  Atree]]=1, 1, Table13[[#This Row],[Psh]]+(0.15*(1-Table13[[#This Row],[Psh]])))</f>
        <v>1</v>
      </c>
      <c r="M256" s="8">
        <f>IF(Table13[[#This Row],[آیا
Achech  &gt;  Atree]]=1, 0.65, 1)</f>
        <v>0.65</v>
      </c>
      <c r="N25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490</v>
      </c>
      <c r="O25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4.4545454545454541</v>
      </c>
    </row>
    <row r="257" spans="2:15" x14ac:dyDescent="0.3">
      <c r="B257" s="4" t="s">
        <v>925</v>
      </c>
      <c r="C257" s="4">
        <v>282</v>
      </c>
      <c r="D257" s="4">
        <v>178</v>
      </c>
      <c r="E257" s="4">
        <v>246</v>
      </c>
      <c r="F257" s="4">
        <v>7723</v>
      </c>
      <c r="G257" s="16" t="s">
        <v>7</v>
      </c>
      <c r="H257" s="4">
        <v>9</v>
      </c>
      <c r="I257" s="4">
        <f>Table13[[#This Row],[تعداد کل درخت‏های تحت آبیاری
(اصله مستقل)
(N)]]*Table13[[#This Row],[سطح پوشش مفروض برای هر درخت
(متر مربع)]]</f>
        <v>1602</v>
      </c>
      <c r="J25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5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57" s="8">
        <f>IF(Table13[[#This Row],[آیا
Achech  &gt;  Atree]]=1, 1, Table13[[#This Row],[Psh]]+(0.15*(1-Table13[[#This Row],[Psh]])))</f>
        <v>1</v>
      </c>
      <c r="M257" s="8">
        <f>IF(Table13[[#This Row],[آیا
Achech  &gt;  Atree]]=1, 0.65, 1)</f>
        <v>0.65</v>
      </c>
      <c r="N25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246</v>
      </c>
      <c r="O25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1.3820224719101124</v>
      </c>
    </row>
    <row r="258" spans="2:15" x14ac:dyDescent="0.3">
      <c r="B258" s="4" t="s">
        <v>926</v>
      </c>
      <c r="C258" s="4">
        <v>506</v>
      </c>
      <c r="D258" s="4">
        <v>118</v>
      </c>
      <c r="E258" s="4">
        <v>275</v>
      </c>
      <c r="F258" s="4">
        <v>13517</v>
      </c>
      <c r="G258" s="16" t="s">
        <v>7</v>
      </c>
      <c r="H258" s="4">
        <v>9</v>
      </c>
      <c r="I258" s="4">
        <f>Table13[[#This Row],[تعداد کل درخت‏های تحت آبیاری
(اصله مستقل)
(N)]]*Table13[[#This Row],[سطح پوشش مفروض برای هر درخت
(متر مربع)]]</f>
        <v>1062</v>
      </c>
      <c r="J25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5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58" s="8">
        <f>IF(Table13[[#This Row],[آیا
Achech  &gt;  Atree]]=1, 1, Table13[[#This Row],[Psh]]+(0.15*(1-Table13[[#This Row],[Psh]])))</f>
        <v>1</v>
      </c>
      <c r="M258" s="8">
        <f>IF(Table13[[#This Row],[آیا
Achech  &gt;  Atree]]=1, 0.65, 1)</f>
        <v>0.65</v>
      </c>
      <c r="N25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275</v>
      </c>
      <c r="O25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2.3305084745762712</v>
      </c>
    </row>
    <row r="259" spans="2:15" x14ac:dyDescent="0.3">
      <c r="B259" s="4" t="s">
        <v>941</v>
      </c>
      <c r="C259" s="4">
        <v>344</v>
      </c>
      <c r="D259" s="4">
        <v>70</v>
      </c>
      <c r="E259" s="4">
        <v>210</v>
      </c>
      <c r="F259" s="4">
        <v>9875</v>
      </c>
      <c r="G259" s="16" t="s">
        <v>7</v>
      </c>
      <c r="H259" s="4">
        <v>9</v>
      </c>
      <c r="I259" s="4">
        <f>Table13[[#This Row],[تعداد کل درخت‏های تحت آبیاری
(اصله مستقل)
(N)]]*Table13[[#This Row],[سطح پوشش مفروض برای هر درخت
(متر مربع)]]</f>
        <v>630</v>
      </c>
      <c r="J25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5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59" s="8">
        <f>IF(Table13[[#This Row],[آیا
Achech  &gt;  Atree]]=1, 1, Table13[[#This Row],[Psh]]+(0.15*(1-Table13[[#This Row],[Psh]])))</f>
        <v>1</v>
      </c>
      <c r="M259" s="8">
        <f>IF(Table13[[#This Row],[آیا
Achech  &gt;  Atree]]=1, 0.65, 1)</f>
        <v>0.65</v>
      </c>
      <c r="N25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210</v>
      </c>
      <c r="O25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</v>
      </c>
    </row>
    <row r="260" spans="2:15" x14ac:dyDescent="0.3">
      <c r="B260" s="4" t="s">
        <v>942</v>
      </c>
      <c r="C260" s="4">
        <v>228</v>
      </c>
      <c r="D260" s="4">
        <v>33</v>
      </c>
      <c r="E260" s="4">
        <v>90</v>
      </c>
      <c r="F260" s="4">
        <v>6763</v>
      </c>
      <c r="G260" s="16" t="s">
        <v>7</v>
      </c>
      <c r="H260" s="4">
        <v>9</v>
      </c>
      <c r="I260" s="4">
        <f>Table13[[#This Row],[تعداد کل درخت‏های تحت آبیاری
(اصله مستقل)
(N)]]*Table13[[#This Row],[سطح پوشش مفروض برای هر درخت
(متر مربع)]]</f>
        <v>297</v>
      </c>
      <c r="J26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6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60" s="8">
        <f>IF(Table13[[#This Row],[آیا
Achech  &gt;  Atree]]=1, 1, Table13[[#This Row],[Psh]]+(0.15*(1-Table13[[#This Row],[Psh]])))</f>
        <v>1</v>
      </c>
      <c r="M260" s="8">
        <f>IF(Table13[[#This Row],[آیا
Achech  &gt;  Atree]]=1, 0.65, 1)</f>
        <v>0.65</v>
      </c>
      <c r="N26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90</v>
      </c>
      <c r="O26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2.7272727272727271</v>
      </c>
    </row>
    <row r="261" spans="2:15" x14ac:dyDescent="0.3">
      <c r="B261" s="4" t="s">
        <v>943</v>
      </c>
      <c r="C261" s="4">
        <v>143</v>
      </c>
      <c r="D261" s="4">
        <v>43</v>
      </c>
      <c r="E261" s="4">
        <v>22</v>
      </c>
      <c r="F261" s="4">
        <v>3392</v>
      </c>
      <c r="G261" s="16" t="s">
        <v>7</v>
      </c>
      <c r="H261" s="4">
        <v>9</v>
      </c>
      <c r="I261" s="4">
        <f>Table13[[#This Row],[تعداد کل درخت‏های تحت آبیاری
(اصله مستقل)
(N)]]*Table13[[#This Row],[سطح پوشش مفروض برای هر درخت
(متر مربع)]]</f>
        <v>387</v>
      </c>
      <c r="J26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6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61" s="8">
        <f>IF(Table13[[#This Row],[آیا
Achech  &gt;  Atree]]=1, 1, Table13[[#This Row],[Psh]]+(0.15*(1-Table13[[#This Row],[Psh]])))</f>
        <v>1</v>
      </c>
      <c r="M261" s="8">
        <f>IF(Table13[[#This Row],[آیا
Achech  &gt;  Atree]]=1, 0.65, 1)</f>
        <v>0.65</v>
      </c>
      <c r="N26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22</v>
      </c>
      <c r="O26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0.51162790697674421</v>
      </c>
    </row>
    <row r="262" spans="2:15" x14ac:dyDescent="0.3">
      <c r="B262" s="4" t="s">
        <v>944</v>
      </c>
      <c r="C262" s="4">
        <v>625</v>
      </c>
      <c r="D262" s="4">
        <v>462</v>
      </c>
      <c r="E262" s="4">
        <v>1476</v>
      </c>
      <c r="F262" s="4">
        <v>7432</v>
      </c>
      <c r="G262" s="16" t="s">
        <v>7</v>
      </c>
      <c r="H262" s="4">
        <v>9</v>
      </c>
      <c r="I262" s="4">
        <f>Table13[[#This Row],[تعداد کل درخت‏های تحت آبیاری
(اصله مستقل)
(N)]]*Table13[[#This Row],[سطح پوشش مفروض برای هر درخت
(متر مربع)]]</f>
        <v>4158</v>
      </c>
      <c r="J26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6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62" s="8">
        <f>IF(Table13[[#This Row],[آیا
Achech  &gt;  Atree]]=1, 1, Table13[[#This Row],[Psh]]+(0.15*(1-Table13[[#This Row],[Psh]])))</f>
        <v>1</v>
      </c>
      <c r="M262" s="8">
        <f>IF(Table13[[#This Row],[آیا
Achech  &gt;  Atree]]=1, 0.65, 1)</f>
        <v>0.65</v>
      </c>
      <c r="N26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1476</v>
      </c>
      <c r="O26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3.1948051948051948</v>
      </c>
    </row>
    <row r="263" spans="2:15" x14ac:dyDescent="0.3">
      <c r="B263" s="4" t="s">
        <v>945</v>
      </c>
      <c r="C263" s="4">
        <v>445</v>
      </c>
      <c r="D263" s="4">
        <v>204</v>
      </c>
      <c r="E263" s="4">
        <v>260</v>
      </c>
      <c r="F263" s="4">
        <v>1749</v>
      </c>
      <c r="G263" s="16" t="s">
        <v>7</v>
      </c>
      <c r="H263" s="4">
        <v>9</v>
      </c>
      <c r="I263" s="4">
        <f>Table13[[#This Row],[تعداد کل درخت‏های تحت آبیاری
(اصله مستقل)
(N)]]*Table13[[#This Row],[سطح پوشش مفروض برای هر درخت
(متر مربع)]]</f>
        <v>1836</v>
      </c>
      <c r="J26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6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63" s="8">
        <f>IF(Table13[[#This Row],[آیا
Achech  &gt;  Atree]]=1, 1, Table13[[#This Row],[Psh]]+(0.15*(1-Table13[[#This Row],[Psh]])))</f>
        <v>1</v>
      </c>
      <c r="M263" s="8">
        <f>IF(Table13[[#This Row],[آیا
Achech  &gt;  Atree]]=1, 0.65, 1)</f>
        <v>0.65</v>
      </c>
      <c r="N26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260</v>
      </c>
      <c r="O26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1.2745098039215685</v>
      </c>
    </row>
    <row r="264" spans="2:15" x14ac:dyDescent="0.3">
      <c r="B264" s="4" t="s">
        <v>946</v>
      </c>
      <c r="C264" s="4">
        <v>1260</v>
      </c>
      <c r="D264" s="4">
        <v>150</v>
      </c>
      <c r="E264" s="4">
        <v>450</v>
      </c>
      <c r="F264" s="4">
        <v>22119</v>
      </c>
      <c r="G264" s="16" t="s">
        <v>7</v>
      </c>
      <c r="H264" s="4">
        <v>9</v>
      </c>
      <c r="I264" s="4">
        <f>Table13[[#This Row],[تعداد کل درخت‏های تحت آبیاری
(اصله مستقل)
(N)]]*Table13[[#This Row],[سطح پوشش مفروض برای هر درخت
(متر مربع)]]</f>
        <v>1350</v>
      </c>
      <c r="J26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6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64" s="8">
        <f>IF(Table13[[#This Row],[آیا
Achech  &gt;  Atree]]=1, 1, Table13[[#This Row],[Psh]]+(0.15*(1-Table13[[#This Row],[Psh]])))</f>
        <v>1</v>
      </c>
      <c r="M264" s="8">
        <f>IF(Table13[[#This Row],[آیا
Achech  &gt;  Atree]]=1, 0.65, 1)</f>
        <v>0.65</v>
      </c>
      <c r="N26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450</v>
      </c>
      <c r="O26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</v>
      </c>
    </row>
    <row r="265" spans="2:15" x14ac:dyDescent="0.3">
      <c r="B265" s="4" t="s">
        <v>947</v>
      </c>
      <c r="C265" s="4">
        <v>380</v>
      </c>
      <c r="D265" s="4">
        <v>10</v>
      </c>
      <c r="E265" s="4">
        <v>40</v>
      </c>
      <c r="F265" s="4">
        <v>9072</v>
      </c>
      <c r="G265" s="16" t="s">
        <v>7</v>
      </c>
      <c r="H265" s="4">
        <v>9</v>
      </c>
      <c r="I265" s="4">
        <f>Table13[[#This Row],[تعداد کل درخت‏های تحت آبیاری
(اصله مستقل)
(N)]]*Table13[[#This Row],[سطح پوشش مفروض برای هر درخت
(متر مربع)]]</f>
        <v>90</v>
      </c>
      <c r="J26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6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65" s="8">
        <f>IF(Table13[[#This Row],[آیا
Achech  &gt;  Atree]]=1, 1, Table13[[#This Row],[Psh]]+(0.15*(1-Table13[[#This Row],[Psh]])))</f>
        <v>1</v>
      </c>
      <c r="M265" s="8">
        <f>IF(Table13[[#This Row],[آیا
Achech  &gt;  Atree]]=1, 0.65, 1)</f>
        <v>0.65</v>
      </c>
      <c r="N26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40</v>
      </c>
      <c r="O26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</v>
      </c>
    </row>
    <row r="266" spans="2:15" x14ac:dyDescent="0.3">
      <c r="B266" s="4" t="s">
        <v>948</v>
      </c>
      <c r="C266" s="4">
        <v>165</v>
      </c>
      <c r="D266" s="4">
        <v>197.66666666666666</v>
      </c>
      <c r="E266" s="4">
        <v>2800</v>
      </c>
      <c r="F266" s="4">
        <v>2800</v>
      </c>
      <c r="G266" s="16" t="s">
        <v>286</v>
      </c>
      <c r="H266" s="4">
        <v>9</v>
      </c>
      <c r="I266" s="4">
        <f>Table13[[#This Row],[تعداد کل درخت‏های تحت آبیاری
(اصله مستقل)
(N)]]*Table13[[#This Row],[سطح پوشش مفروض برای هر درخت
(متر مربع)]]</f>
        <v>1779</v>
      </c>
      <c r="J26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6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0.63535714285714284</v>
      </c>
      <c r="L266" s="8">
        <f>IF(Table13[[#This Row],[آیا
Achech  &gt;  Atree]]=1, 1, Table13[[#This Row],[Psh]]+(0.15*(1-Table13[[#This Row],[Psh]])))</f>
        <v>0.69005357142857138</v>
      </c>
      <c r="M266" s="8">
        <f>IF(Table13[[#This Row],[آیا
Achech  &gt;  Atree]]=1, 0.65, 1)</f>
        <v>1</v>
      </c>
      <c r="N26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1779</v>
      </c>
      <c r="O26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67" spans="2:15" x14ac:dyDescent="0.3">
      <c r="B267" s="4" t="s">
        <v>949</v>
      </c>
      <c r="C267" s="4">
        <v>391</v>
      </c>
      <c r="D267" s="4">
        <v>476.4666666666667</v>
      </c>
      <c r="E267" s="4">
        <v>2934</v>
      </c>
      <c r="F267" s="4">
        <v>2934</v>
      </c>
      <c r="G267" s="16" t="s">
        <v>286</v>
      </c>
      <c r="H267" s="4">
        <v>9</v>
      </c>
      <c r="I267" s="4">
        <f>Table13[[#This Row],[تعداد کل درخت‏های تحت آبیاری
(اصله مستقل)
(N)]]*Table13[[#This Row],[سطح پوشش مفروض برای هر درخت
(متر مربع)]]</f>
        <v>4288.2000000000007</v>
      </c>
      <c r="J26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6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67" s="8">
        <f>IF(Table13[[#This Row],[آیا
Achech  &gt;  Atree]]=1, 1, Table13[[#This Row],[Psh]]+(0.15*(1-Table13[[#This Row],[Psh]])))</f>
        <v>1</v>
      </c>
      <c r="M267" s="8">
        <f>IF(Table13[[#This Row],[آیا
Achech  &gt;  Atree]]=1, 0.65, 1)</f>
        <v>0.65</v>
      </c>
      <c r="N26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2934</v>
      </c>
      <c r="O26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6.1578284594934933</v>
      </c>
    </row>
    <row r="268" spans="2:15" x14ac:dyDescent="0.3">
      <c r="B268" s="4" t="s">
        <v>950</v>
      </c>
      <c r="C268" s="4">
        <v>3133</v>
      </c>
      <c r="D268" s="4">
        <v>350</v>
      </c>
      <c r="E268" s="4">
        <v>350</v>
      </c>
      <c r="F268" s="4">
        <v>77858</v>
      </c>
      <c r="G268" s="16" t="s">
        <v>319</v>
      </c>
      <c r="H268" s="4">
        <v>9</v>
      </c>
      <c r="I268" s="4">
        <f>Table13[[#This Row],[تعداد کل درخت‏های تحت آبیاری
(اصله مستقل)
(N)]]*Table13[[#This Row],[سطح پوشش مفروض برای هر درخت
(متر مربع)]]</f>
        <v>3150</v>
      </c>
      <c r="J26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6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68" s="8">
        <f>IF(Table13[[#This Row],[آیا
Achech  &gt;  Atree]]=1, 1, Table13[[#This Row],[Psh]]+(0.15*(1-Table13[[#This Row],[Psh]])))</f>
        <v>1</v>
      </c>
      <c r="M268" s="8">
        <f>IF(Table13[[#This Row],[آیا
Achech  &gt;  Atree]]=1, 0.65, 1)</f>
        <v>0.65</v>
      </c>
      <c r="N26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350</v>
      </c>
      <c r="O26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269" spans="2:15" x14ac:dyDescent="0.3">
      <c r="B269" s="4" t="s">
        <v>951</v>
      </c>
      <c r="C269" s="4">
        <v>2014</v>
      </c>
      <c r="D269" s="4">
        <v>748</v>
      </c>
      <c r="E269" s="4">
        <v>1679</v>
      </c>
      <c r="F269" s="4">
        <v>39034</v>
      </c>
      <c r="G269" s="16" t="s">
        <v>319</v>
      </c>
      <c r="H269" s="4">
        <v>9</v>
      </c>
      <c r="I269" s="4">
        <f>Table13[[#This Row],[تعداد کل درخت‏های تحت آبیاری
(اصله مستقل)
(N)]]*Table13[[#This Row],[سطح پوشش مفروض برای هر درخت
(متر مربع)]]</f>
        <v>6732</v>
      </c>
      <c r="J26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6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69" s="8">
        <f>IF(Table13[[#This Row],[آیا
Achech  &gt;  Atree]]=1, 1, Table13[[#This Row],[Psh]]+(0.15*(1-Table13[[#This Row],[Psh]])))</f>
        <v>1</v>
      </c>
      <c r="M269" s="8">
        <f>IF(Table13[[#This Row],[آیا
Achech  &gt;  Atree]]=1, 0.65, 1)</f>
        <v>0.65</v>
      </c>
      <c r="N26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1679</v>
      </c>
      <c r="O26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2.2446524064171123</v>
      </c>
    </row>
    <row r="270" spans="2:15" x14ac:dyDescent="0.3">
      <c r="B270" s="4" t="s">
        <v>953</v>
      </c>
      <c r="C270" s="4">
        <v>1284</v>
      </c>
      <c r="D270" s="4">
        <v>294</v>
      </c>
      <c r="E270" s="4">
        <v>1100</v>
      </c>
      <c r="F270" s="4">
        <v>10538</v>
      </c>
      <c r="G270" s="16" t="s">
        <v>7</v>
      </c>
      <c r="H270" s="4">
        <v>9</v>
      </c>
      <c r="I270" s="4">
        <f>Table13[[#This Row],[تعداد کل درخت‏های تحت آبیاری
(اصله مستقل)
(N)]]*Table13[[#This Row],[سطح پوشش مفروض برای هر درخت
(متر مربع)]]</f>
        <v>2646</v>
      </c>
      <c r="J27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7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70" s="8">
        <f>IF(Table13[[#This Row],[آیا
Achech  &gt;  Atree]]=1, 1, Table13[[#This Row],[Psh]]+(0.15*(1-Table13[[#This Row],[Psh]])))</f>
        <v>1</v>
      </c>
      <c r="M270" s="8">
        <f>IF(Table13[[#This Row],[آیا
Achech  &gt;  Atree]]=1, 0.65, 1)</f>
        <v>0.65</v>
      </c>
      <c r="N27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1100</v>
      </c>
      <c r="O27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3.7414965986394559</v>
      </c>
    </row>
    <row r="271" spans="2:15" x14ac:dyDescent="0.3">
      <c r="B271" s="4" t="s">
        <v>954</v>
      </c>
      <c r="C271" s="4">
        <v>897</v>
      </c>
      <c r="D271" s="4">
        <v>495</v>
      </c>
      <c r="E271" s="4">
        <v>1890</v>
      </c>
      <c r="F271" s="4">
        <v>11428</v>
      </c>
      <c r="G271" s="16" t="s">
        <v>7</v>
      </c>
      <c r="H271" s="4">
        <v>9</v>
      </c>
      <c r="I271" s="4">
        <f>Table13[[#This Row],[تعداد کل درخت‏های تحت آبیاری
(اصله مستقل)
(N)]]*Table13[[#This Row],[سطح پوشش مفروض برای هر درخت
(متر مربع)]]</f>
        <v>4455</v>
      </c>
      <c r="J27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7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71" s="8">
        <f>IF(Table13[[#This Row],[آیا
Achech  &gt;  Atree]]=1, 1, Table13[[#This Row],[Psh]]+(0.15*(1-Table13[[#This Row],[Psh]])))</f>
        <v>1</v>
      </c>
      <c r="M271" s="8">
        <f>IF(Table13[[#This Row],[آیا
Achech  &gt;  Atree]]=1, 0.65, 1)</f>
        <v>0.65</v>
      </c>
      <c r="N27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1890</v>
      </c>
      <c r="O27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3.8181818181818183</v>
      </c>
    </row>
    <row r="272" spans="2:15" x14ac:dyDescent="0.3">
      <c r="B272" s="4" t="s">
        <v>955</v>
      </c>
      <c r="C272" s="4">
        <v>374</v>
      </c>
      <c r="D272" s="4">
        <v>54</v>
      </c>
      <c r="E272" s="4">
        <v>120</v>
      </c>
      <c r="F272" s="4">
        <v>12587</v>
      </c>
      <c r="G272" s="16" t="s">
        <v>7</v>
      </c>
      <c r="H272" s="4">
        <v>9</v>
      </c>
      <c r="I272" s="4">
        <f>Table13[[#This Row],[تعداد کل درخت‏های تحت آبیاری
(اصله مستقل)
(N)]]*Table13[[#This Row],[سطح پوشش مفروض برای هر درخت
(متر مربع)]]</f>
        <v>486</v>
      </c>
      <c r="J27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7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72" s="8">
        <f>IF(Table13[[#This Row],[آیا
Achech  &gt;  Atree]]=1, 1, Table13[[#This Row],[Psh]]+(0.15*(1-Table13[[#This Row],[Psh]])))</f>
        <v>1</v>
      </c>
      <c r="M272" s="8">
        <f>IF(Table13[[#This Row],[آیا
Achech  &gt;  Atree]]=1, 0.65, 1)</f>
        <v>0.65</v>
      </c>
      <c r="N27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120</v>
      </c>
      <c r="O27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2.2222222222222223</v>
      </c>
    </row>
    <row r="273" spans="2:15" x14ac:dyDescent="0.3">
      <c r="B273" s="4" t="s">
        <v>956</v>
      </c>
      <c r="C273" s="4">
        <v>1549</v>
      </c>
      <c r="D273" s="4">
        <v>1492</v>
      </c>
      <c r="E273" s="4">
        <v>25408</v>
      </c>
      <c r="F273" s="4">
        <v>28540</v>
      </c>
      <c r="G273" s="16" t="s">
        <v>286</v>
      </c>
      <c r="H273" s="4">
        <v>9</v>
      </c>
      <c r="I273" s="4">
        <f>Table13[[#This Row],[تعداد کل درخت‏های تحت آبیاری
(اصله مستقل)
(N)]]*Table13[[#This Row],[سطح پوشش مفروض برای هر درخت
(متر مربع)]]</f>
        <v>13428</v>
      </c>
      <c r="J27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7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0.52849496221662473</v>
      </c>
      <c r="L273" s="8">
        <f>IF(Table13[[#This Row],[آیا
Achech  &gt;  Atree]]=1, 1, Table13[[#This Row],[Psh]]+(0.15*(1-Table13[[#This Row],[Psh]])))</f>
        <v>0.599220717884131</v>
      </c>
      <c r="M273" s="8">
        <f>IF(Table13[[#This Row],[آیا
Achech  &gt;  Atree]]=1, 0.65, 1)</f>
        <v>1</v>
      </c>
      <c r="N27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13428</v>
      </c>
      <c r="O27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74" spans="2:15" x14ac:dyDescent="0.3">
      <c r="B274" s="4" t="s">
        <v>957</v>
      </c>
      <c r="C274" s="4">
        <v>1420</v>
      </c>
      <c r="D274" s="4">
        <v>1420</v>
      </c>
      <c r="E274" s="4">
        <v>26740</v>
      </c>
      <c r="F274" s="4">
        <v>32554</v>
      </c>
      <c r="G274" s="16" t="s">
        <v>286</v>
      </c>
      <c r="H274" s="4">
        <v>9</v>
      </c>
      <c r="I274" s="4">
        <f>Table13[[#This Row],[تعداد کل درخت‏های تحت آبیاری
(اصله مستقل)
(N)]]*Table13[[#This Row],[سطح پوشش مفروض برای هر درخت
(متر مربع)]]</f>
        <v>12780</v>
      </c>
      <c r="J27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7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0.47793567688855648</v>
      </c>
      <c r="L274" s="8">
        <f>IF(Table13[[#This Row],[آیا
Achech  &gt;  Atree]]=1, 1, Table13[[#This Row],[Psh]]+(0.15*(1-Table13[[#This Row],[Psh]])))</f>
        <v>0.55624532535527305</v>
      </c>
      <c r="M274" s="8">
        <f>IF(Table13[[#This Row],[آیا
Achech  &gt;  Atree]]=1, 0.65, 1)</f>
        <v>1</v>
      </c>
      <c r="N27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12780</v>
      </c>
      <c r="O27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75" spans="2:15" x14ac:dyDescent="0.3">
      <c r="B275" s="4" t="s">
        <v>958</v>
      </c>
      <c r="C275" s="4">
        <v>3287</v>
      </c>
      <c r="D275" s="4">
        <v>3287</v>
      </c>
      <c r="E275" s="4">
        <v>60300</v>
      </c>
      <c r="F275" s="4">
        <v>60925</v>
      </c>
      <c r="G275" s="16" t="s">
        <v>286</v>
      </c>
      <c r="H275" s="4">
        <v>9</v>
      </c>
      <c r="I275" s="4">
        <f>Table13[[#This Row],[تعداد کل درخت‏های تحت آبیاری
(اصله مستقل)
(N)]]*Table13[[#This Row],[سطح پوشش مفروض برای هر درخت
(متر مربع)]]</f>
        <v>29583</v>
      </c>
      <c r="J27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7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0.49059701492537311</v>
      </c>
      <c r="L275" s="8">
        <f>IF(Table13[[#This Row],[آیا
Achech  &gt;  Atree]]=1, 1, Table13[[#This Row],[Psh]]+(0.15*(1-Table13[[#This Row],[Psh]])))</f>
        <v>0.5670074626865671</v>
      </c>
      <c r="M275" s="8">
        <f>IF(Table13[[#This Row],[آیا
Achech  &gt;  Atree]]=1, 0.65, 1)</f>
        <v>1</v>
      </c>
      <c r="N27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29583</v>
      </c>
      <c r="O27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76" spans="2:15" x14ac:dyDescent="0.3">
      <c r="B276" s="4" t="s">
        <v>959</v>
      </c>
      <c r="C276" s="4">
        <v>1399</v>
      </c>
      <c r="D276" s="4">
        <v>1399</v>
      </c>
      <c r="E276" s="4">
        <v>14570</v>
      </c>
      <c r="F276" s="4">
        <v>16835</v>
      </c>
      <c r="G276" s="16" t="s">
        <v>286</v>
      </c>
      <c r="H276" s="4">
        <v>9</v>
      </c>
      <c r="I276" s="4">
        <f>Table13[[#This Row],[تعداد کل درخت‏های تحت آبیاری
(اصله مستقل)
(N)]]*Table13[[#This Row],[سطح پوشش مفروض برای هر درخت
(متر مربع)]]</f>
        <v>12591</v>
      </c>
      <c r="J27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7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0.86417295813315032</v>
      </c>
      <c r="L276" s="8">
        <f>IF(Table13[[#This Row],[آیا
Achech  &gt;  Atree]]=1, 1, Table13[[#This Row],[Psh]]+(0.15*(1-Table13[[#This Row],[Psh]])))</f>
        <v>0.88454701441317773</v>
      </c>
      <c r="M276" s="8">
        <f>IF(Table13[[#This Row],[آیا
Achech  &gt;  Atree]]=1, 0.65, 1)</f>
        <v>1</v>
      </c>
      <c r="N27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12591</v>
      </c>
      <c r="O27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77" spans="2:15" x14ac:dyDescent="0.3">
      <c r="B277" s="4" t="s">
        <v>960</v>
      </c>
      <c r="C277" s="4">
        <v>2174</v>
      </c>
      <c r="D277" s="4">
        <v>2174</v>
      </c>
      <c r="E277" s="4">
        <v>38950</v>
      </c>
      <c r="F277" s="4">
        <v>41932</v>
      </c>
      <c r="G277" s="16" t="s">
        <v>286</v>
      </c>
      <c r="H277" s="4">
        <v>9</v>
      </c>
      <c r="I277" s="4">
        <f>Table13[[#This Row],[تعداد کل درخت‏های تحت آبیاری
(اصله مستقل)
(N)]]*Table13[[#This Row],[سطح پوشش مفروض برای هر درخت
(متر مربع)]]</f>
        <v>19566</v>
      </c>
      <c r="J27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7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0.50233632862644417</v>
      </c>
      <c r="L277" s="8">
        <f>IF(Table13[[#This Row],[آیا
Achech  &gt;  Atree]]=1, 1, Table13[[#This Row],[Psh]]+(0.15*(1-Table13[[#This Row],[Psh]])))</f>
        <v>0.57698587933247758</v>
      </c>
      <c r="M277" s="8">
        <f>IF(Table13[[#This Row],[آیا
Achech  &gt;  Atree]]=1, 0.65, 1)</f>
        <v>1</v>
      </c>
      <c r="N27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19566</v>
      </c>
      <c r="O27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78" spans="2:15" x14ac:dyDescent="0.3">
      <c r="B278" s="4" t="s">
        <v>961</v>
      </c>
      <c r="C278" s="4">
        <v>2281</v>
      </c>
      <c r="D278" s="4">
        <v>2281</v>
      </c>
      <c r="E278" s="4">
        <v>28652</v>
      </c>
      <c r="F278" s="4">
        <v>30484</v>
      </c>
      <c r="G278" s="16" t="s">
        <v>286</v>
      </c>
      <c r="H278" s="4">
        <v>9</v>
      </c>
      <c r="I278" s="4">
        <f>Table13[[#This Row],[تعداد کل درخت‏های تحت آبیاری
(اصله مستقل)
(N)]]*Table13[[#This Row],[سطح پوشش مفروض برای هر درخت
(متر مربع)]]</f>
        <v>20529</v>
      </c>
      <c r="J27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7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0.71649448555074691</v>
      </c>
      <c r="L278" s="8">
        <f>IF(Table13[[#This Row],[آیا
Achech  &gt;  Atree]]=1, 1, Table13[[#This Row],[Psh]]+(0.15*(1-Table13[[#This Row],[Psh]])))</f>
        <v>0.75902031271813486</v>
      </c>
      <c r="M278" s="8">
        <f>IF(Table13[[#This Row],[آیا
Achech  &gt;  Atree]]=1, 0.65, 1)</f>
        <v>1</v>
      </c>
      <c r="N27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20529</v>
      </c>
      <c r="O27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79" spans="2:15" x14ac:dyDescent="0.3">
      <c r="B279" s="4" t="s">
        <v>962</v>
      </c>
      <c r="C279" s="4">
        <v>2235</v>
      </c>
      <c r="D279" s="4">
        <v>2235</v>
      </c>
      <c r="E279" s="4">
        <v>39403</v>
      </c>
      <c r="F279" s="4">
        <v>41382</v>
      </c>
      <c r="G279" s="16" t="s">
        <v>286</v>
      </c>
      <c r="H279" s="4">
        <v>9</v>
      </c>
      <c r="I279" s="4">
        <f>Table13[[#This Row],[تعداد کل درخت‏های تحت آبیاری
(اصله مستقل)
(N)]]*Table13[[#This Row],[سطح پوشش مفروض برای هر درخت
(متر مربع)]]</f>
        <v>20115</v>
      </c>
      <c r="J27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7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0.51049412481283152</v>
      </c>
      <c r="L279" s="8">
        <f>IF(Table13[[#This Row],[آیا
Achech  &gt;  Atree]]=1, 1, Table13[[#This Row],[Psh]]+(0.15*(1-Table13[[#This Row],[Psh]])))</f>
        <v>0.58392000609090677</v>
      </c>
      <c r="M279" s="8">
        <f>IF(Table13[[#This Row],[آیا
Achech  &gt;  Atree]]=1, 0.65, 1)</f>
        <v>1</v>
      </c>
      <c r="N27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20115</v>
      </c>
      <c r="O27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80" spans="2:15" x14ac:dyDescent="0.3">
      <c r="B280" s="4" t="s">
        <v>963</v>
      </c>
      <c r="C280" s="4">
        <v>3891</v>
      </c>
      <c r="D280" s="4">
        <v>3891</v>
      </c>
      <c r="E280" s="4">
        <v>88674</v>
      </c>
      <c r="F280" s="4">
        <v>89931</v>
      </c>
      <c r="G280" s="16" t="s">
        <v>286</v>
      </c>
      <c r="H280" s="4">
        <v>9</v>
      </c>
      <c r="I280" s="4">
        <f>Table13[[#This Row],[تعداد کل درخت‏های تحت آبیاری
(اصله مستقل)
(N)]]*Table13[[#This Row],[سطح پوشش مفروض برای هر درخت
(متر مربع)]]</f>
        <v>35019</v>
      </c>
      <c r="J28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8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0.39491846539008052</v>
      </c>
      <c r="L280" s="8">
        <f>IF(Table13[[#This Row],[آیا
Achech  &gt;  Atree]]=1, 1, Table13[[#This Row],[Psh]]+(0.15*(1-Table13[[#This Row],[Psh]])))</f>
        <v>0.48568069558156846</v>
      </c>
      <c r="M280" s="8">
        <f>IF(Table13[[#This Row],[آیا
Achech  &gt;  Atree]]=1, 0.65, 1)</f>
        <v>1</v>
      </c>
      <c r="N28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35019</v>
      </c>
      <c r="O28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81" spans="2:15" x14ac:dyDescent="0.3">
      <c r="B281" s="4" t="s">
        <v>964</v>
      </c>
      <c r="C281" s="4">
        <v>2420</v>
      </c>
      <c r="D281" s="4">
        <v>2420</v>
      </c>
      <c r="E281" s="4">
        <v>36800</v>
      </c>
      <c r="F281" s="4">
        <v>36800</v>
      </c>
      <c r="G281" s="16" t="s">
        <v>286</v>
      </c>
      <c r="H281" s="4">
        <v>9</v>
      </c>
      <c r="I281" s="4">
        <f>Table13[[#This Row],[تعداد کل درخت‏های تحت آبیاری
(اصله مستقل)
(N)]]*Table13[[#This Row],[سطح پوشش مفروض برای هر درخت
(متر مربع)]]</f>
        <v>21780</v>
      </c>
      <c r="J28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8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0.59184782608695652</v>
      </c>
      <c r="L281" s="8">
        <f>IF(Table13[[#This Row],[آیا
Achech  &gt;  Atree]]=1, 1, Table13[[#This Row],[Psh]]+(0.15*(1-Table13[[#This Row],[Psh]])))</f>
        <v>0.65307065217391302</v>
      </c>
      <c r="M281" s="8">
        <f>IF(Table13[[#This Row],[آیا
Achech  &gt;  Atree]]=1, 0.65, 1)</f>
        <v>1</v>
      </c>
      <c r="N28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21780</v>
      </c>
      <c r="O28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82" spans="2:15" x14ac:dyDescent="0.3">
      <c r="B282" s="4" t="s">
        <v>970</v>
      </c>
      <c r="C282" s="4">
        <v>444</v>
      </c>
      <c r="D282" s="4">
        <v>122.93333333333334</v>
      </c>
      <c r="E282" s="4">
        <v>2300</v>
      </c>
      <c r="F282" s="4">
        <v>2400</v>
      </c>
      <c r="G282" s="16" t="s">
        <v>286</v>
      </c>
      <c r="H282" s="4">
        <v>9</v>
      </c>
      <c r="I282" s="4">
        <f>Table13[[#This Row],[تعداد کل درخت‏های تحت آبیاری
(اصله مستقل)
(N)]]*Table13[[#This Row],[سطح پوشش مفروض برای هر درخت
(متر مربع)]]</f>
        <v>1106.4000000000001</v>
      </c>
      <c r="J28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8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0.48104347826086963</v>
      </c>
      <c r="L282" s="8">
        <f>IF(Table13[[#This Row],[آیا
Achech  &gt;  Atree]]=1, 1, Table13[[#This Row],[Psh]]+(0.15*(1-Table13[[#This Row],[Psh]])))</f>
        <v>0.55888695652173914</v>
      </c>
      <c r="M282" s="8">
        <f>IF(Table13[[#This Row],[آیا
Achech  &gt;  Atree]]=1, 0.65, 1)</f>
        <v>1</v>
      </c>
      <c r="N28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1106.4000000000001</v>
      </c>
      <c r="O28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83" spans="2:15" x14ac:dyDescent="0.3">
      <c r="B283" s="4" t="s">
        <v>971</v>
      </c>
      <c r="C283" s="4">
        <v>258</v>
      </c>
      <c r="D283" s="4">
        <v>56.2</v>
      </c>
      <c r="E283" s="4">
        <v>850</v>
      </c>
      <c r="F283" s="4">
        <v>1300</v>
      </c>
      <c r="G283" s="16" t="s">
        <v>7</v>
      </c>
      <c r="H283" s="4">
        <v>9</v>
      </c>
      <c r="I283" s="4">
        <f>Table13[[#This Row],[تعداد کل درخت‏های تحت آبیاری
(اصله مستقل)
(N)]]*Table13[[#This Row],[سطح پوشش مفروض برای هر درخت
(متر مربع)]]</f>
        <v>505.8</v>
      </c>
      <c r="J28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8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0.59505882352941175</v>
      </c>
      <c r="L283" s="8">
        <f>IF(Table13[[#This Row],[آیا
Achech  &gt;  Atree]]=1, 1, Table13[[#This Row],[Psh]]+(0.15*(1-Table13[[#This Row],[Psh]])))</f>
        <v>0.65579999999999994</v>
      </c>
      <c r="M283" s="8">
        <f>IF(Table13[[#This Row],[آیا
Achech  &gt;  Atree]]=1, 0.65, 1)</f>
        <v>1</v>
      </c>
      <c r="N28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505.8</v>
      </c>
      <c r="O28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84" spans="2:15" x14ac:dyDescent="0.3">
      <c r="B284" s="4" t="s">
        <v>972</v>
      </c>
      <c r="C284" s="4">
        <v>714</v>
      </c>
      <c r="D284" s="4">
        <v>660</v>
      </c>
      <c r="E284" s="4">
        <v>5530</v>
      </c>
      <c r="F284" s="4">
        <v>12286</v>
      </c>
      <c r="G284" s="16" t="s">
        <v>7</v>
      </c>
      <c r="H284" s="4">
        <v>9</v>
      </c>
      <c r="I284" s="4">
        <f>Table13[[#This Row],[تعداد کل درخت‏های تحت آبیاری
(اصله مستقل)
(N)]]*Table13[[#This Row],[سطح پوشش مفروض برای هر درخت
(متر مربع)]]</f>
        <v>5940</v>
      </c>
      <c r="J28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8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84" s="8">
        <f>IF(Table13[[#This Row],[آیا
Achech  &gt;  Atree]]=1, 1, Table13[[#This Row],[Psh]]+(0.15*(1-Table13[[#This Row],[Psh]])))</f>
        <v>1</v>
      </c>
      <c r="M284" s="8">
        <f>IF(Table13[[#This Row],[آیا
Achech  &gt;  Atree]]=1, 0.65, 1)</f>
        <v>0.65</v>
      </c>
      <c r="N28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5530</v>
      </c>
      <c r="O28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8.3787878787878789</v>
      </c>
    </row>
    <row r="285" spans="2:15" x14ac:dyDescent="0.3">
      <c r="B285" s="4" t="s">
        <v>980</v>
      </c>
      <c r="C285" s="4">
        <v>1315</v>
      </c>
      <c r="D285" s="4">
        <v>380</v>
      </c>
      <c r="E285" s="4">
        <v>5591</v>
      </c>
      <c r="F285" s="4">
        <v>30099</v>
      </c>
      <c r="G285" s="16" t="s">
        <v>7</v>
      </c>
      <c r="H285" s="4">
        <v>9</v>
      </c>
      <c r="I285" s="4">
        <f>Table13[[#This Row],[تعداد کل درخت‏های تحت آبیاری
(اصله مستقل)
(N)]]*Table13[[#This Row],[سطح پوشش مفروض برای هر درخت
(متر مربع)]]</f>
        <v>3420</v>
      </c>
      <c r="J28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8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0.61169737077445896</v>
      </c>
      <c r="L285" s="8">
        <f>IF(Table13[[#This Row],[آیا
Achech  &gt;  Atree]]=1, 1, Table13[[#This Row],[Psh]]+(0.15*(1-Table13[[#This Row],[Psh]])))</f>
        <v>0.6699427651582901</v>
      </c>
      <c r="M285" s="8">
        <f>IF(Table13[[#This Row],[آیا
Achech  &gt;  Atree]]=1, 0.65, 1)</f>
        <v>1</v>
      </c>
      <c r="N28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3420</v>
      </c>
      <c r="O28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86" spans="2:15" x14ac:dyDescent="0.3">
      <c r="B286" s="4" t="s">
        <v>981</v>
      </c>
      <c r="C286" s="4">
        <v>1842</v>
      </c>
      <c r="D286" s="4">
        <v>234</v>
      </c>
      <c r="E286" s="4">
        <v>476</v>
      </c>
      <c r="F286" s="4">
        <v>14304</v>
      </c>
      <c r="G286" s="16" t="s">
        <v>7</v>
      </c>
      <c r="H286" s="4">
        <v>9</v>
      </c>
      <c r="I286" s="4">
        <f>Table13[[#This Row],[تعداد کل درخت‏های تحت آبیاری
(اصله مستقل)
(N)]]*Table13[[#This Row],[سطح پوشش مفروض برای هر درخت
(متر مربع)]]</f>
        <v>2106</v>
      </c>
      <c r="J28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8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86" s="8">
        <f>IF(Table13[[#This Row],[آیا
Achech  &gt;  Atree]]=1, 1, Table13[[#This Row],[Psh]]+(0.15*(1-Table13[[#This Row],[Psh]])))</f>
        <v>1</v>
      </c>
      <c r="M286" s="8">
        <f>IF(Table13[[#This Row],[آیا
Achech  &gt;  Atree]]=1, 0.65, 1)</f>
        <v>0.65</v>
      </c>
      <c r="N28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476</v>
      </c>
      <c r="O28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2.0341880341880341</v>
      </c>
    </row>
    <row r="287" spans="2:15" x14ac:dyDescent="0.3">
      <c r="B287" s="4" t="s">
        <v>982</v>
      </c>
      <c r="C287" s="4">
        <v>1391</v>
      </c>
      <c r="D287" s="4">
        <v>463</v>
      </c>
      <c r="E287" s="4">
        <v>596</v>
      </c>
      <c r="F287" s="4">
        <v>31113</v>
      </c>
      <c r="G287" s="16" t="s">
        <v>7</v>
      </c>
      <c r="H287" s="4">
        <v>9</v>
      </c>
      <c r="I287" s="4">
        <f>Table13[[#This Row],[تعداد کل درخت‏های تحت آبیاری
(اصله مستقل)
(N)]]*Table13[[#This Row],[سطح پوشش مفروض برای هر درخت
(متر مربع)]]</f>
        <v>4167</v>
      </c>
      <c r="J28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8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87" s="8">
        <f>IF(Table13[[#This Row],[آیا
Achech  &gt;  Atree]]=1, 1, Table13[[#This Row],[Psh]]+(0.15*(1-Table13[[#This Row],[Psh]])))</f>
        <v>1</v>
      </c>
      <c r="M287" s="8">
        <f>IF(Table13[[#This Row],[آیا
Achech  &gt;  Atree]]=1, 0.65, 1)</f>
        <v>0.65</v>
      </c>
      <c r="N28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596</v>
      </c>
      <c r="O28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1.2872570194384449</v>
      </c>
    </row>
    <row r="288" spans="2:15" x14ac:dyDescent="0.3">
      <c r="B288" s="4" t="s">
        <v>983</v>
      </c>
      <c r="C288" s="4">
        <v>683</v>
      </c>
      <c r="D288" s="4">
        <v>83</v>
      </c>
      <c r="E288" s="4">
        <v>83</v>
      </c>
      <c r="F288" s="4">
        <v>8722</v>
      </c>
      <c r="G288" s="16" t="s">
        <v>7</v>
      </c>
      <c r="H288" s="4">
        <v>9</v>
      </c>
      <c r="I288" s="4">
        <f>Table13[[#This Row],[تعداد کل درخت‏های تحت آبیاری
(اصله مستقل)
(N)]]*Table13[[#This Row],[سطح پوشش مفروض برای هر درخت
(متر مربع)]]</f>
        <v>747</v>
      </c>
      <c r="J28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8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88" s="8">
        <f>IF(Table13[[#This Row],[آیا
Achech  &gt;  Atree]]=1, 1, Table13[[#This Row],[Psh]]+(0.15*(1-Table13[[#This Row],[Psh]])))</f>
        <v>1</v>
      </c>
      <c r="M288" s="8">
        <f>IF(Table13[[#This Row],[آیا
Achech  &gt;  Atree]]=1, 0.65, 1)</f>
        <v>0.65</v>
      </c>
      <c r="N28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83</v>
      </c>
      <c r="O28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289" spans="2:15" x14ac:dyDescent="0.3">
      <c r="B289" s="4" t="s">
        <v>984</v>
      </c>
      <c r="C289" s="4">
        <v>7929</v>
      </c>
      <c r="D289" s="4">
        <v>2389</v>
      </c>
      <c r="E289" s="4">
        <v>32060</v>
      </c>
      <c r="F289" s="4">
        <v>83951</v>
      </c>
      <c r="G289" s="16" t="s">
        <v>78</v>
      </c>
      <c r="H289" s="4">
        <v>9</v>
      </c>
      <c r="I289" s="4">
        <f>Table13[[#This Row],[تعداد کل درخت‏های تحت آبیاری
(اصله مستقل)
(N)]]*Table13[[#This Row],[سطح پوشش مفروض برای هر درخت
(متر مربع)]]</f>
        <v>21501</v>
      </c>
      <c r="J28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8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0.67064878353087964</v>
      </c>
      <c r="L289" s="8">
        <f>IF(Table13[[#This Row],[آیا
Achech  &gt;  Atree]]=1, 1, Table13[[#This Row],[Psh]]+(0.15*(1-Table13[[#This Row],[Psh]])))</f>
        <v>0.7200514660012477</v>
      </c>
      <c r="M289" s="8">
        <f>IF(Table13[[#This Row],[آیا
Achech  &gt;  Atree]]=1, 0.65, 1)</f>
        <v>1</v>
      </c>
      <c r="N28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21501</v>
      </c>
      <c r="O28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90" spans="2:15" x14ac:dyDescent="0.3">
      <c r="B290" s="4" t="s">
        <v>985</v>
      </c>
      <c r="C290" s="4">
        <v>815</v>
      </c>
      <c r="D290" s="4">
        <v>650</v>
      </c>
      <c r="E290" s="4">
        <v>2850</v>
      </c>
      <c r="F290" s="4">
        <v>11672</v>
      </c>
      <c r="G290" s="16" t="s">
        <v>7</v>
      </c>
      <c r="H290" s="4">
        <v>9</v>
      </c>
      <c r="I290" s="4">
        <f>Table13[[#This Row],[تعداد کل درخت‏های تحت آبیاری
(اصله مستقل)
(N)]]*Table13[[#This Row],[سطح پوشش مفروض برای هر درخت
(متر مربع)]]</f>
        <v>5850</v>
      </c>
      <c r="J29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9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90" s="8">
        <f>IF(Table13[[#This Row],[آیا
Achech  &gt;  Atree]]=1, 1, Table13[[#This Row],[Psh]]+(0.15*(1-Table13[[#This Row],[Psh]])))</f>
        <v>1</v>
      </c>
      <c r="M290" s="8">
        <f>IF(Table13[[#This Row],[آیا
Achech  &gt;  Atree]]=1, 0.65, 1)</f>
        <v>0.65</v>
      </c>
      <c r="N29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2850</v>
      </c>
      <c r="O29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4.384615384615385</v>
      </c>
    </row>
    <row r="291" spans="2:15" x14ac:dyDescent="0.3">
      <c r="B291" s="4" t="s">
        <v>988</v>
      </c>
      <c r="C291" s="4">
        <v>368</v>
      </c>
      <c r="D291" s="4">
        <v>283</v>
      </c>
      <c r="E291" s="4">
        <v>1633</v>
      </c>
      <c r="F291" s="4">
        <v>3533</v>
      </c>
      <c r="G291" s="16" t="s">
        <v>7</v>
      </c>
      <c r="H291" s="4">
        <v>9</v>
      </c>
      <c r="I291" s="4">
        <f>Table13[[#This Row],[تعداد کل درخت‏های تحت آبیاری
(اصله مستقل)
(N)]]*Table13[[#This Row],[سطح پوشش مفروض برای هر درخت
(متر مربع)]]</f>
        <v>2547</v>
      </c>
      <c r="J29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9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91" s="8">
        <f>IF(Table13[[#This Row],[آیا
Achech  &gt;  Atree]]=1, 1, Table13[[#This Row],[Psh]]+(0.15*(1-Table13[[#This Row],[Psh]])))</f>
        <v>1</v>
      </c>
      <c r="M291" s="8">
        <f>IF(Table13[[#This Row],[آیا
Achech  &gt;  Atree]]=1, 0.65, 1)</f>
        <v>0.65</v>
      </c>
      <c r="N29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1633</v>
      </c>
      <c r="O29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5.7703180212014136</v>
      </c>
    </row>
    <row r="292" spans="2:15" x14ac:dyDescent="0.3">
      <c r="B292" s="4" t="s">
        <v>989</v>
      </c>
      <c r="C292" s="4">
        <v>448</v>
      </c>
      <c r="D292" s="4">
        <v>167</v>
      </c>
      <c r="E292" s="4">
        <v>612</v>
      </c>
      <c r="F292" s="4">
        <v>8014</v>
      </c>
      <c r="G292" s="16" t="s">
        <v>7</v>
      </c>
      <c r="H292" s="4">
        <v>9</v>
      </c>
      <c r="I292" s="4">
        <f>Table13[[#This Row],[تعداد کل درخت‏های تحت آبیاری
(اصله مستقل)
(N)]]*Table13[[#This Row],[سطح پوشش مفروض برای هر درخت
(متر مربع)]]</f>
        <v>1503</v>
      </c>
      <c r="J29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9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92" s="8">
        <f>IF(Table13[[#This Row],[آیا
Achech  &gt;  Atree]]=1, 1, Table13[[#This Row],[Psh]]+(0.15*(1-Table13[[#This Row],[Psh]])))</f>
        <v>1</v>
      </c>
      <c r="M292" s="8">
        <f>IF(Table13[[#This Row],[آیا
Achech  &gt;  Atree]]=1, 0.65, 1)</f>
        <v>0.65</v>
      </c>
      <c r="N29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612</v>
      </c>
      <c r="O29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3.6646706586826348</v>
      </c>
    </row>
    <row r="293" spans="2:15" x14ac:dyDescent="0.3">
      <c r="B293" s="4" t="s">
        <v>990</v>
      </c>
      <c r="C293" s="4">
        <v>531</v>
      </c>
      <c r="D293" s="4">
        <v>465</v>
      </c>
      <c r="E293" s="4">
        <v>465</v>
      </c>
      <c r="F293" s="4">
        <v>7746</v>
      </c>
      <c r="G293" s="16" t="s">
        <v>7</v>
      </c>
      <c r="H293" s="4">
        <v>9</v>
      </c>
      <c r="I293" s="4">
        <f>Table13[[#This Row],[تعداد کل درخت‏های تحت آبیاری
(اصله مستقل)
(N)]]*Table13[[#This Row],[سطح پوشش مفروض برای هر درخت
(متر مربع)]]</f>
        <v>4185</v>
      </c>
      <c r="J29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9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93" s="8">
        <f>IF(Table13[[#This Row],[آیا
Achech  &gt;  Atree]]=1, 1, Table13[[#This Row],[Psh]]+(0.15*(1-Table13[[#This Row],[Psh]])))</f>
        <v>1</v>
      </c>
      <c r="M293" s="8">
        <f>IF(Table13[[#This Row],[آیا
Achech  &gt;  Atree]]=1, 0.65, 1)</f>
        <v>0.65</v>
      </c>
      <c r="N29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465</v>
      </c>
      <c r="O29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294" spans="2:15" x14ac:dyDescent="0.3">
      <c r="B294" s="4" t="s">
        <v>991</v>
      </c>
      <c r="C294" s="4">
        <v>132</v>
      </c>
      <c r="D294" s="4">
        <v>27</v>
      </c>
      <c r="E294" s="4">
        <v>40</v>
      </c>
      <c r="F294" s="4">
        <v>790</v>
      </c>
      <c r="G294" s="16" t="s">
        <v>7</v>
      </c>
      <c r="H294" s="4">
        <v>9</v>
      </c>
      <c r="I294" s="4">
        <f>Table13[[#This Row],[تعداد کل درخت‏های تحت آبیاری
(اصله مستقل)
(N)]]*Table13[[#This Row],[سطح پوشش مفروض برای هر درخت
(متر مربع)]]</f>
        <v>243</v>
      </c>
      <c r="J29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9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94" s="8">
        <f>IF(Table13[[#This Row],[آیا
Achech  &gt;  Atree]]=1, 1, Table13[[#This Row],[Psh]]+(0.15*(1-Table13[[#This Row],[Psh]])))</f>
        <v>1</v>
      </c>
      <c r="M294" s="8">
        <f>IF(Table13[[#This Row],[آیا
Achech  &gt;  Atree]]=1, 0.65, 1)</f>
        <v>0.65</v>
      </c>
      <c r="N29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40</v>
      </c>
      <c r="O29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1.4814814814814814</v>
      </c>
    </row>
    <row r="295" spans="2:15" x14ac:dyDescent="0.3">
      <c r="B295" s="4" t="s">
        <v>992</v>
      </c>
      <c r="C295" s="4">
        <v>0</v>
      </c>
      <c r="D295" s="4">
        <v>210</v>
      </c>
      <c r="E295" s="4">
        <v>0</v>
      </c>
      <c r="F295" s="4"/>
      <c r="G295" s="16" t="s">
        <v>7</v>
      </c>
      <c r="H295" s="4">
        <v>9</v>
      </c>
      <c r="I295" s="4">
        <f>Table13[[#This Row],[تعداد کل درخت‏های تحت آبیاری
(اصله مستقل)
(N)]]*Table13[[#This Row],[سطح پوشش مفروض برای هر درخت
(متر مربع)]]</f>
        <v>1890</v>
      </c>
      <c r="J29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9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95" s="8">
        <f>IF(Table13[[#This Row],[آیا
Achech  &gt;  Atree]]=1, 1, Table13[[#This Row],[Psh]]+(0.15*(1-Table13[[#This Row],[Psh]])))</f>
        <v>1</v>
      </c>
      <c r="M295" s="8">
        <f>IF(Table13[[#This Row],[آیا
Achech  &gt;  Atree]]=1, 0.65, 1)</f>
        <v>0.65</v>
      </c>
      <c r="N29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0</v>
      </c>
      <c r="O29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0</v>
      </c>
    </row>
    <row r="296" spans="2:15" x14ac:dyDescent="0.3">
      <c r="B296" s="4" t="s">
        <v>993</v>
      </c>
      <c r="C296" s="4">
        <v>267</v>
      </c>
      <c r="D296" s="4">
        <v>226</v>
      </c>
      <c r="E296" s="4">
        <v>615</v>
      </c>
      <c r="F296" s="4">
        <v>2837</v>
      </c>
      <c r="G296" s="16" t="s">
        <v>7</v>
      </c>
      <c r="H296" s="4">
        <v>9</v>
      </c>
      <c r="I296" s="4">
        <f>Table13[[#This Row],[تعداد کل درخت‏های تحت آبیاری
(اصله مستقل)
(N)]]*Table13[[#This Row],[سطح پوشش مفروض برای هر درخت
(متر مربع)]]</f>
        <v>2034</v>
      </c>
      <c r="J29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9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96" s="8">
        <f>IF(Table13[[#This Row],[آیا
Achech  &gt;  Atree]]=1, 1, Table13[[#This Row],[Psh]]+(0.15*(1-Table13[[#This Row],[Psh]])))</f>
        <v>1</v>
      </c>
      <c r="M296" s="8">
        <f>IF(Table13[[#This Row],[آیا
Achech  &gt;  Atree]]=1, 0.65, 1)</f>
        <v>0.65</v>
      </c>
      <c r="N29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615</v>
      </c>
      <c r="O29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2.7212389380530975</v>
      </c>
    </row>
    <row r="297" spans="2:15" x14ac:dyDescent="0.3">
      <c r="B297" s="4" t="s">
        <v>994</v>
      </c>
      <c r="C297" s="4">
        <v>722</v>
      </c>
      <c r="D297" s="4">
        <v>465</v>
      </c>
      <c r="E297" s="4">
        <v>7266</v>
      </c>
      <c r="F297" s="4">
        <v>15201</v>
      </c>
      <c r="G297" s="16" t="s">
        <v>7</v>
      </c>
      <c r="H297" s="4">
        <v>9</v>
      </c>
      <c r="I297" s="4">
        <f>Table13[[#This Row],[تعداد کل درخت‏های تحت آبیاری
(اصله مستقل)
(N)]]*Table13[[#This Row],[سطح پوشش مفروض برای هر درخت
(متر مربع)]]</f>
        <v>4185</v>
      </c>
      <c r="J29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29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0.57597027250206445</v>
      </c>
      <c r="L297" s="8">
        <f>IF(Table13[[#This Row],[آیا
Achech  &gt;  Atree]]=1, 1, Table13[[#This Row],[Psh]]+(0.15*(1-Table13[[#This Row],[Psh]])))</f>
        <v>0.63957473162675482</v>
      </c>
      <c r="M297" s="8">
        <f>IF(Table13[[#This Row],[آیا
Achech  &gt;  Atree]]=1, 0.65, 1)</f>
        <v>1</v>
      </c>
      <c r="N29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4185</v>
      </c>
      <c r="O29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298" spans="2:15" x14ac:dyDescent="0.3">
      <c r="B298" s="4" t="s">
        <v>995</v>
      </c>
      <c r="C298" s="4">
        <v>364</v>
      </c>
      <c r="D298" s="4">
        <v>364</v>
      </c>
      <c r="E298" s="4">
        <v>700</v>
      </c>
      <c r="F298" s="4">
        <v>4642</v>
      </c>
      <c r="G298" s="16" t="s">
        <v>7</v>
      </c>
      <c r="H298" s="4">
        <v>9</v>
      </c>
      <c r="I298" s="4">
        <f>Table13[[#This Row],[تعداد کل درخت‏های تحت آبیاری
(اصله مستقل)
(N)]]*Table13[[#This Row],[سطح پوشش مفروض برای هر درخت
(متر مربع)]]</f>
        <v>3276</v>
      </c>
      <c r="J29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9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98" s="8">
        <f>IF(Table13[[#This Row],[آیا
Achech  &gt;  Atree]]=1, 1, Table13[[#This Row],[Psh]]+(0.15*(1-Table13[[#This Row],[Psh]])))</f>
        <v>1</v>
      </c>
      <c r="M298" s="8">
        <f>IF(Table13[[#This Row],[آیا
Achech  &gt;  Atree]]=1, 0.65, 1)</f>
        <v>0.65</v>
      </c>
      <c r="N29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700</v>
      </c>
      <c r="O29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1.9230769230769231</v>
      </c>
    </row>
    <row r="299" spans="2:15" x14ac:dyDescent="0.3">
      <c r="B299" s="4" t="s">
        <v>996</v>
      </c>
      <c r="C299" s="4">
        <v>1021</v>
      </c>
      <c r="D299" s="4">
        <v>326</v>
      </c>
      <c r="E299" s="4">
        <v>1454</v>
      </c>
      <c r="F299" s="4">
        <v>13029</v>
      </c>
      <c r="G299" s="16" t="s">
        <v>7</v>
      </c>
      <c r="H299" s="4">
        <v>9</v>
      </c>
      <c r="I299" s="4">
        <f>Table13[[#This Row],[تعداد کل درخت‏های تحت آبیاری
(اصله مستقل)
(N)]]*Table13[[#This Row],[سطح پوشش مفروض برای هر درخت
(متر مربع)]]</f>
        <v>2934</v>
      </c>
      <c r="J29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29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299" s="8">
        <f>IF(Table13[[#This Row],[آیا
Achech  &gt;  Atree]]=1, 1, Table13[[#This Row],[Psh]]+(0.15*(1-Table13[[#This Row],[Psh]])))</f>
        <v>1</v>
      </c>
      <c r="M299" s="8">
        <f>IF(Table13[[#This Row],[آیا
Achech  &gt;  Atree]]=1, 0.65, 1)</f>
        <v>0.65</v>
      </c>
      <c r="N29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1454</v>
      </c>
      <c r="O29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4.4601226993865026</v>
      </c>
    </row>
    <row r="300" spans="2:15" x14ac:dyDescent="0.3">
      <c r="B300" s="4" t="s">
        <v>997</v>
      </c>
      <c r="C300" s="4">
        <v>534</v>
      </c>
      <c r="D300" s="4">
        <v>200</v>
      </c>
      <c r="E300" s="4">
        <v>170</v>
      </c>
      <c r="F300" s="4">
        <v>17391</v>
      </c>
      <c r="G300" s="16" t="s">
        <v>7</v>
      </c>
      <c r="H300" s="4">
        <v>9</v>
      </c>
      <c r="I300" s="4">
        <f>Table13[[#This Row],[تعداد کل درخت‏های تحت آبیاری
(اصله مستقل)
(N)]]*Table13[[#This Row],[سطح پوشش مفروض برای هر درخت
(متر مربع)]]</f>
        <v>1800</v>
      </c>
      <c r="J30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0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00" s="8">
        <f>IF(Table13[[#This Row],[آیا
Achech  &gt;  Atree]]=1, 1, Table13[[#This Row],[Psh]]+(0.15*(1-Table13[[#This Row],[Psh]])))</f>
        <v>1</v>
      </c>
      <c r="M300" s="8">
        <f>IF(Table13[[#This Row],[آیا
Achech  &gt;  Atree]]=1, 0.65, 1)</f>
        <v>0.65</v>
      </c>
      <c r="N30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170</v>
      </c>
      <c r="O30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0.85</v>
      </c>
    </row>
    <row r="301" spans="2:15" x14ac:dyDescent="0.3">
      <c r="B301" s="4" t="s">
        <v>998</v>
      </c>
      <c r="C301" s="4">
        <v>374</v>
      </c>
      <c r="D301" s="4">
        <v>111</v>
      </c>
      <c r="E301" s="4">
        <v>345</v>
      </c>
      <c r="F301" s="4">
        <v>8693</v>
      </c>
      <c r="G301" s="16" t="s">
        <v>7</v>
      </c>
      <c r="H301" s="4">
        <v>9</v>
      </c>
      <c r="I301" s="4">
        <f>Table13[[#This Row],[تعداد کل درخت‏های تحت آبیاری
(اصله مستقل)
(N)]]*Table13[[#This Row],[سطح پوشش مفروض برای هر درخت
(متر مربع)]]</f>
        <v>999</v>
      </c>
      <c r="J30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0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01" s="8">
        <f>IF(Table13[[#This Row],[آیا
Achech  &gt;  Atree]]=1, 1, Table13[[#This Row],[Psh]]+(0.15*(1-Table13[[#This Row],[Psh]])))</f>
        <v>1</v>
      </c>
      <c r="M301" s="8">
        <f>IF(Table13[[#This Row],[آیا
Achech  &gt;  Atree]]=1, 0.65, 1)</f>
        <v>0.65</v>
      </c>
      <c r="N30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345</v>
      </c>
      <c r="O30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3.1081081081081079</v>
      </c>
    </row>
    <row r="302" spans="2:15" x14ac:dyDescent="0.3">
      <c r="B302" s="4" t="s">
        <v>999</v>
      </c>
      <c r="C302" s="4">
        <v>299</v>
      </c>
      <c r="D302" s="4">
        <v>299</v>
      </c>
      <c r="E302" s="4">
        <v>2981</v>
      </c>
      <c r="F302" s="4">
        <v>2981</v>
      </c>
      <c r="G302" s="16" t="s">
        <v>286</v>
      </c>
      <c r="H302" s="4">
        <v>9</v>
      </c>
      <c r="I302" s="4">
        <f>Table13[[#This Row],[تعداد کل درخت‏های تحت آبیاری
(اصله مستقل)
(N)]]*Table13[[#This Row],[سطح پوشش مفروض برای هر درخت
(متر مربع)]]</f>
        <v>2691</v>
      </c>
      <c r="J30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0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0.90271720899027175</v>
      </c>
      <c r="L302" s="8">
        <f>IF(Table13[[#This Row],[آیا
Achech  &gt;  Atree]]=1, 1, Table13[[#This Row],[Psh]]+(0.15*(1-Table13[[#This Row],[Psh]])))</f>
        <v>0.91730962764173096</v>
      </c>
      <c r="M302" s="8">
        <f>IF(Table13[[#This Row],[آیا
Achech  &gt;  Atree]]=1, 0.65, 1)</f>
        <v>1</v>
      </c>
      <c r="N30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2691</v>
      </c>
      <c r="O30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03" spans="2:15" x14ac:dyDescent="0.3">
      <c r="B303" s="4" t="s">
        <v>1000</v>
      </c>
      <c r="C303" s="4">
        <v>828</v>
      </c>
      <c r="D303" s="4">
        <v>468.53333333333336</v>
      </c>
      <c r="E303" s="4">
        <v>6200</v>
      </c>
      <c r="F303" s="4">
        <v>6200</v>
      </c>
      <c r="G303" s="16" t="s">
        <v>286</v>
      </c>
      <c r="H303" s="4">
        <v>9</v>
      </c>
      <c r="I303" s="4">
        <f>Table13[[#This Row],[تعداد کل درخت‏های تحت آبیاری
(اصله مستقل)
(N)]]*Table13[[#This Row],[سطح پوشش مفروض برای هر درخت
(متر مربع)]]</f>
        <v>4216.8</v>
      </c>
      <c r="J30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0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0.68012903225806454</v>
      </c>
      <c r="L303" s="8">
        <f>IF(Table13[[#This Row],[آیا
Achech  &gt;  Atree]]=1, 1, Table13[[#This Row],[Psh]]+(0.15*(1-Table13[[#This Row],[Psh]])))</f>
        <v>0.72810967741935484</v>
      </c>
      <c r="M303" s="8">
        <f>IF(Table13[[#This Row],[آیا
Achech  &gt;  Atree]]=1, 0.65, 1)</f>
        <v>1</v>
      </c>
      <c r="N30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4216.8</v>
      </c>
      <c r="O30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04" spans="2:15" x14ac:dyDescent="0.3">
      <c r="B304" s="4" t="s">
        <v>1001</v>
      </c>
      <c r="C304" s="4">
        <v>787</v>
      </c>
      <c r="D304" s="4">
        <v>1000.8</v>
      </c>
      <c r="E304" s="4">
        <v>14225</v>
      </c>
      <c r="F304" s="4">
        <v>14225</v>
      </c>
      <c r="G304" s="16" t="s">
        <v>286</v>
      </c>
      <c r="H304" s="4">
        <v>9</v>
      </c>
      <c r="I304" s="4">
        <f>Table13[[#This Row],[تعداد کل درخت‏های تحت آبیاری
(اصله مستقل)
(N)]]*Table13[[#This Row],[سطح پوشش مفروض برای هر درخت
(متر مربع)]]</f>
        <v>9007.1999999999989</v>
      </c>
      <c r="J30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0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0.63319507908611594</v>
      </c>
      <c r="L304" s="8">
        <f>IF(Table13[[#This Row],[آیا
Achech  &gt;  Atree]]=1, 1, Table13[[#This Row],[Psh]]+(0.15*(1-Table13[[#This Row],[Psh]])))</f>
        <v>0.68821581722319858</v>
      </c>
      <c r="M304" s="8">
        <f>IF(Table13[[#This Row],[آیا
Achech  &gt;  Atree]]=1, 0.65, 1)</f>
        <v>1</v>
      </c>
      <c r="N30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9007.1999999999989</v>
      </c>
      <c r="O30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05" spans="2:15" x14ac:dyDescent="0.3">
      <c r="B305" s="4" t="s">
        <v>1002</v>
      </c>
      <c r="C305" s="4">
        <v>722</v>
      </c>
      <c r="D305" s="4">
        <v>281.46666666666664</v>
      </c>
      <c r="E305" s="4">
        <v>3500</v>
      </c>
      <c r="F305" s="4">
        <v>3500</v>
      </c>
      <c r="G305" s="16" t="s">
        <v>286</v>
      </c>
      <c r="H305" s="4">
        <v>9</v>
      </c>
      <c r="I305" s="4">
        <f>Table13[[#This Row],[تعداد کل درخت‏های تحت آبیاری
(اصله مستقل)
(N)]]*Table13[[#This Row],[سطح پوشش مفروض برای هر درخت
(متر مربع)]]</f>
        <v>2533.1999999999998</v>
      </c>
      <c r="J30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0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0.72377142857142851</v>
      </c>
      <c r="L305" s="8">
        <f>IF(Table13[[#This Row],[آیا
Achech  &gt;  Atree]]=1, 1, Table13[[#This Row],[Psh]]+(0.15*(1-Table13[[#This Row],[Psh]])))</f>
        <v>0.76520571428571427</v>
      </c>
      <c r="M305" s="8">
        <f>IF(Table13[[#This Row],[آیا
Achech  &gt;  Atree]]=1, 0.65, 1)</f>
        <v>1</v>
      </c>
      <c r="N30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2533.1999999999998</v>
      </c>
      <c r="O30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06" spans="2:15" x14ac:dyDescent="0.3">
      <c r="B306" s="4" t="s">
        <v>1016</v>
      </c>
      <c r="C306" s="4">
        <v>359</v>
      </c>
      <c r="D306" s="4">
        <v>359</v>
      </c>
      <c r="E306" s="4">
        <v>1436</v>
      </c>
      <c r="F306" s="4">
        <v>5365</v>
      </c>
      <c r="G306" s="16" t="s">
        <v>7</v>
      </c>
      <c r="H306" s="4">
        <v>9</v>
      </c>
      <c r="I306" s="4">
        <f>Table13[[#This Row],[تعداد کل درخت‏های تحت آبیاری
(اصله مستقل)
(N)]]*Table13[[#This Row],[سطح پوشش مفروض برای هر درخت
(متر مربع)]]</f>
        <v>3231</v>
      </c>
      <c r="J30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0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06" s="8">
        <f>IF(Table13[[#This Row],[آیا
Achech  &gt;  Atree]]=1, 1, Table13[[#This Row],[Psh]]+(0.15*(1-Table13[[#This Row],[Psh]])))</f>
        <v>1</v>
      </c>
      <c r="M306" s="8">
        <f>IF(Table13[[#This Row],[آیا
Achech  &gt;  Atree]]=1, 0.65, 1)</f>
        <v>0.65</v>
      </c>
      <c r="N30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1436</v>
      </c>
      <c r="O30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</v>
      </c>
    </row>
    <row r="307" spans="2:15" x14ac:dyDescent="0.3">
      <c r="B307" s="4" t="s">
        <v>1017</v>
      </c>
      <c r="C307" s="4">
        <v>438</v>
      </c>
      <c r="D307" s="4">
        <v>357</v>
      </c>
      <c r="E307" s="4">
        <v>82</v>
      </c>
      <c r="F307" s="4">
        <v>7640</v>
      </c>
      <c r="G307" s="16" t="s">
        <v>7</v>
      </c>
      <c r="H307" s="4">
        <v>9</v>
      </c>
      <c r="I307" s="4">
        <f>Table13[[#This Row],[تعداد کل درخت‏های تحت آبیاری
(اصله مستقل)
(N)]]*Table13[[#This Row],[سطح پوشش مفروض برای هر درخت
(متر مربع)]]</f>
        <v>3213</v>
      </c>
      <c r="J30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0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07" s="8">
        <f>IF(Table13[[#This Row],[آیا
Achech  &gt;  Atree]]=1, 1, Table13[[#This Row],[Psh]]+(0.15*(1-Table13[[#This Row],[Psh]])))</f>
        <v>1</v>
      </c>
      <c r="M307" s="8">
        <f>IF(Table13[[#This Row],[آیا
Achech  &gt;  Atree]]=1, 0.65, 1)</f>
        <v>0.65</v>
      </c>
      <c r="N30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82</v>
      </c>
      <c r="O30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0.22969187675070027</v>
      </c>
    </row>
    <row r="308" spans="2:15" x14ac:dyDescent="0.3">
      <c r="B308" s="4" t="s">
        <v>1018</v>
      </c>
      <c r="C308" s="4">
        <v>269</v>
      </c>
      <c r="D308" s="4">
        <v>197</v>
      </c>
      <c r="E308" s="4">
        <v>418</v>
      </c>
      <c r="F308" s="4">
        <v>1945</v>
      </c>
      <c r="G308" s="16" t="s">
        <v>7</v>
      </c>
      <c r="H308" s="4">
        <v>9</v>
      </c>
      <c r="I308" s="4">
        <f>Table13[[#This Row],[تعداد کل درخت‏های تحت آبیاری
(اصله مستقل)
(N)]]*Table13[[#This Row],[سطح پوشش مفروض برای هر درخت
(متر مربع)]]</f>
        <v>1773</v>
      </c>
      <c r="J30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0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08" s="8">
        <f>IF(Table13[[#This Row],[آیا
Achech  &gt;  Atree]]=1, 1, Table13[[#This Row],[Psh]]+(0.15*(1-Table13[[#This Row],[Psh]])))</f>
        <v>1</v>
      </c>
      <c r="M308" s="8">
        <f>IF(Table13[[#This Row],[آیا
Achech  &gt;  Atree]]=1, 0.65, 1)</f>
        <v>0.65</v>
      </c>
      <c r="N30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418</v>
      </c>
      <c r="O30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2.1218274111675126</v>
      </c>
    </row>
    <row r="309" spans="2:15" x14ac:dyDescent="0.3">
      <c r="B309" s="4" t="s">
        <v>1019</v>
      </c>
      <c r="C309" s="4">
        <v>1461</v>
      </c>
      <c r="D309" s="4">
        <v>673</v>
      </c>
      <c r="E309" s="4">
        <v>4566</v>
      </c>
      <c r="F309" s="4">
        <v>12380</v>
      </c>
      <c r="G309" s="16" t="s">
        <v>7</v>
      </c>
      <c r="H309" s="4">
        <v>9</v>
      </c>
      <c r="I309" s="4">
        <f>Table13[[#This Row],[تعداد کل درخت‏های تحت آبیاری
(اصله مستقل)
(N)]]*Table13[[#This Row],[سطح پوشش مفروض برای هر درخت
(متر مربع)]]</f>
        <v>6057</v>
      </c>
      <c r="J30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0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09" s="8">
        <f>IF(Table13[[#This Row],[آیا
Achech  &gt;  Atree]]=1, 1, Table13[[#This Row],[Psh]]+(0.15*(1-Table13[[#This Row],[Psh]])))</f>
        <v>1</v>
      </c>
      <c r="M309" s="8">
        <f>IF(Table13[[#This Row],[آیا
Achech  &gt;  Atree]]=1, 0.65, 1)</f>
        <v>0.65</v>
      </c>
      <c r="N30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4566</v>
      </c>
      <c r="O30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6.7845468053491826</v>
      </c>
    </row>
    <row r="310" spans="2:15" x14ac:dyDescent="0.3">
      <c r="B310" s="4" t="s">
        <v>1020</v>
      </c>
      <c r="C310" s="4">
        <v>1444</v>
      </c>
      <c r="D310" s="4">
        <v>281</v>
      </c>
      <c r="E310" s="4">
        <v>600</v>
      </c>
      <c r="F310" s="4">
        <v>26307</v>
      </c>
      <c r="G310" s="16" t="s">
        <v>7</v>
      </c>
      <c r="H310" s="4">
        <v>9</v>
      </c>
      <c r="I310" s="4">
        <f>Table13[[#This Row],[تعداد کل درخت‏های تحت آبیاری
(اصله مستقل)
(N)]]*Table13[[#This Row],[سطح پوشش مفروض برای هر درخت
(متر مربع)]]</f>
        <v>2529</v>
      </c>
      <c r="J31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1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10" s="8">
        <f>IF(Table13[[#This Row],[آیا
Achech  &gt;  Atree]]=1, 1, Table13[[#This Row],[Psh]]+(0.15*(1-Table13[[#This Row],[Psh]])))</f>
        <v>1</v>
      </c>
      <c r="M310" s="8">
        <f>IF(Table13[[#This Row],[آیا
Achech  &gt;  Atree]]=1, 0.65, 1)</f>
        <v>0.65</v>
      </c>
      <c r="N31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600</v>
      </c>
      <c r="O31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2.1352313167259784</v>
      </c>
    </row>
    <row r="311" spans="2:15" x14ac:dyDescent="0.3">
      <c r="B311" s="4" t="s">
        <v>1021</v>
      </c>
      <c r="C311" s="4">
        <v>120</v>
      </c>
      <c r="D311" s="4">
        <v>42</v>
      </c>
      <c r="E311" s="4">
        <v>260</v>
      </c>
      <c r="F311" s="4">
        <v>1771</v>
      </c>
      <c r="G311" s="16" t="s">
        <v>7</v>
      </c>
      <c r="H311" s="4">
        <v>9</v>
      </c>
      <c r="I311" s="4">
        <f>Table13[[#This Row],[تعداد کل درخت‏های تحت آبیاری
(اصله مستقل)
(N)]]*Table13[[#This Row],[سطح پوشش مفروض برای هر درخت
(متر مربع)]]</f>
        <v>378</v>
      </c>
      <c r="J31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1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11" s="8">
        <f>IF(Table13[[#This Row],[آیا
Achech  &gt;  Atree]]=1, 1, Table13[[#This Row],[Psh]]+(0.15*(1-Table13[[#This Row],[Psh]])))</f>
        <v>1</v>
      </c>
      <c r="M311" s="8">
        <f>IF(Table13[[#This Row],[آیا
Achech  &gt;  Atree]]=1, 0.65, 1)</f>
        <v>0.65</v>
      </c>
      <c r="N31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260</v>
      </c>
      <c r="O31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6.1904761904761907</v>
      </c>
    </row>
    <row r="312" spans="2:15" x14ac:dyDescent="0.3">
      <c r="B312" s="4" t="s">
        <v>1022</v>
      </c>
      <c r="C312" s="4">
        <v>328</v>
      </c>
      <c r="D312" s="4">
        <v>328</v>
      </c>
      <c r="E312" s="4">
        <v>1500</v>
      </c>
      <c r="F312" s="4">
        <v>2337</v>
      </c>
      <c r="G312" s="16" t="s">
        <v>7</v>
      </c>
      <c r="H312" s="4">
        <v>9</v>
      </c>
      <c r="I312" s="4">
        <f>Table13[[#This Row],[تعداد کل درخت‏های تحت آبیاری
(اصله مستقل)
(N)]]*Table13[[#This Row],[سطح پوشش مفروض برای هر درخت
(متر مربع)]]</f>
        <v>2952</v>
      </c>
      <c r="J31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1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12" s="8">
        <f>IF(Table13[[#This Row],[آیا
Achech  &gt;  Atree]]=1, 1, Table13[[#This Row],[Psh]]+(0.15*(1-Table13[[#This Row],[Psh]])))</f>
        <v>1</v>
      </c>
      <c r="M312" s="8">
        <f>IF(Table13[[#This Row],[آیا
Achech  &gt;  Atree]]=1, 0.65, 1)</f>
        <v>0.65</v>
      </c>
      <c r="N31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1500</v>
      </c>
      <c r="O31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4.5731707317073171</v>
      </c>
    </row>
    <row r="313" spans="2:15" x14ac:dyDescent="0.3">
      <c r="B313" s="4" t="s">
        <v>1023</v>
      </c>
      <c r="C313" s="4">
        <v>190</v>
      </c>
      <c r="D313" s="4">
        <v>40</v>
      </c>
      <c r="E313" s="4">
        <v>78</v>
      </c>
      <c r="F313" s="4">
        <v>3271</v>
      </c>
      <c r="G313" s="16" t="s">
        <v>7</v>
      </c>
      <c r="H313" s="4">
        <v>9</v>
      </c>
      <c r="I313" s="4">
        <f>Table13[[#This Row],[تعداد کل درخت‏های تحت آبیاری
(اصله مستقل)
(N)]]*Table13[[#This Row],[سطح پوشش مفروض برای هر درخت
(متر مربع)]]</f>
        <v>360</v>
      </c>
      <c r="J31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1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13" s="8">
        <f>IF(Table13[[#This Row],[آیا
Achech  &gt;  Atree]]=1, 1, Table13[[#This Row],[Psh]]+(0.15*(1-Table13[[#This Row],[Psh]])))</f>
        <v>1</v>
      </c>
      <c r="M313" s="8">
        <f>IF(Table13[[#This Row],[آیا
Achech  &gt;  Atree]]=1, 0.65, 1)</f>
        <v>0.65</v>
      </c>
      <c r="N31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78</v>
      </c>
      <c r="O31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1.95</v>
      </c>
    </row>
    <row r="314" spans="2:15" x14ac:dyDescent="0.3">
      <c r="B314" s="4" t="s">
        <v>1024</v>
      </c>
      <c r="C314" s="4">
        <v>187</v>
      </c>
      <c r="D314" s="4">
        <v>187</v>
      </c>
      <c r="E314" s="4">
        <v>1650</v>
      </c>
      <c r="F314" s="4">
        <v>2190</v>
      </c>
      <c r="G314" s="16" t="s">
        <v>286</v>
      </c>
      <c r="H314" s="4">
        <v>9</v>
      </c>
      <c r="I314" s="4">
        <f>Table13[[#This Row],[تعداد کل درخت‏های تحت آبیاری
(اصله مستقل)
(N)]]*Table13[[#This Row],[سطح پوشش مفروض برای هر درخت
(متر مربع)]]</f>
        <v>1683</v>
      </c>
      <c r="J31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1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14" s="8">
        <f>IF(Table13[[#This Row],[آیا
Achech  &gt;  Atree]]=1, 1, Table13[[#This Row],[Psh]]+(0.15*(1-Table13[[#This Row],[Psh]])))</f>
        <v>1</v>
      </c>
      <c r="M314" s="8">
        <f>IF(Table13[[#This Row],[آیا
Achech  &gt;  Atree]]=1, 0.65, 1)</f>
        <v>0.65</v>
      </c>
      <c r="N31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1650</v>
      </c>
      <c r="O31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8.8235294117647065</v>
      </c>
    </row>
    <row r="315" spans="2:15" x14ac:dyDescent="0.3">
      <c r="B315" s="4" t="s">
        <v>1025</v>
      </c>
      <c r="C315" s="4">
        <v>283</v>
      </c>
      <c r="D315" s="4">
        <v>283</v>
      </c>
      <c r="E315" s="4">
        <v>3270</v>
      </c>
      <c r="F315" s="4">
        <v>4335</v>
      </c>
      <c r="G315" s="16" t="s">
        <v>286</v>
      </c>
      <c r="H315" s="4">
        <v>9</v>
      </c>
      <c r="I315" s="4">
        <f>Table13[[#This Row],[تعداد کل درخت‏های تحت آبیاری
(اصله مستقل)
(N)]]*Table13[[#This Row],[سطح پوشش مفروض برای هر درخت
(متر مربع)]]</f>
        <v>2547</v>
      </c>
      <c r="J31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1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0.77889908256880735</v>
      </c>
      <c r="L315" s="8">
        <f>IF(Table13[[#This Row],[آیا
Achech  &gt;  Atree]]=1, 1, Table13[[#This Row],[Psh]]+(0.15*(1-Table13[[#This Row],[Psh]])))</f>
        <v>0.81206422018348623</v>
      </c>
      <c r="M315" s="8">
        <f>IF(Table13[[#This Row],[آیا
Achech  &gt;  Atree]]=1, 0.65, 1)</f>
        <v>1</v>
      </c>
      <c r="N31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2547</v>
      </c>
      <c r="O31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16" spans="2:15" x14ac:dyDescent="0.3">
      <c r="B316" s="4" t="s">
        <v>1026</v>
      </c>
      <c r="C316" s="4">
        <v>121</v>
      </c>
      <c r="D316" s="4">
        <v>16</v>
      </c>
      <c r="E316" s="4">
        <v>58</v>
      </c>
      <c r="F316" s="4">
        <v>589</v>
      </c>
      <c r="G316" s="16" t="s">
        <v>286</v>
      </c>
      <c r="H316" s="4">
        <v>9</v>
      </c>
      <c r="I316" s="4">
        <f>Table13[[#This Row],[تعداد کل درخت‏های تحت آبیاری
(اصله مستقل)
(N)]]*Table13[[#This Row],[سطح پوشش مفروض برای هر درخت
(متر مربع)]]</f>
        <v>144</v>
      </c>
      <c r="J31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1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16" s="8">
        <f>IF(Table13[[#This Row],[آیا
Achech  &gt;  Atree]]=1, 1, Table13[[#This Row],[Psh]]+(0.15*(1-Table13[[#This Row],[Psh]])))</f>
        <v>1</v>
      </c>
      <c r="M316" s="8">
        <f>IF(Table13[[#This Row],[آیا
Achech  &gt;  Atree]]=1, 0.65, 1)</f>
        <v>0.65</v>
      </c>
      <c r="N31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58</v>
      </c>
      <c r="O31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3.625</v>
      </c>
    </row>
    <row r="317" spans="2:15" x14ac:dyDescent="0.3">
      <c r="B317" s="4" t="s">
        <v>1038</v>
      </c>
      <c r="C317" s="4">
        <v>4512</v>
      </c>
      <c r="D317" s="4">
        <v>4512</v>
      </c>
      <c r="E317" s="4">
        <v>54904</v>
      </c>
      <c r="F317" s="4">
        <v>100490</v>
      </c>
      <c r="G317" s="16" t="s">
        <v>286</v>
      </c>
      <c r="H317" s="4">
        <v>9</v>
      </c>
      <c r="I317" s="4">
        <f>Table13[[#This Row],[تعداد کل درخت‏های تحت آبیاری
(اصله مستقل)
(N)]]*Table13[[#This Row],[سطح پوشش مفروض برای هر درخت
(متر مربع)]]</f>
        <v>40608</v>
      </c>
      <c r="J31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1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0.73961824275098353</v>
      </c>
      <c r="L317" s="8">
        <f>IF(Table13[[#This Row],[آیا
Achech  &gt;  Atree]]=1, 1, Table13[[#This Row],[Psh]]+(0.15*(1-Table13[[#This Row],[Psh]])))</f>
        <v>0.77867550633833604</v>
      </c>
      <c r="M317" s="8">
        <f>IF(Table13[[#This Row],[آیا
Achech  &gt;  Atree]]=1, 0.65, 1)</f>
        <v>1</v>
      </c>
      <c r="N31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40608</v>
      </c>
      <c r="O31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18" spans="2:15" x14ac:dyDescent="0.3">
      <c r="B318" s="4" t="s">
        <v>1039</v>
      </c>
      <c r="C318" s="4">
        <v>11800</v>
      </c>
      <c r="D318" s="4">
        <v>11800</v>
      </c>
      <c r="E318" s="4">
        <v>188624</v>
      </c>
      <c r="F318" s="4">
        <v>191245</v>
      </c>
      <c r="G318" s="16" t="s">
        <v>286</v>
      </c>
      <c r="H318" s="4">
        <v>9</v>
      </c>
      <c r="I318" s="4">
        <f>Table13[[#This Row],[تعداد کل درخت‏های تحت آبیاری
(اصله مستقل)
(N)]]*Table13[[#This Row],[سطح پوشش مفروض برای هر درخت
(متر مربع)]]</f>
        <v>106200</v>
      </c>
      <c r="J31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1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0.56302485367715671</v>
      </c>
      <c r="L318" s="8">
        <f>IF(Table13[[#This Row],[آیا
Achech  &gt;  Atree]]=1, 1, Table13[[#This Row],[Psh]]+(0.15*(1-Table13[[#This Row],[Psh]])))</f>
        <v>0.62857112562558326</v>
      </c>
      <c r="M318" s="8">
        <f>IF(Table13[[#This Row],[آیا
Achech  &gt;  Atree]]=1, 0.65, 1)</f>
        <v>1</v>
      </c>
      <c r="N31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106200</v>
      </c>
      <c r="O31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19" spans="2:15" x14ac:dyDescent="0.3">
      <c r="B319" s="4" t="s">
        <v>1040</v>
      </c>
      <c r="C319" s="4">
        <v>5300</v>
      </c>
      <c r="D319" s="4">
        <v>5300</v>
      </c>
      <c r="E319" s="4">
        <v>81504</v>
      </c>
      <c r="F319" s="4">
        <v>86054</v>
      </c>
      <c r="G319" s="16" t="s">
        <v>286</v>
      </c>
      <c r="H319" s="4">
        <v>9</v>
      </c>
      <c r="I319" s="4">
        <f>Table13[[#This Row],[تعداد کل درخت‏های تحت آبیاری
(اصله مستقل)
(N)]]*Table13[[#This Row],[سطح پوشش مفروض برای هر درخت
(متر مربع)]]</f>
        <v>47700</v>
      </c>
      <c r="J31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1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0.58524734982332161</v>
      </c>
      <c r="L319" s="8">
        <f>IF(Table13[[#This Row],[آیا
Achech  &gt;  Atree]]=1, 1, Table13[[#This Row],[Psh]]+(0.15*(1-Table13[[#This Row],[Psh]])))</f>
        <v>0.64746024734982333</v>
      </c>
      <c r="M319" s="8">
        <f>IF(Table13[[#This Row],[آیا
Achech  &gt;  Atree]]=1, 0.65, 1)</f>
        <v>1</v>
      </c>
      <c r="N31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47700</v>
      </c>
      <c r="O31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20" spans="2:15" x14ac:dyDescent="0.3">
      <c r="B320" s="4" t="s">
        <v>1041</v>
      </c>
      <c r="C320" s="4">
        <v>3580</v>
      </c>
      <c r="D320" s="4">
        <v>3580</v>
      </c>
      <c r="E320" s="4">
        <v>116200</v>
      </c>
      <c r="F320" s="4">
        <v>116231</v>
      </c>
      <c r="G320" s="16" t="s">
        <v>286</v>
      </c>
      <c r="H320" s="4">
        <v>9</v>
      </c>
      <c r="I320" s="4">
        <f>Table13[[#This Row],[تعداد کل درخت‏های تحت آبیاری
(اصله مستقل)
(N)]]*Table13[[#This Row],[سطح پوشش مفروض برای هر درخت
(متر مربع)]]</f>
        <v>32220</v>
      </c>
      <c r="J32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2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0.27728055077452668</v>
      </c>
      <c r="L320" s="8">
        <f>IF(Table13[[#This Row],[آیا
Achech  &gt;  Atree]]=1, 1, Table13[[#This Row],[Psh]]+(0.15*(1-Table13[[#This Row],[Psh]])))</f>
        <v>0.38568846815834767</v>
      </c>
      <c r="M320" s="8">
        <f>IF(Table13[[#This Row],[آیا
Achech  &gt;  Atree]]=1, 0.65, 1)</f>
        <v>1</v>
      </c>
      <c r="N32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32220</v>
      </c>
      <c r="O32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21" spans="2:15" x14ac:dyDescent="0.3">
      <c r="B321" s="4" t="s">
        <v>1042</v>
      </c>
      <c r="C321" s="4">
        <v>21105</v>
      </c>
      <c r="D321" s="4">
        <v>21105</v>
      </c>
      <c r="E321" s="4">
        <v>320956</v>
      </c>
      <c r="F321" s="4">
        <v>320956</v>
      </c>
      <c r="G321" s="16" t="s">
        <v>286</v>
      </c>
      <c r="H321" s="4">
        <v>9</v>
      </c>
      <c r="I321" s="4">
        <f>Table13[[#This Row],[تعداد کل درخت‏های تحت آبیاری
(اصله مستقل)
(N)]]*Table13[[#This Row],[سطح پوشش مفروض برای هر درخت
(متر مربع)]]</f>
        <v>189945</v>
      </c>
      <c r="J32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2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0.59181009234910709</v>
      </c>
      <c r="L321" s="8">
        <f>IF(Table13[[#This Row],[آیا
Achech  &gt;  Atree]]=1, 1, Table13[[#This Row],[Psh]]+(0.15*(1-Table13[[#This Row],[Psh]])))</f>
        <v>0.65303857849674096</v>
      </c>
      <c r="M321" s="8">
        <f>IF(Table13[[#This Row],[آیا
Achech  &gt;  Atree]]=1, 0.65, 1)</f>
        <v>1</v>
      </c>
      <c r="N32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189945</v>
      </c>
      <c r="O32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22" spans="2:15" x14ac:dyDescent="0.3">
      <c r="B322" s="4" t="s">
        <v>1043</v>
      </c>
      <c r="C322" s="4">
        <v>37422</v>
      </c>
      <c r="D322" s="4">
        <v>37422</v>
      </c>
      <c r="E322" s="4">
        <v>869650</v>
      </c>
      <c r="F322" s="4">
        <v>890329</v>
      </c>
      <c r="G322" s="16" t="s">
        <v>286</v>
      </c>
      <c r="H322" s="4">
        <v>9</v>
      </c>
      <c r="I322" s="4">
        <f>Table13[[#This Row],[تعداد کل درخت‏های تحت آبیاری
(اصله مستقل)
(N)]]*Table13[[#This Row],[سطح پوشش مفروض برای هر درخت
(متر مربع)]]</f>
        <v>336798</v>
      </c>
      <c r="J32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2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0.38727994020582995</v>
      </c>
      <c r="L322" s="8">
        <f>IF(Table13[[#This Row],[آیا
Achech  &gt;  Atree]]=1, 1, Table13[[#This Row],[Psh]]+(0.15*(1-Table13[[#This Row],[Psh]])))</f>
        <v>0.47918794917495544</v>
      </c>
      <c r="M322" s="8">
        <f>IF(Table13[[#This Row],[آیا
Achech  &gt;  Atree]]=1, 0.65, 1)</f>
        <v>1</v>
      </c>
      <c r="N32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336798</v>
      </c>
      <c r="O32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23" spans="2:15" x14ac:dyDescent="0.3">
      <c r="B323" s="4" t="s">
        <v>1044</v>
      </c>
      <c r="C323" s="4">
        <v>1900</v>
      </c>
      <c r="D323" s="4">
        <v>1900</v>
      </c>
      <c r="E323" s="4">
        <v>44400</v>
      </c>
      <c r="F323" s="4">
        <v>44400</v>
      </c>
      <c r="G323" s="16" t="s">
        <v>286</v>
      </c>
      <c r="H323" s="4">
        <v>9</v>
      </c>
      <c r="I323" s="4">
        <f>Table13[[#This Row],[تعداد کل درخت‏های تحت آبیاری
(اصله مستقل)
(N)]]*Table13[[#This Row],[سطح پوشش مفروض برای هر درخت
(متر مربع)]]</f>
        <v>17100</v>
      </c>
      <c r="J32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2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0.38513513513513514</v>
      </c>
      <c r="L323" s="8">
        <f>IF(Table13[[#This Row],[آیا
Achech  &gt;  Atree]]=1, 1, Table13[[#This Row],[Psh]]+(0.15*(1-Table13[[#This Row],[Psh]])))</f>
        <v>0.47736486486486485</v>
      </c>
      <c r="M323" s="8">
        <f>IF(Table13[[#This Row],[آیا
Achech  &gt;  Atree]]=1, 0.65, 1)</f>
        <v>1</v>
      </c>
      <c r="N32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17100</v>
      </c>
      <c r="O32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24" spans="2:15" x14ac:dyDescent="0.3">
      <c r="B324" s="4" t="s">
        <v>1066</v>
      </c>
      <c r="C324" s="4">
        <v>199</v>
      </c>
      <c r="D324" s="4">
        <v>75</v>
      </c>
      <c r="E324" s="4">
        <v>196</v>
      </c>
      <c r="F324" s="4">
        <v>3757</v>
      </c>
      <c r="G324" s="16" t="s">
        <v>7</v>
      </c>
      <c r="H324" s="4">
        <v>9</v>
      </c>
      <c r="I324" s="4">
        <f>Table13[[#This Row],[تعداد کل درخت‏های تحت آبیاری
(اصله مستقل)
(N)]]*Table13[[#This Row],[سطح پوشش مفروض برای هر درخت
(متر مربع)]]</f>
        <v>675</v>
      </c>
      <c r="J32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2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24" s="8">
        <f>IF(Table13[[#This Row],[آیا
Achech  &gt;  Atree]]=1, 1, Table13[[#This Row],[Psh]]+(0.15*(1-Table13[[#This Row],[Psh]])))</f>
        <v>1</v>
      </c>
      <c r="M324" s="8">
        <f>IF(Table13[[#This Row],[آیا
Achech  &gt;  Atree]]=1, 0.65, 1)</f>
        <v>0.65</v>
      </c>
      <c r="N32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196</v>
      </c>
      <c r="O32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2.6133333333333333</v>
      </c>
    </row>
    <row r="325" spans="2:15" x14ac:dyDescent="0.3">
      <c r="B325" s="4" t="s">
        <v>1067</v>
      </c>
      <c r="C325" s="4">
        <v>166</v>
      </c>
      <c r="D325" s="4">
        <v>54</v>
      </c>
      <c r="E325" s="4">
        <v>58</v>
      </c>
      <c r="F325" s="4">
        <v>3203</v>
      </c>
      <c r="G325" s="16" t="s">
        <v>7</v>
      </c>
      <c r="H325" s="4">
        <v>9</v>
      </c>
      <c r="I325" s="4">
        <f>Table13[[#This Row],[تعداد کل درخت‏های تحت آبیاری
(اصله مستقل)
(N)]]*Table13[[#This Row],[سطح پوشش مفروض برای هر درخت
(متر مربع)]]</f>
        <v>486</v>
      </c>
      <c r="J32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2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25" s="8">
        <f>IF(Table13[[#This Row],[آیا
Achech  &gt;  Atree]]=1, 1, Table13[[#This Row],[Psh]]+(0.15*(1-Table13[[#This Row],[Psh]])))</f>
        <v>1</v>
      </c>
      <c r="M325" s="8">
        <f>IF(Table13[[#This Row],[آیا
Achech  &gt;  Atree]]=1, 0.65, 1)</f>
        <v>0.65</v>
      </c>
      <c r="N32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58</v>
      </c>
      <c r="O32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1.0740740740740742</v>
      </c>
    </row>
    <row r="326" spans="2:15" x14ac:dyDescent="0.3">
      <c r="B326" s="4" t="s">
        <v>1068</v>
      </c>
      <c r="C326" s="4">
        <v>765</v>
      </c>
      <c r="D326" s="4">
        <v>245</v>
      </c>
      <c r="E326" s="4">
        <v>680</v>
      </c>
      <c r="F326" s="4">
        <v>8632</v>
      </c>
      <c r="G326" s="16" t="s">
        <v>7</v>
      </c>
      <c r="H326" s="4">
        <v>9</v>
      </c>
      <c r="I326" s="4">
        <f>Table13[[#This Row],[تعداد کل درخت‏های تحت آبیاری
(اصله مستقل)
(N)]]*Table13[[#This Row],[سطح پوشش مفروض برای هر درخت
(متر مربع)]]</f>
        <v>2205</v>
      </c>
      <c r="J32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2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26" s="8">
        <f>IF(Table13[[#This Row],[آیا
Achech  &gt;  Atree]]=1, 1, Table13[[#This Row],[Psh]]+(0.15*(1-Table13[[#This Row],[Psh]])))</f>
        <v>1</v>
      </c>
      <c r="M326" s="8">
        <f>IF(Table13[[#This Row],[آیا
Achech  &gt;  Atree]]=1, 0.65, 1)</f>
        <v>0.65</v>
      </c>
      <c r="N32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680</v>
      </c>
      <c r="O32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2.7755102040816326</v>
      </c>
    </row>
    <row r="327" spans="2:15" x14ac:dyDescent="0.3">
      <c r="B327" s="4" t="s">
        <v>1069</v>
      </c>
      <c r="C327" s="4">
        <v>913</v>
      </c>
      <c r="D327" s="4">
        <v>450</v>
      </c>
      <c r="E327" s="4">
        <v>1075</v>
      </c>
      <c r="F327" s="4">
        <v>12593</v>
      </c>
      <c r="G327" s="16" t="s">
        <v>7</v>
      </c>
      <c r="H327" s="4">
        <v>9</v>
      </c>
      <c r="I327" s="4">
        <f>Table13[[#This Row],[تعداد کل درخت‏های تحت آبیاری
(اصله مستقل)
(N)]]*Table13[[#This Row],[سطح پوشش مفروض برای هر درخت
(متر مربع)]]</f>
        <v>4050</v>
      </c>
      <c r="J32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2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27" s="8">
        <f>IF(Table13[[#This Row],[آیا
Achech  &gt;  Atree]]=1, 1, Table13[[#This Row],[Psh]]+(0.15*(1-Table13[[#This Row],[Psh]])))</f>
        <v>1</v>
      </c>
      <c r="M327" s="8">
        <f>IF(Table13[[#This Row],[آیا
Achech  &gt;  Atree]]=1, 0.65, 1)</f>
        <v>0.65</v>
      </c>
      <c r="N32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1075</v>
      </c>
      <c r="O32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2.3888888888888888</v>
      </c>
    </row>
    <row r="328" spans="2:15" x14ac:dyDescent="0.3">
      <c r="B328" s="4" t="s">
        <v>1070</v>
      </c>
      <c r="C328" s="4">
        <v>774</v>
      </c>
      <c r="D328" s="4">
        <v>60</v>
      </c>
      <c r="E328" s="4">
        <v>60</v>
      </c>
      <c r="F328" s="4">
        <v>21609</v>
      </c>
      <c r="G328" s="16" t="s">
        <v>7</v>
      </c>
      <c r="H328" s="4">
        <v>9</v>
      </c>
      <c r="I328" s="4">
        <f>Table13[[#This Row],[تعداد کل درخت‏های تحت آبیاری
(اصله مستقل)
(N)]]*Table13[[#This Row],[سطح پوشش مفروض برای هر درخت
(متر مربع)]]</f>
        <v>540</v>
      </c>
      <c r="J32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2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28" s="8">
        <f>IF(Table13[[#This Row],[آیا
Achech  &gt;  Atree]]=1, 1, Table13[[#This Row],[Psh]]+(0.15*(1-Table13[[#This Row],[Psh]])))</f>
        <v>1</v>
      </c>
      <c r="M328" s="8">
        <f>IF(Table13[[#This Row],[آیا
Achech  &gt;  Atree]]=1, 0.65, 1)</f>
        <v>0.65</v>
      </c>
      <c r="N32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60</v>
      </c>
      <c r="O32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329" spans="2:15" x14ac:dyDescent="0.3">
      <c r="B329" s="4" t="s">
        <v>1071</v>
      </c>
      <c r="C329" s="4">
        <v>676</v>
      </c>
      <c r="D329" s="4">
        <v>92</v>
      </c>
      <c r="E329" s="4">
        <v>120</v>
      </c>
      <c r="F329" s="4">
        <v>16225</v>
      </c>
      <c r="G329" s="16" t="s">
        <v>7</v>
      </c>
      <c r="H329" s="4">
        <v>9</v>
      </c>
      <c r="I329" s="4">
        <f>Table13[[#This Row],[تعداد کل درخت‏های تحت آبیاری
(اصله مستقل)
(N)]]*Table13[[#This Row],[سطح پوشش مفروض برای هر درخت
(متر مربع)]]</f>
        <v>828</v>
      </c>
      <c r="J32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2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29" s="8">
        <f>IF(Table13[[#This Row],[آیا
Achech  &gt;  Atree]]=1, 1, Table13[[#This Row],[Psh]]+(0.15*(1-Table13[[#This Row],[Psh]])))</f>
        <v>1</v>
      </c>
      <c r="M329" s="8">
        <f>IF(Table13[[#This Row],[آیا
Achech  &gt;  Atree]]=1, 0.65, 1)</f>
        <v>0.65</v>
      </c>
      <c r="N32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120</v>
      </c>
      <c r="O32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1.3043478260869565</v>
      </c>
    </row>
    <row r="330" spans="2:15" x14ac:dyDescent="0.3">
      <c r="B330" s="4" t="s">
        <v>1072</v>
      </c>
      <c r="C330" s="4">
        <v>320</v>
      </c>
      <c r="D330" s="4">
        <v>209</v>
      </c>
      <c r="E330" s="4">
        <v>380</v>
      </c>
      <c r="F330" s="4">
        <v>2710</v>
      </c>
      <c r="G330" s="16" t="s">
        <v>7</v>
      </c>
      <c r="H330" s="4">
        <v>9</v>
      </c>
      <c r="I330" s="4">
        <f>Table13[[#This Row],[تعداد کل درخت‏های تحت آبیاری
(اصله مستقل)
(N)]]*Table13[[#This Row],[سطح پوشش مفروض برای هر درخت
(متر مربع)]]</f>
        <v>1881</v>
      </c>
      <c r="J33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3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30" s="8">
        <f>IF(Table13[[#This Row],[آیا
Achech  &gt;  Atree]]=1, 1, Table13[[#This Row],[Psh]]+(0.15*(1-Table13[[#This Row],[Psh]])))</f>
        <v>1</v>
      </c>
      <c r="M330" s="8">
        <f>IF(Table13[[#This Row],[آیا
Achech  &gt;  Atree]]=1, 0.65, 1)</f>
        <v>0.65</v>
      </c>
      <c r="N33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380</v>
      </c>
      <c r="O33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1.8181818181818181</v>
      </c>
    </row>
    <row r="331" spans="2:15" x14ac:dyDescent="0.3">
      <c r="B331" s="4" t="s">
        <v>1073</v>
      </c>
      <c r="C331" s="4">
        <v>400</v>
      </c>
      <c r="D331" s="4">
        <v>174.06666666666666</v>
      </c>
      <c r="E331" s="4">
        <v>2450</v>
      </c>
      <c r="F331" s="4">
        <v>6948</v>
      </c>
      <c r="G331" s="16" t="s">
        <v>7</v>
      </c>
      <c r="H331" s="4">
        <v>9</v>
      </c>
      <c r="I331" s="4">
        <f>Table13[[#This Row],[تعداد کل درخت‏های تحت آبیاری
(اصله مستقل)
(N)]]*Table13[[#This Row],[سطح پوشش مفروض برای هر درخت
(متر مربع)]]</f>
        <v>1566.6</v>
      </c>
      <c r="J33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3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0.63942857142857135</v>
      </c>
      <c r="L331" s="8">
        <f>IF(Table13[[#This Row],[آیا
Achech  &gt;  Atree]]=1, 1, Table13[[#This Row],[Psh]]+(0.15*(1-Table13[[#This Row],[Psh]])))</f>
        <v>0.69351428571428564</v>
      </c>
      <c r="M331" s="8">
        <f>IF(Table13[[#This Row],[آیا
Achech  &gt;  Atree]]=1, 0.65, 1)</f>
        <v>1</v>
      </c>
      <c r="N33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1566.6</v>
      </c>
      <c r="O33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32" spans="2:15" x14ac:dyDescent="0.3">
      <c r="B332" s="4" t="s">
        <v>1074</v>
      </c>
      <c r="C332" s="4">
        <v>370</v>
      </c>
      <c r="D332" s="4">
        <v>168</v>
      </c>
      <c r="E332" s="4">
        <v>160</v>
      </c>
      <c r="F332" s="4">
        <v>5991</v>
      </c>
      <c r="G332" s="16" t="s">
        <v>7</v>
      </c>
      <c r="H332" s="4">
        <v>9</v>
      </c>
      <c r="I332" s="4">
        <f>Table13[[#This Row],[تعداد کل درخت‏های تحت آبیاری
(اصله مستقل)
(N)]]*Table13[[#This Row],[سطح پوشش مفروض برای هر درخت
(متر مربع)]]</f>
        <v>1512</v>
      </c>
      <c r="J33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3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32" s="8">
        <f>IF(Table13[[#This Row],[آیا
Achech  &gt;  Atree]]=1, 1, Table13[[#This Row],[Psh]]+(0.15*(1-Table13[[#This Row],[Psh]])))</f>
        <v>1</v>
      </c>
      <c r="M332" s="8">
        <f>IF(Table13[[#This Row],[آیا
Achech  &gt;  Atree]]=1, 0.65, 1)</f>
        <v>0.65</v>
      </c>
      <c r="N33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160</v>
      </c>
      <c r="O33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0.95238095238095233</v>
      </c>
    </row>
    <row r="333" spans="2:15" x14ac:dyDescent="0.3">
      <c r="B333" s="4" t="s">
        <v>1075</v>
      </c>
      <c r="C333" s="4">
        <v>1750</v>
      </c>
      <c r="D333" s="4">
        <v>1270</v>
      </c>
      <c r="E333" s="4">
        <v>2077</v>
      </c>
      <c r="F333" s="4">
        <v>16294</v>
      </c>
      <c r="G333" s="16" t="s">
        <v>7</v>
      </c>
      <c r="H333" s="4">
        <v>9</v>
      </c>
      <c r="I333" s="4">
        <f>Table13[[#This Row],[تعداد کل درخت‏های تحت آبیاری
(اصله مستقل)
(N)]]*Table13[[#This Row],[سطح پوشش مفروض برای هر درخت
(متر مربع)]]</f>
        <v>11430</v>
      </c>
      <c r="J33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3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33" s="8">
        <f>IF(Table13[[#This Row],[آیا
Achech  &gt;  Atree]]=1, 1, Table13[[#This Row],[Psh]]+(0.15*(1-Table13[[#This Row],[Psh]])))</f>
        <v>1</v>
      </c>
      <c r="M333" s="8">
        <f>IF(Table13[[#This Row],[آیا
Achech  &gt;  Atree]]=1, 0.65, 1)</f>
        <v>0.65</v>
      </c>
      <c r="N33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2077</v>
      </c>
      <c r="O33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1.6354330708661418</v>
      </c>
    </row>
    <row r="334" spans="2:15" x14ac:dyDescent="0.3">
      <c r="B334" s="4" t="s">
        <v>1076</v>
      </c>
      <c r="C334" s="4">
        <v>1217</v>
      </c>
      <c r="D334" s="4">
        <v>530</v>
      </c>
      <c r="E334" s="4">
        <v>1560</v>
      </c>
      <c r="F334" s="4">
        <v>11421</v>
      </c>
      <c r="G334" s="16" t="s">
        <v>7</v>
      </c>
      <c r="H334" s="4">
        <v>9</v>
      </c>
      <c r="I334" s="4">
        <f>Table13[[#This Row],[تعداد کل درخت‏های تحت آبیاری
(اصله مستقل)
(N)]]*Table13[[#This Row],[سطح پوشش مفروض برای هر درخت
(متر مربع)]]</f>
        <v>4770</v>
      </c>
      <c r="J33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3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34" s="8">
        <f>IF(Table13[[#This Row],[آیا
Achech  &gt;  Atree]]=1, 1, Table13[[#This Row],[Psh]]+(0.15*(1-Table13[[#This Row],[Psh]])))</f>
        <v>1</v>
      </c>
      <c r="M334" s="8">
        <f>IF(Table13[[#This Row],[آیا
Achech  &gt;  Atree]]=1, 0.65, 1)</f>
        <v>0.65</v>
      </c>
      <c r="N33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1560</v>
      </c>
      <c r="O33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2.9433962264150941</v>
      </c>
    </row>
    <row r="335" spans="2:15" x14ac:dyDescent="0.3">
      <c r="B335" s="4" t="s">
        <v>1077</v>
      </c>
      <c r="C335" s="4">
        <v>540</v>
      </c>
      <c r="D335" s="4">
        <v>432</v>
      </c>
      <c r="E335" s="4">
        <v>3640</v>
      </c>
      <c r="F335" s="4">
        <v>3640</v>
      </c>
      <c r="G335" s="16" t="s">
        <v>286</v>
      </c>
      <c r="H335" s="4">
        <v>9</v>
      </c>
      <c r="I335" s="4">
        <f>Table13[[#This Row],[تعداد کل درخت‏های تحت آبیاری
(اصله مستقل)
(N)]]*Table13[[#This Row],[سطح پوشش مفروض برای هر درخت
(متر مربع)]]</f>
        <v>3888</v>
      </c>
      <c r="J33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3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35" s="8">
        <f>IF(Table13[[#This Row],[آیا
Achech  &gt;  Atree]]=1, 1, Table13[[#This Row],[Psh]]+(0.15*(1-Table13[[#This Row],[Psh]])))</f>
        <v>1</v>
      </c>
      <c r="M335" s="8">
        <f>IF(Table13[[#This Row],[آیا
Achech  &gt;  Atree]]=1, 0.65, 1)</f>
        <v>0.65</v>
      </c>
      <c r="N33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3640</v>
      </c>
      <c r="O33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8.4259259259259256</v>
      </c>
    </row>
    <row r="336" spans="2:15" x14ac:dyDescent="0.3">
      <c r="B336" s="4" t="s">
        <v>1078</v>
      </c>
      <c r="C336" s="4">
        <v>260</v>
      </c>
      <c r="D336" s="4">
        <v>185.53333333333333</v>
      </c>
      <c r="E336" s="4">
        <v>2523</v>
      </c>
      <c r="F336" s="4">
        <v>2523</v>
      </c>
      <c r="G336" s="16" t="s">
        <v>286</v>
      </c>
      <c r="H336" s="4">
        <v>9</v>
      </c>
      <c r="I336" s="4">
        <f>Table13[[#This Row],[تعداد کل درخت‏های تحت آبیاری
(اصله مستقل)
(N)]]*Table13[[#This Row],[سطح پوشش مفروض برای هر درخت
(متر مربع)]]</f>
        <v>1669.8</v>
      </c>
      <c r="J33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3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0.66183115338882281</v>
      </c>
      <c r="L336" s="8">
        <f>IF(Table13[[#This Row],[آیا
Achech  &gt;  Atree]]=1, 1, Table13[[#This Row],[Psh]]+(0.15*(1-Table13[[#This Row],[Psh]])))</f>
        <v>0.71255648038049935</v>
      </c>
      <c r="M336" s="8">
        <f>IF(Table13[[#This Row],[آیا
Achech  &gt;  Atree]]=1, 0.65, 1)</f>
        <v>1</v>
      </c>
      <c r="N33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1669.8</v>
      </c>
      <c r="O33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37" spans="2:15" x14ac:dyDescent="0.3">
      <c r="B337" s="4" t="s">
        <v>1079</v>
      </c>
      <c r="C337" s="4">
        <v>124</v>
      </c>
      <c r="D337" s="4">
        <v>65.599999999999994</v>
      </c>
      <c r="E337" s="4">
        <v>860</v>
      </c>
      <c r="F337" s="4">
        <v>860</v>
      </c>
      <c r="G337" s="16" t="s">
        <v>286</v>
      </c>
      <c r="H337" s="4">
        <v>9</v>
      </c>
      <c r="I337" s="4">
        <f>Table13[[#This Row],[تعداد کل درخت‏های تحت آبیاری
(اصله مستقل)
(N)]]*Table13[[#This Row],[سطح پوشش مفروض برای هر درخت
(متر مربع)]]</f>
        <v>590.4</v>
      </c>
      <c r="J33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3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0.68651162790697673</v>
      </c>
      <c r="L337" s="8">
        <f>IF(Table13[[#This Row],[آیا
Achech  &gt;  Atree]]=1, 1, Table13[[#This Row],[Psh]]+(0.15*(1-Table13[[#This Row],[Psh]])))</f>
        <v>0.73353488372093023</v>
      </c>
      <c r="M337" s="8">
        <f>IF(Table13[[#This Row],[آیا
Achech  &gt;  Atree]]=1, 0.65, 1)</f>
        <v>1</v>
      </c>
      <c r="N33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590.4</v>
      </c>
      <c r="O33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38" spans="2:15" x14ac:dyDescent="0.3">
      <c r="B338" s="4" t="s">
        <v>1080</v>
      </c>
      <c r="C338" s="4">
        <v>5454</v>
      </c>
      <c r="D338" s="4">
        <v>4124.2666666666664</v>
      </c>
      <c r="E338" s="4">
        <v>72167</v>
      </c>
      <c r="F338" s="4">
        <v>106305</v>
      </c>
      <c r="G338" s="16" t="s">
        <v>78</v>
      </c>
      <c r="H338" s="4">
        <v>9</v>
      </c>
      <c r="I338" s="4">
        <f>Table13[[#This Row],[تعداد کل درخت‏های تحت آبیاری
(اصله مستقل)
(N)]]*Table13[[#This Row],[سطح پوشش مفروض برای هر درخت
(متر مربع)]]</f>
        <v>37118.399999999994</v>
      </c>
      <c r="J33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3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0.51434034946720797</v>
      </c>
      <c r="L338" s="8">
        <f>IF(Table13[[#This Row],[آیا
Achech  &gt;  Atree]]=1, 1, Table13[[#This Row],[Psh]]+(0.15*(1-Table13[[#This Row],[Psh]])))</f>
        <v>0.58718929704712675</v>
      </c>
      <c r="M338" s="8">
        <f>IF(Table13[[#This Row],[آیا
Achech  &gt;  Atree]]=1, 0.65, 1)</f>
        <v>1</v>
      </c>
      <c r="N33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37118.399999999994</v>
      </c>
      <c r="O33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39" spans="2:15" x14ac:dyDescent="0.3">
      <c r="B339" s="4" t="s">
        <v>1081</v>
      </c>
      <c r="C339" s="4">
        <v>4752</v>
      </c>
      <c r="D339" s="4">
        <v>2312.0666666666666</v>
      </c>
      <c r="E339" s="4">
        <v>38008</v>
      </c>
      <c r="F339" s="4">
        <v>47046</v>
      </c>
      <c r="G339" s="16" t="s">
        <v>78</v>
      </c>
      <c r="H339" s="4">
        <v>9</v>
      </c>
      <c r="I339" s="4">
        <f>Table13[[#This Row],[تعداد کل درخت‏های تحت آبیاری
(اصله مستقل)
(N)]]*Table13[[#This Row],[سطح پوشش مفروض برای هر درخت
(متر مربع)]]</f>
        <v>20808.599999999999</v>
      </c>
      <c r="J33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3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0.54747947800463059</v>
      </c>
      <c r="L339" s="8">
        <f>IF(Table13[[#This Row],[آیا
Achech  &gt;  Atree]]=1, 1, Table13[[#This Row],[Psh]]+(0.15*(1-Table13[[#This Row],[Psh]])))</f>
        <v>0.61535755630393596</v>
      </c>
      <c r="M339" s="8">
        <f>IF(Table13[[#This Row],[آیا
Achech  &gt;  Atree]]=1, 0.65, 1)</f>
        <v>1</v>
      </c>
      <c r="N33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20808.599999999999</v>
      </c>
      <c r="O33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40" spans="2:15" x14ac:dyDescent="0.3">
      <c r="B340" s="4" t="s">
        <v>1082</v>
      </c>
      <c r="C340" s="4">
        <v>4217</v>
      </c>
      <c r="D340" s="4">
        <v>896.66666666666663</v>
      </c>
      <c r="E340" s="4">
        <v>68214</v>
      </c>
      <c r="F340" s="4">
        <v>78040</v>
      </c>
      <c r="G340" s="16" t="s">
        <v>78</v>
      </c>
      <c r="H340" s="4">
        <v>9</v>
      </c>
      <c r="I340" s="4">
        <f>Table13[[#This Row],[تعداد کل درخت‏های تحت آبیاری
(اصله مستقل)
(N)]]*Table13[[#This Row],[سطح پوشش مفروض برای هر درخت
(متر مربع)]]</f>
        <v>8070</v>
      </c>
      <c r="J34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4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0.11830416043627408</v>
      </c>
      <c r="L340" s="8">
        <f>IF(Table13[[#This Row],[آیا
Achech  &gt;  Atree]]=1, 1, Table13[[#This Row],[Psh]]+(0.15*(1-Table13[[#This Row],[Psh]])))</f>
        <v>0.25055853637083297</v>
      </c>
      <c r="M340" s="8">
        <f>IF(Table13[[#This Row],[آیا
Achech  &gt;  Atree]]=1, 0.65, 1)</f>
        <v>1</v>
      </c>
      <c r="N34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8070</v>
      </c>
      <c r="O34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41" spans="2:15" x14ac:dyDescent="0.3">
      <c r="B341" s="4" t="s">
        <v>1083</v>
      </c>
      <c r="C341" s="4">
        <v>5963</v>
      </c>
      <c r="D341" s="4">
        <v>854.66666666666663</v>
      </c>
      <c r="E341" s="4">
        <v>39022</v>
      </c>
      <c r="F341" s="4">
        <v>52421</v>
      </c>
      <c r="G341" s="16" t="s">
        <v>78</v>
      </c>
      <c r="H341" s="4">
        <v>9</v>
      </c>
      <c r="I341" s="4">
        <f>Table13[[#This Row],[تعداد کل درخت‏های تحت آبیاری
(اصله مستقل)
(N)]]*Table13[[#This Row],[سطح پوشش مفروض برای هر درخت
(متر مربع)]]</f>
        <v>7692</v>
      </c>
      <c r="J34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4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0.19711957357388141</v>
      </c>
      <c r="L341" s="8">
        <f>IF(Table13[[#This Row],[آیا
Achech  &gt;  Atree]]=1, 1, Table13[[#This Row],[Psh]]+(0.15*(1-Table13[[#This Row],[Psh]])))</f>
        <v>0.31755163753779919</v>
      </c>
      <c r="M341" s="8">
        <f>IF(Table13[[#This Row],[آیا
Achech  &gt;  Atree]]=1, 0.65, 1)</f>
        <v>1</v>
      </c>
      <c r="N34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7692</v>
      </c>
      <c r="O34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42" spans="2:15" x14ac:dyDescent="0.3">
      <c r="B342" s="4" t="s">
        <v>1084</v>
      </c>
      <c r="C342" s="4">
        <v>4264</v>
      </c>
      <c r="D342" s="4">
        <v>2093.7333333333331</v>
      </c>
      <c r="E342" s="4">
        <v>43055</v>
      </c>
      <c r="F342" s="4">
        <v>84384</v>
      </c>
      <c r="G342" s="16" t="s">
        <v>78</v>
      </c>
      <c r="H342" s="4">
        <v>9</v>
      </c>
      <c r="I342" s="4">
        <f>Table13[[#This Row],[تعداد کل درخت‏های تحت آبیاری
(اصله مستقل)
(N)]]*Table13[[#This Row],[سطح پوشش مفروض برای هر درخت
(متر مربع)]]</f>
        <v>18843.599999999999</v>
      </c>
      <c r="J34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4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0.43766345372198345</v>
      </c>
      <c r="L342" s="8">
        <f>IF(Table13[[#This Row],[آیا
Achech  &gt;  Atree]]=1, 1, Table13[[#This Row],[Psh]]+(0.15*(1-Table13[[#This Row],[Psh]])))</f>
        <v>0.52201393566368592</v>
      </c>
      <c r="M342" s="8">
        <f>IF(Table13[[#This Row],[آیا
Achech  &gt;  Atree]]=1, 0.65, 1)</f>
        <v>1</v>
      </c>
      <c r="N34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18843.599999999999</v>
      </c>
      <c r="O34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43" spans="2:15" x14ac:dyDescent="0.3">
      <c r="B343" s="4" t="s">
        <v>1085</v>
      </c>
      <c r="C343" s="4">
        <v>890</v>
      </c>
      <c r="D343" s="4">
        <v>777</v>
      </c>
      <c r="E343" s="4">
        <v>12596</v>
      </c>
      <c r="F343" s="4">
        <v>36522</v>
      </c>
      <c r="G343" s="16" t="s">
        <v>78</v>
      </c>
      <c r="H343" s="4">
        <v>9</v>
      </c>
      <c r="I343" s="4">
        <f>Table13[[#This Row],[تعداد کل درخت‏های تحت آبیاری
(اصله مستقل)
(N)]]*Table13[[#This Row],[سطح پوشش مفروض برای هر درخت
(متر مربع)]]</f>
        <v>6993</v>
      </c>
      <c r="J34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4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0.55517624642743724</v>
      </c>
      <c r="L343" s="8">
        <f>IF(Table13[[#This Row],[آیا
Achech  &gt;  Atree]]=1, 1, Table13[[#This Row],[Psh]]+(0.15*(1-Table13[[#This Row],[Psh]])))</f>
        <v>0.62189980946332168</v>
      </c>
      <c r="M343" s="8">
        <f>IF(Table13[[#This Row],[آیا
Achech  &gt;  Atree]]=1, 0.65, 1)</f>
        <v>1</v>
      </c>
      <c r="N34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6993</v>
      </c>
      <c r="O34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44" spans="2:15" x14ac:dyDescent="0.3">
      <c r="B344" s="4" t="s">
        <v>1086</v>
      </c>
      <c r="C344" s="4">
        <v>2900</v>
      </c>
      <c r="D344" s="4">
        <v>250</v>
      </c>
      <c r="E344" s="4">
        <v>596</v>
      </c>
      <c r="F344" s="4">
        <v>15900</v>
      </c>
      <c r="G344" s="16" t="s">
        <v>78</v>
      </c>
      <c r="H344" s="4">
        <v>9</v>
      </c>
      <c r="I344" s="4">
        <f>Table13[[#This Row],[تعداد کل درخت‏های تحت آبیاری
(اصله مستقل)
(N)]]*Table13[[#This Row],[سطح پوشش مفروض برای هر درخت
(متر مربع)]]</f>
        <v>2250</v>
      </c>
      <c r="J34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4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44" s="8">
        <f>IF(Table13[[#This Row],[آیا
Achech  &gt;  Atree]]=1, 1, Table13[[#This Row],[Psh]]+(0.15*(1-Table13[[#This Row],[Psh]])))</f>
        <v>1</v>
      </c>
      <c r="M344" s="8">
        <f>IF(Table13[[#This Row],[آیا
Achech  &gt;  Atree]]=1, 0.65, 1)</f>
        <v>0.65</v>
      </c>
      <c r="N34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596</v>
      </c>
      <c r="O34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2.3839999999999999</v>
      </c>
    </row>
    <row r="345" spans="2:15" x14ac:dyDescent="0.3">
      <c r="B345" s="4" t="s">
        <v>1087</v>
      </c>
      <c r="C345" s="4">
        <v>5414</v>
      </c>
      <c r="D345" s="4">
        <v>4820</v>
      </c>
      <c r="E345" s="4">
        <v>7320</v>
      </c>
      <c r="F345" s="4">
        <v>45787</v>
      </c>
      <c r="G345" s="16" t="s">
        <v>78</v>
      </c>
      <c r="H345" s="4">
        <v>9</v>
      </c>
      <c r="I345" s="4">
        <f>Table13[[#This Row],[تعداد کل درخت‏های تحت آبیاری
(اصله مستقل)
(N)]]*Table13[[#This Row],[سطح پوشش مفروض برای هر درخت
(متر مربع)]]</f>
        <v>43380</v>
      </c>
      <c r="J34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4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45" s="8">
        <f>IF(Table13[[#This Row],[آیا
Achech  &gt;  Atree]]=1, 1, Table13[[#This Row],[Psh]]+(0.15*(1-Table13[[#This Row],[Psh]])))</f>
        <v>1</v>
      </c>
      <c r="M345" s="8">
        <f>IF(Table13[[#This Row],[آیا
Achech  &gt;  Atree]]=1, 0.65, 1)</f>
        <v>0.65</v>
      </c>
      <c r="N34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7320</v>
      </c>
      <c r="O34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1.5186721991701244</v>
      </c>
    </row>
    <row r="346" spans="2:15" x14ac:dyDescent="0.3">
      <c r="B346" s="4" t="s">
        <v>1088</v>
      </c>
      <c r="C346" s="4">
        <v>4258</v>
      </c>
      <c r="D346" s="4">
        <v>1094.3333333333335</v>
      </c>
      <c r="E346" s="4">
        <v>59763</v>
      </c>
      <c r="F346" s="4">
        <v>85858</v>
      </c>
      <c r="G346" s="16" t="s">
        <v>78</v>
      </c>
      <c r="H346" s="4">
        <v>9</v>
      </c>
      <c r="I346" s="4">
        <f>Table13[[#This Row],[تعداد کل درخت‏های تحت آبیاری
(اصله مستقل)
(N)]]*Table13[[#This Row],[سطح پوشش مفروض برای هر درخت
(متر مربع)]]</f>
        <v>9849.0000000000018</v>
      </c>
      <c r="J34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4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0.16480096380703782</v>
      </c>
      <c r="L346" s="8">
        <f>IF(Table13[[#This Row],[آیا
Achech  &gt;  Atree]]=1, 1, Table13[[#This Row],[Psh]]+(0.15*(1-Table13[[#This Row],[Psh]])))</f>
        <v>0.29008081923598217</v>
      </c>
      <c r="M346" s="8">
        <f>IF(Table13[[#This Row],[آیا
Achech  &gt;  Atree]]=1, 0.65, 1)</f>
        <v>1</v>
      </c>
      <c r="N34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9849.0000000000018</v>
      </c>
      <c r="O34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47" spans="2:15" x14ac:dyDescent="0.3">
      <c r="B347" s="4" t="s">
        <v>1089</v>
      </c>
      <c r="C347" s="4">
        <v>3623</v>
      </c>
      <c r="D347" s="4">
        <v>228.8</v>
      </c>
      <c r="E347" s="4">
        <v>21311</v>
      </c>
      <c r="F347" s="4">
        <v>52181</v>
      </c>
      <c r="G347" s="16" t="s">
        <v>78</v>
      </c>
      <c r="H347" s="4">
        <v>9</v>
      </c>
      <c r="I347" s="4">
        <f>Table13[[#This Row],[تعداد کل درخت‏های تحت آبیاری
(اصله مستقل)
(N)]]*Table13[[#This Row],[سطح پوشش مفروض برای هر درخت
(متر مربع)]]</f>
        <v>2059.2000000000003</v>
      </c>
      <c r="J34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4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9.6626155506545922E-2</v>
      </c>
      <c r="L347" s="8">
        <f>IF(Table13[[#This Row],[آیا
Achech  &gt;  Atree]]=1, 1, Table13[[#This Row],[Psh]]+(0.15*(1-Table13[[#This Row],[Psh]])))</f>
        <v>0.232132232180564</v>
      </c>
      <c r="M347" s="8">
        <f>IF(Table13[[#This Row],[آیا
Achech  &gt;  Atree]]=1, 0.65, 1)</f>
        <v>1</v>
      </c>
      <c r="N34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2059.2000000000003</v>
      </c>
      <c r="O34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48" spans="2:15" x14ac:dyDescent="0.3">
      <c r="B348" s="4" t="s">
        <v>1097</v>
      </c>
      <c r="C348" s="4">
        <v>494</v>
      </c>
      <c r="D348" s="4">
        <v>237</v>
      </c>
      <c r="E348" s="4">
        <v>310</v>
      </c>
      <c r="F348" s="4">
        <v>6598</v>
      </c>
      <c r="G348" s="16" t="s">
        <v>7</v>
      </c>
      <c r="H348" s="4">
        <v>9</v>
      </c>
      <c r="I348" s="4">
        <f>Table13[[#This Row],[تعداد کل درخت‏های تحت آبیاری
(اصله مستقل)
(N)]]*Table13[[#This Row],[سطح پوشش مفروض برای هر درخت
(متر مربع)]]</f>
        <v>2133</v>
      </c>
      <c r="J34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4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48" s="8">
        <f>IF(Table13[[#This Row],[آیا
Achech  &gt;  Atree]]=1, 1, Table13[[#This Row],[Psh]]+(0.15*(1-Table13[[#This Row],[Psh]])))</f>
        <v>1</v>
      </c>
      <c r="M348" s="8">
        <f>IF(Table13[[#This Row],[آیا
Achech  &gt;  Atree]]=1, 0.65, 1)</f>
        <v>0.65</v>
      </c>
      <c r="N34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310</v>
      </c>
      <c r="O34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1.3080168776371308</v>
      </c>
    </row>
    <row r="349" spans="2:15" x14ac:dyDescent="0.3">
      <c r="B349" s="4" t="s">
        <v>1098</v>
      </c>
      <c r="C349" s="4">
        <v>115</v>
      </c>
      <c r="D349" s="4">
        <v>22</v>
      </c>
      <c r="E349" s="4">
        <v>48</v>
      </c>
      <c r="F349" s="4">
        <v>1160</v>
      </c>
      <c r="G349" s="16" t="s">
        <v>7</v>
      </c>
      <c r="H349" s="4">
        <v>9</v>
      </c>
      <c r="I349" s="4">
        <f>Table13[[#This Row],[تعداد کل درخت‏های تحت آبیاری
(اصله مستقل)
(N)]]*Table13[[#This Row],[سطح پوشش مفروض برای هر درخت
(متر مربع)]]</f>
        <v>198</v>
      </c>
      <c r="J34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4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49" s="8">
        <f>IF(Table13[[#This Row],[آیا
Achech  &gt;  Atree]]=1, 1, Table13[[#This Row],[Psh]]+(0.15*(1-Table13[[#This Row],[Psh]])))</f>
        <v>1</v>
      </c>
      <c r="M349" s="8">
        <f>IF(Table13[[#This Row],[آیا
Achech  &gt;  Atree]]=1, 0.65, 1)</f>
        <v>0.65</v>
      </c>
      <c r="N34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48</v>
      </c>
      <c r="O34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2.1818181818181817</v>
      </c>
    </row>
    <row r="350" spans="2:15" x14ac:dyDescent="0.3">
      <c r="B350" s="4" t="s">
        <v>1099</v>
      </c>
      <c r="C350" s="4">
        <v>489</v>
      </c>
      <c r="D350" s="4">
        <v>369</v>
      </c>
      <c r="E350" s="4">
        <v>380</v>
      </c>
      <c r="F350" s="4">
        <v>6139</v>
      </c>
      <c r="G350" s="16" t="s">
        <v>7</v>
      </c>
      <c r="H350" s="4">
        <v>9</v>
      </c>
      <c r="I350" s="4">
        <f>Table13[[#This Row],[تعداد کل درخت‏های تحت آبیاری
(اصله مستقل)
(N)]]*Table13[[#This Row],[سطح پوشش مفروض برای هر درخت
(متر مربع)]]</f>
        <v>3321</v>
      </c>
      <c r="J35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5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50" s="8">
        <f>IF(Table13[[#This Row],[آیا
Achech  &gt;  Atree]]=1, 1, Table13[[#This Row],[Psh]]+(0.15*(1-Table13[[#This Row],[Psh]])))</f>
        <v>1</v>
      </c>
      <c r="M350" s="8">
        <f>IF(Table13[[#This Row],[آیا
Achech  &gt;  Atree]]=1, 0.65, 1)</f>
        <v>0.65</v>
      </c>
      <c r="N35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380</v>
      </c>
      <c r="O35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1.0298102981029811</v>
      </c>
    </row>
    <row r="351" spans="2:15" x14ac:dyDescent="0.3">
      <c r="B351" s="4" t="s">
        <v>1100</v>
      </c>
      <c r="C351" s="4">
        <v>803</v>
      </c>
      <c r="D351" s="4">
        <v>17</v>
      </c>
      <c r="E351" s="4">
        <v>36</v>
      </c>
      <c r="F351" s="4">
        <v>11687</v>
      </c>
      <c r="G351" s="16" t="s">
        <v>7</v>
      </c>
      <c r="H351" s="4">
        <v>9</v>
      </c>
      <c r="I351" s="4">
        <f>Table13[[#This Row],[تعداد کل درخت‏های تحت آبیاری
(اصله مستقل)
(N)]]*Table13[[#This Row],[سطح پوشش مفروض برای هر درخت
(متر مربع)]]</f>
        <v>153</v>
      </c>
      <c r="J35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5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51" s="8">
        <f>IF(Table13[[#This Row],[آیا
Achech  &gt;  Atree]]=1, 1, Table13[[#This Row],[Psh]]+(0.15*(1-Table13[[#This Row],[Psh]])))</f>
        <v>1</v>
      </c>
      <c r="M351" s="8">
        <f>IF(Table13[[#This Row],[آیا
Achech  &gt;  Atree]]=1, 0.65, 1)</f>
        <v>0.65</v>
      </c>
      <c r="N35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36</v>
      </c>
      <c r="O35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2.1176470588235294</v>
      </c>
    </row>
    <row r="352" spans="2:15" x14ac:dyDescent="0.3">
      <c r="B352" s="4" t="s">
        <v>1101</v>
      </c>
      <c r="C352" s="4">
        <v>238</v>
      </c>
      <c r="D352" s="4">
        <v>55</v>
      </c>
      <c r="E352" s="4">
        <v>220</v>
      </c>
      <c r="F352" s="4">
        <v>2348</v>
      </c>
      <c r="G352" s="16" t="s">
        <v>7</v>
      </c>
      <c r="H352" s="4">
        <v>9</v>
      </c>
      <c r="I352" s="4">
        <f>Table13[[#This Row],[تعداد کل درخت‏های تحت آبیاری
(اصله مستقل)
(N)]]*Table13[[#This Row],[سطح پوشش مفروض برای هر درخت
(متر مربع)]]</f>
        <v>495</v>
      </c>
      <c r="J35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5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52" s="8">
        <f>IF(Table13[[#This Row],[آیا
Achech  &gt;  Atree]]=1, 1, Table13[[#This Row],[Psh]]+(0.15*(1-Table13[[#This Row],[Psh]])))</f>
        <v>1</v>
      </c>
      <c r="M352" s="8">
        <f>IF(Table13[[#This Row],[آیا
Achech  &gt;  Atree]]=1, 0.65, 1)</f>
        <v>0.65</v>
      </c>
      <c r="N35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220</v>
      </c>
      <c r="O35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</v>
      </c>
    </row>
    <row r="353" spans="2:15" x14ac:dyDescent="0.3">
      <c r="B353" s="4" t="s">
        <v>1102</v>
      </c>
      <c r="C353" s="4">
        <v>255</v>
      </c>
      <c r="D353" s="4">
        <v>31</v>
      </c>
      <c r="E353" s="4">
        <v>21</v>
      </c>
      <c r="F353" s="4">
        <v>6549</v>
      </c>
      <c r="G353" s="16" t="s">
        <v>7</v>
      </c>
      <c r="H353" s="4">
        <v>9</v>
      </c>
      <c r="I353" s="4">
        <f>Table13[[#This Row],[تعداد کل درخت‏های تحت آبیاری
(اصله مستقل)
(N)]]*Table13[[#This Row],[سطح پوشش مفروض برای هر درخت
(متر مربع)]]</f>
        <v>279</v>
      </c>
      <c r="J35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5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53" s="8">
        <f>IF(Table13[[#This Row],[آیا
Achech  &gt;  Atree]]=1, 1, Table13[[#This Row],[Psh]]+(0.15*(1-Table13[[#This Row],[Psh]])))</f>
        <v>1</v>
      </c>
      <c r="M353" s="8">
        <f>IF(Table13[[#This Row],[آیا
Achech  &gt;  Atree]]=1, 0.65, 1)</f>
        <v>0.65</v>
      </c>
      <c r="N35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21</v>
      </c>
      <c r="O35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0.67741935483870963</v>
      </c>
    </row>
    <row r="354" spans="2:15" x14ac:dyDescent="0.3">
      <c r="B354" s="4" t="s">
        <v>1103</v>
      </c>
      <c r="C354" s="4">
        <v>1294</v>
      </c>
      <c r="D354" s="4">
        <v>732</v>
      </c>
      <c r="E354" s="4">
        <v>10850</v>
      </c>
      <c r="F354" s="4">
        <v>16546</v>
      </c>
      <c r="G354" s="16" t="s">
        <v>7</v>
      </c>
      <c r="H354" s="4">
        <v>9</v>
      </c>
      <c r="I354" s="4">
        <f>Table13[[#This Row],[تعداد کل درخت‏های تحت آبیاری
(اصله مستقل)
(N)]]*Table13[[#This Row],[سطح پوشش مفروض برای هر درخت
(متر مربع)]]</f>
        <v>6588</v>
      </c>
      <c r="J35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5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0.60718894009216595</v>
      </c>
      <c r="L354" s="8">
        <f>IF(Table13[[#This Row],[آیا
Achech  &gt;  Atree]]=1, 1, Table13[[#This Row],[Psh]]+(0.15*(1-Table13[[#This Row],[Psh]])))</f>
        <v>0.66611059907834103</v>
      </c>
      <c r="M354" s="8">
        <f>IF(Table13[[#This Row],[آیا
Achech  &gt;  Atree]]=1, 0.65, 1)</f>
        <v>1</v>
      </c>
      <c r="N35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6588</v>
      </c>
      <c r="O35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55" spans="2:15" x14ac:dyDescent="0.3">
      <c r="B355" s="4" t="s">
        <v>1151</v>
      </c>
      <c r="C355" s="4">
        <v>179</v>
      </c>
      <c r="D355" s="4">
        <v>75</v>
      </c>
      <c r="E355" s="4">
        <v>170</v>
      </c>
      <c r="F355" s="4">
        <v>3196</v>
      </c>
      <c r="G355" s="16" t="s">
        <v>7</v>
      </c>
      <c r="H355" s="4">
        <v>9</v>
      </c>
      <c r="I355" s="4">
        <f>Table13[[#This Row],[تعداد کل درخت‏های تحت آبیاری
(اصله مستقل)
(N)]]*Table13[[#This Row],[سطح پوشش مفروض برای هر درخت
(متر مربع)]]</f>
        <v>675</v>
      </c>
      <c r="J35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5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55" s="8">
        <f>IF(Table13[[#This Row],[آیا
Achech  &gt;  Atree]]=1, 1, Table13[[#This Row],[Psh]]+(0.15*(1-Table13[[#This Row],[Psh]])))</f>
        <v>1</v>
      </c>
      <c r="M355" s="8">
        <f>IF(Table13[[#This Row],[آیا
Achech  &gt;  Atree]]=1, 0.65, 1)</f>
        <v>0.65</v>
      </c>
      <c r="N35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170</v>
      </c>
      <c r="O35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2.2666666666666666</v>
      </c>
    </row>
    <row r="356" spans="2:15" x14ac:dyDescent="0.3">
      <c r="B356" s="4" t="s">
        <v>1152</v>
      </c>
      <c r="C356" s="4">
        <v>243</v>
      </c>
      <c r="D356" s="4">
        <v>44</v>
      </c>
      <c r="E356" s="4">
        <v>66</v>
      </c>
      <c r="F356" s="4">
        <v>5131</v>
      </c>
      <c r="G356" s="16" t="s">
        <v>7</v>
      </c>
      <c r="H356" s="4">
        <v>9</v>
      </c>
      <c r="I356" s="4">
        <f>Table13[[#This Row],[تعداد کل درخت‏های تحت آبیاری
(اصله مستقل)
(N)]]*Table13[[#This Row],[سطح پوشش مفروض برای هر درخت
(متر مربع)]]</f>
        <v>396</v>
      </c>
      <c r="J35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5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56" s="8">
        <f>IF(Table13[[#This Row],[آیا
Achech  &gt;  Atree]]=1, 1, Table13[[#This Row],[Psh]]+(0.15*(1-Table13[[#This Row],[Psh]])))</f>
        <v>1</v>
      </c>
      <c r="M356" s="8">
        <f>IF(Table13[[#This Row],[آیا
Achech  &gt;  Atree]]=1, 0.65, 1)</f>
        <v>0.65</v>
      </c>
      <c r="N35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66</v>
      </c>
      <c r="O35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1.5</v>
      </c>
    </row>
    <row r="357" spans="2:15" x14ac:dyDescent="0.3">
      <c r="B357" s="4" t="s">
        <v>1153</v>
      </c>
      <c r="C357" s="4">
        <v>388</v>
      </c>
      <c r="D357" s="4">
        <v>70</v>
      </c>
      <c r="E357" s="4">
        <v>114</v>
      </c>
      <c r="F357" s="4">
        <v>8772</v>
      </c>
      <c r="G357" s="16" t="s">
        <v>7</v>
      </c>
      <c r="H357" s="4">
        <v>9</v>
      </c>
      <c r="I357" s="4">
        <f>Table13[[#This Row],[تعداد کل درخت‏های تحت آبیاری
(اصله مستقل)
(N)]]*Table13[[#This Row],[سطح پوشش مفروض برای هر درخت
(متر مربع)]]</f>
        <v>630</v>
      </c>
      <c r="J35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5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57" s="8">
        <f>IF(Table13[[#This Row],[آیا
Achech  &gt;  Atree]]=1, 1, Table13[[#This Row],[Psh]]+(0.15*(1-Table13[[#This Row],[Psh]])))</f>
        <v>1</v>
      </c>
      <c r="M357" s="8">
        <f>IF(Table13[[#This Row],[آیا
Achech  &gt;  Atree]]=1, 0.65, 1)</f>
        <v>0.65</v>
      </c>
      <c r="N35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114</v>
      </c>
      <c r="O35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1.6285714285714286</v>
      </c>
    </row>
    <row r="358" spans="2:15" x14ac:dyDescent="0.3">
      <c r="B358" s="4" t="s">
        <v>1154</v>
      </c>
      <c r="C358" s="4">
        <v>851</v>
      </c>
      <c r="D358" s="4">
        <v>130</v>
      </c>
      <c r="E358" s="4">
        <v>2137</v>
      </c>
      <c r="F358" s="4">
        <v>12399</v>
      </c>
      <c r="G358" s="16" t="s">
        <v>7</v>
      </c>
      <c r="H358" s="4">
        <v>9</v>
      </c>
      <c r="I358" s="4">
        <f>Table13[[#This Row],[تعداد کل درخت‏های تحت آبیاری
(اصله مستقل)
(N)]]*Table13[[#This Row],[سطح پوشش مفروض برای هر درخت
(متر مربع)]]</f>
        <v>1170</v>
      </c>
      <c r="J35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5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0.54749649040711279</v>
      </c>
      <c r="L358" s="8">
        <f>IF(Table13[[#This Row],[آیا
Achech  &gt;  Atree]]=1, 1, Table13[[#This Row],[Psh]]+(0.15*(1-Table13[[#This Row],[Psh]])))</f>
        <v>0.61537201684604592</v>
      </c>
      <c r="M358" s="8">
        <f>IF(Table13[[#This Row],[آیا
Achech  &gt;  Atree]]=1, 0.65, 1)</f>
        <v>1</v>
      </c>
      <c r="N35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1170</v>
      </c>
      <c r="O35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59" spans="2:15" x14ac:dyDescent="0.3">
      <c r="B359" s="4" t="s">
        <v>1155</v>
      </c>
      <c r="C359" s="4">
        <v>115</v>
      </c>
      <c r="D359" s="4">
        <v>50</v>
      </c>
      <c r="E359" s="4">
        <v>50</v>
      </c>
      <c r="F359" s="4">
        <v>2277</v>
      </c>
      <c r="G359" s="16" t="s">
        <v>7</v>
      </c>
      <c r="H359" s="4">
        <v>9</v>
      </c>
      <c r="I359" s="4">
        <f>Table13[[#This Row],[تعداد کل درخت‏های تحت آبیاری
(اصله مستقل)
(N)]]*Table13[[#This Row],[سطح پوشش مفروض برای هر درخت
(متر مربع)]]</f>
        <v>450</v>
      </c>
      <c r="J35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5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59" s="8">
        <f>IF(Table13[[#This Row],[آیا
Achech  &gt;  Atree]]=1, 1, Table13[[#This Row],[Psh]]+(0.15*(1-Table13[[#This Row],[Psh]])))</f>
        <v>1</v>
      </c>
      <c r="M359" s="8">
        <f>IF(Table13[[#This Row],[آیا
Achech  &gt;  Atree]]=1, 0.65, 1)</f>
        <v>0.65</v>
      </c>
      <c r="N35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50</v>
      </c>
      <c r="O35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360" spans="2:15" x14ac:dyDescent="0.3">
      <c r="B360" s="4" t="s">
        <v>1156</v>
      </c>
      <c r="C360" s="4">
        <v>712</v>
      </c>
      <c r="D360" s="4">
        <v>204</v>
      </c>
      <c r="E360" s="4">
        <v>360</v>
      </c>
      <c r="F360" s="4">
        <v>6688</v>
      </c>
      <c r="G360" s="16" t="s">
        <v>7</v>
      </c>
      <c r="H360" s="4">
        <v>9</v>
      </c>
      <c r="I360" s="4">
        <f>Table13[[#This Row],[تعداد کل درخت‏های تحت آبیاری
(اصله مستقل)
(N)]]*Table13[[#This Row],[سطح پوشش مفروض برای هر درخت
(متر مربع)]]</f>
        <v>1836</v>
      </c>
      <c r="J36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6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60" s="8">
        <f>IF(Table13[[#This Row],[آیا
Achech  &gt;  Atree]]=1, 1, Table13[[#This Row],[Psh]]+(0.15*(1-Table13[[#This Row],[Psh]])))</f>
        <v>1</v>
      </c>
      <c r="M360" s="8">
        <f>IF(Table13[[#This Row],[آیا
Achech  &gt;  Atree]]=1, 0.65, 1)</f>
        <v>0.65</v>
      </c>
      <c r="N36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360</v>
      </c>
      <c r="O36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1.7647058823529411</v>
      </c>
    </row>
    <row r="361" spans="2:15" x14ac:dyDescent="0.3">
      <c r="B361" s="4" t="s">
        <v>1157</v>
      </c>
      <c r="C361" s="4">
        <v>293</v>
      </c>
      <c r="D361" s="4">
        <v>12</v>
      </c>
      <c r="E361" s="4">
        <v>372</v>
      </c>
      <c r="F361" s="4">
        <v>6596</v>
      </c>
      <c r="G361" s="16" t="s">
        <v>7</v>
      </c>
      <c r="H361" s="4">
        <v>9</v>
      </c>
      <c r="I361" s="4">
        <f>Table13[[#This Row],[تعداد کل درخت‏های تحت آبیاری
(اصله مستقل)
(N)]]*Table13[[#This Row],[سطح پوشش مفروض برای هر درخت
(متر مربع)]]</f>
        <v>108</v>
      </c>
      <c r="J36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6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0.29032258064516131</v>
      </c>
      <c r="L361" s="8">
        <f>IF(Table13[[#This Row],[آیا
Achech  &gt;  Atree]]=1, 1, Table13[[#This Row],[Psh]]+(0.15*(1-Table13[[#This Row],[Psh]])))</f>
        <v>0.39677419354838711</v>
      </c>
      <c r="M361" s="8">
        <f>IF(Table13[[#This Row],[آیا
Achech  &gt;  Atree]]=1, 0.65, 1)</f>
        <v>1</v>
      </c>
      <c r="N36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108</v>
      </c>
      <c r="O36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62" spans="2:15" x14ac:dyDescent="0.3">
      <c r="B362" s="4" t="s">
        <v>1158</v>
      </c>
      <c r="C362" s="4">
        <v>195</v>
      </c>
      <c r="D362" s="4">
        <v>114</v>
      </c>
      <c r="E362" s="4">
        <v>1592</v>
      </c>
      <c r="F362" s="4">
        <v>4134</v>
      </c>
      <c r="G362" s="16" t="s">
        <v>7</v>
      </c>
      <c r="H362" s="4">
        <v>9</v>
      </c>
      <c r="I362" s="4">
        <f>Table13[[#This Row],[تعداد کل درخت‏های تحت آبیاری
(اصله مستقل)
(N)]]*Table13[[#This Row],[سطح پوشش مفروض برای هر درخت
(متر مربع)]]</f>
        <v>1026</v>
      </c>
      <c r="J36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6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0.64447236180904521</v>
      </c>
      <c r="L362" s="8">
        <f>IF(Table13[[#This Row],[آیا
Achech  &gt;  Atree]]=1, 1, Table13[[#This Row],[Psh]]+(0.15*(1-Table13[[#This Row],[Psh]])))</f>
        <v>0.69780150753768844</v>
      </c>
      <c r="M362" s="8">
        <f>IF(Table13[[#This Row],[آیا
Achech  &gt;  Atree]]=1, 0.65, 1)</f>
        <v>1</v>
      </c>
      <c r="N36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1026</v>
      </c>
      <c r="O36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63" spans="2:15" x14ac:dyDescent="0.3">
      <c r="B363" s="4" t="s">
        <v>1159</v>
      </c>
      <c r="C363" s="4">
        <v>196</v>
      </c>
      <c r="D363" s="4">
        <v>97</v>
      </c>
      <c r="E363" s="4">
        <v>418</v>
      </c>
      <c r="F363" s="4">
        <v>1186</v>
      </c>
      <c r="G363" s="16" t="s">
        <v>7</v>
      </c>
      <c r="H363" s="4">
        <v>9</v>
      </c>
      <c r="I363" s="4">
        <f>Table13[[#This Row],[تعداد کل درخت‏های تحت آبیاری
(اصله مستقل)
(N)]]*Table13[[#This Row],[سطح پوشش مفروض برای هر درخت
(متر مربع)]]</f>
        <v>873</v>
      </c>
      <c r="J36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6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63" s="8">
        <f>IF(Table13[[#This Row],[آیا
Achech  &gt;  Atree]]=1, 1, Table13[[#This Row],[Psh]]+(0.15*(1-Table13[[#This Row],[Psh]])))</f>
        <v>1</v>
      </c>
      <c r="M363" s="8">
        <f>IF(Table13[[#This Row],[آیا
Achech  &gt;  Atree]]=1, 0.65, 1)</f>
        <v>0.65</v>
      </c>
      <c r="N36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418</v>
      </c>
      <c r="O36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4.3092783505154637</v>
      </c>
    </row>
    <row r="364" spans="2:15" x14ac:dyDescent="0.3">
      <c r="B364" s="4" t="s">
        <v>1160</v>
      </c>
      <c r="C364" s="4">
        <v>298</v>
      </c>
      <c r="D364" s="4">
        <v>5</v>
      </c>
      <c r="E364" s="4">
        <v>117</v>
      </c>
      <c r="F364" s="4">
        <v>7673</v>
      </c>
      <c r="G364" s="16" t="s">
        <v>7</v>
      </c>
      <c r="H364" s="4">
        <v>9</v>
      </c>
      <c r="I364" s="4">
        <f>Table13[[#This Row],[تعداد کل درخت‏های تحت آبیاری
(اصله مستقل)
(N)]]*Table13[[#This Row],[سطح پوشش مفروض برای هر درخت
(متر مربع)]]</f>
        <v>45</v>
      </c>
      <c r="J36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6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0.38461538461538464</v>
      </c>
      <c r="L364" s="8">
        <f>IF(Table13[[#This Row],[آیا
Achech  &gt;  Atree]]=1, 1, Table13[[#This Row],[Psh]]+(0.15*(1-Table13[[#This Row],[Psh]])))</f>
        <v>0.47692307692307695</v>
      </c>
      <c r="M364" s="8">
        <f>IF(Table13[[#This Row],[آیا
Achech  &gt;  Atree]]=1, 0.65, 1)</f>
        <v>1</v>
      </c>
      <c r="N36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45</v>
      </c>
      <c r="O36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65" spans="2:15" x14ac:dyDescent="0.3">
      <c r="B365" s="4" t="s">
        <v>1161</v>
      </c>
      <c r="C365" s="4">
        <v>174</v>
      </c>
      <c r="D365" s="4">
        <v>30</v>
      </c>
      <c r="E365" s="4">
        <v>450</v>
      </c>
      <c r="F365" s="4">
        <v>3918</v>
      </c>
      <c r="G365" s="16" t="s">
        <v>7</v>
      </c>
      <c r="H365" s="4">
        <v>9</v>
      </c>
      <c r="I365" s="4">
        <f>Table13[[#This Row],[تعداد کل درخت‏های تحت آبیاری
(اصله مستقل)
(N)]]*Table13[[#This Row],[سطح پوشش مفروض برای هر درخت
(متر مربع)]]</f>
        <v>270</v>
      </c>
      <c r="J36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6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</v>
      </c>
      <c r="L365" s="8">
        <f>IF(Table13[[#This Row],[آیا
Achech  &gt;  Atree]]=1, 1, Table13[[#This Row],[Psh]]+(0.15*(1-Table13[[#This Row],[Psh]])))</f>
        <v>0.65999999999999992</v>
      </c>
      <c r="M365" s="8">
        <f>IF(Table13[[#This Row],[آیا
Achech  &gt;  Atree]]=1, 0.65, 1)</f>
        <v>1</v>
      </c>
      <c r="N36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270</v>
      </c>
      <c r="O36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66" spans="2:15" x14ac:dyDescent="0.3">
      <c r="B366" s="4" t="s">
        <v>1162</v>
      </c>
      <c r="C366" s="4">
        <v>558</v>
      </c>
      <c r="D366" s="4">
        <v>42</v>
      </c>
      <c r="E366" s="4">
        <v>100</v>
      </c>
      <c r="F366" s="4">
        <v>12335</v>
      </c>
      <c r="G366" s="16" t="s">
        <v>7</v>
      </c>
      <c r="H366" s="4">
        <v>9</v>
      </c>
      <c r="I366" s="4">
        <f>Table13[[#This Row],[تعداد کل درخت‏های تحت آبیاری
(اصله مستقل)
(N)]]*Table13[[#This Row],[سطح پوشش مفروض برای هر درخت
(متر مربع)]]</f>
        <v>378</v>
      </c>
      <c r="J36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6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66" s="8">
        <f>IF(Table13[[#This Row],[آیا
Achech  &gt;  Atree]]=1, 1, Table13[[#This Row],[Psh]]+(0.15*(1-Table13[[#This Row],[Psh]])))</f>
        <v>1</v>
      </c>
      <c r="M366" s="8">
        <f>IF(Table13[[#This Row],[آیا
Achech  &gt;  Atree]]=1, 0.65, 1)</f>
        <v>0.65</v>
      </c>
      <c r="N36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100</v>
      </c>
      <c r="O36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2.3809523809523809</v>
      </c>
    </row>
    <row r="367" spans="2:15" x14ac:dyDescent="0.3">
      <c r="B367" s="4" t="s">
        <v>1163</v>
      </c>
      <c r="C367" s="4">
        <v>173</v>
      </c>
      <c r="D367" s="4">
        <v>5</v>
      </c>
      <c r="E367" s="4">
        <v>20</v>
      </c>
      <c r="F367" s="4">
        <v>4246</v>
      </c>
      <c r="G367" s="16" t="s">
        <v>7</v>
      </c>
      <c r="H367" s="4">
        <v>9</v>
      </c>
      <c r="I367" s="4">
        <f>Table13[[#This Row],[تعداد کل درخت‏های تحت آبیاری
(اصله مستقل)
(N)]]*Table13[[#This Row],[سطح پوشش مفروض برای هر درخت
(متر مربع)]]</f>
        <v>45</v>
      </c>
      <c r="J36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6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67" s="8">
        <f>IF(Table13[[#This Row],[آیا
Achech  &gt;  Atree]]=1, 1, Table13[[#This Row],[Psh]]+(0.15*(1-Table13[[#This Row],[Psh]])))</f>
        <v>1</v>
      </c>
      <c r="M367" s="8">
        <f>IF(Table13[[#This Row],[آیا
Achech  &gt;  Atree]]=1, 0.65, 1)</f>
        <v>0.65</v>
      </c>
      <c r="N36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20</v>
      </c>
      <c r="O36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</v>
      </c>
    </row>
    <row r="368" spans="2:15" x14ac:dyDescent="0.3">
      <c r="B368" s="4" t="s">
        <v>1165</v>
      </c>
      <c r="C368" s="4">
        <v>1121</v>
      </c>
      <c r="D368" s="4">
        <v>564</v>
      </c>
      <c r="E368" s="4">
        <v>2150</v>
      </c>
      <c r="F368" s="4">
        <v>46064</v>
      </c>
      <c r="G368" s="16" t="s">
        <v>7</v>
      </c>
      <c r="H368" s="4">
        <v>9</v>
      </c>
      <c r="I368" s="4">
        <f>Table13[[#This Row],[تعداد کل درخت‏های تحت آبیاری
(اصله مستقل)
(N)]]*Table13[[#This Row],[سطح پوشش مفروض برای هر درخت
(متر مربع)]]</f>
        <v>5076</v>
      </c>
      <c r="J36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6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68" s="8">
        <f>IF(Table13[[#This Row],[آیا
Achech  &gt;  Atree]]=1, 1, Table13[[#This Row],[Psh]]+(0.15*(1-Table13[[#This Row],[Psh]])))</f>
        <v>1</v>
      </c>
      <c r="M368" s="8">
        <f>IF(Table13[[#This Row],[آیا
Achech  &gt;  Atree]]=1, 0.65, 1)</f>
        <v>0.65</v>
      </c>
      <c r="N36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2150</v>
      </c>
      <c r="O36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3.8120567375886525</v>
      </c>
    </row>
    <row r="369" spans="2:15" x14ac:dyDescent="0.3">
      <c r="B369" s="4" t="s">
        <v>1169</v>
      </c>
      <c r="C369" s="4">
        <v>1264</v>
      </c>
      <c r="D369" s="4">
        <v>10</v>
      </c>
      <c r="E369" s="4">
        <v>30</v>
      </c>
      <c r="F369" s="4">
        <v>29064</v>
      </c>
      <c r="G369" s="16" t="s">
        <v>7</v>
      </c>
      <c r="H369" s="4">
        <v>9</v>
      </c>
      <c r="I369" s="4">
        <f>Table13[[#This Row],[تعداد کل درخت‏های تحت آبیاری
(اصله مستقل)
(N)]]*Table13[[#This Row],[سطح پوشش مفروض برای هر درخت
(متر مربع)]]</f>
        <v>90</v>
      </c>
      <c r="J36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6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69" s="8">
        <f>IF(Table13[[#This Row],[آیا
Achech  &gt;  Atree]]=1, 1, Table13[[#This Row],[Psh]]+(0.15*(1-Table13[[#This Row],[Psh]])))</f>
        <v>1</v>
      </c>
      <c r="M369" s="8">
        <f>IF(Table13[[#This Row],[آیا
Achech  &gt;  Atree]]=1, 0.65, 1)</f>
        <v>0.65</v>
      </c>
      <c r="N36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30</v>
      </c>
      <c r="O36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</v>
      </c>
    </row>
    <row r="370" spans="2:15" x14ac:dyDescent="0.3">
      <c r="B370" s="4" t="s">
        <v>1170</v>
      </c>
      <c r="C370" s="4">
        <v>590</v>
      </c>
      <c r="D370" s="4">
        <v>590</v>
      </c>
      <c r="E370" s="4">
        <v>5584</v>
      </c>
      <c r="F370" s="4">
        <v>5584</v>
      </c>
      <c r="G370" s="16" t="s">
        <v>286</v>
      </c>
      <c r="H370" s="4">
        <v>9</v>
      </c>
      <c r="I370" s="4">
        <f>Table13[[#This Row],[تعداد کل درخت‏های تحت آبیاری
(اصله مستقل)
(N)]]*Table13[[#This Row],[سطح پوشش مفروض برای هر درخت
(متر مربع)]]</f>
        <v>5310</v>
      </c>
      <c r="J37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7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0.9509312320916905</v>
      </c>
      <c r="L370" s="8">
        <f>IF(Table13[[#This Row],[آیا
Achech  &gt;  Atree]]=1, 1, Table13[[#This Row],[Psh]]+(0.15*(1-Table13[[#This Row],[Psh]])))</f>
        <v>0.95829154727793697</v>
      </c>
      <c r="M370" s="8">
        <f>IF(Table13[[#This Row],[آیا
Achech  &gt;  Atree]]=1, 0.65, 1)</f>
        <v>1</v>
      </c>
      <c r="N37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5310</v>
      </c>
      <c r="O37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71" spans="2:15" x14ac:dyDescent="0.3">
      <c r="B371" s="4" t="s">
        <v>1171</v>
      </c>
      <c r="C371" s="4">
        <v>81</v>
      </c>
      <c r="D371" s="4">
        <v>81</v>
      </c>
      <c r="E371" s="4">
        <v>600</v>
      </c>
      <c r="F371" s="4">
        <v>600</v>
      </c>
      <c r="G371" s="16" t="s">
        <v>286</v>
      </c>
      <c r="H371" s="4">
        <v>9</v>
      </c>
      <c r="I371" s="4">
        <f>Table13[[#This Row],[تعداد کل درخت‏های تحت آبیاری
(اصله مستقل)
(N)]]*Table13[[#This Row],[سطح پوشش مفروض برای هر درخت
(متر مربع)]]</f>
        <v>729</v>
      </c>
      <c r="J37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7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71" s="8">
        <f>IF(Table13[[#This Row],[آیا
Achech  &gt;  Atree]]=1, 1, Table13[[#This Row],[Psh]]+(0.15*(1-Table13[[#This Row],[Psh]])))</f>
        <v>1</v>
      </c>
      <c r="M371" s="8">
        <f>IF(Table13[[#This Row],[آیا
Achech  &gt;  Atree]]=1, 0.65, 1)</f>
        <v>0.65</v>
      </c>
      <c r="N37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600</v>
      </c>
      <c r="O37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7.4074074074074074</v>
      </c>
    </row>
    <row r="372" spans="2:15" x14ac:dyDescent="0.3">
      <c r="B372" s="4" t="s">
        <v>1187</v>
      </c>
      <c r="C372" s="4">
        <v>1227</v>
      </c>
      <c r="D372" s="4">
        <v>90</v>
      </c>
      <c r="E372" s="4">
        <v>90</v>
      </c>
      <c r="F372" s="4">
        <v>27084</v>
      </c>
      <c r="G372" s="16" t="s">
        <v>7</v>
      </c>
      <c r="H372" s="4">
        <v>9</v>
      </c>
      <c r="I372" s="4">
        <f>Table13[[#This Row],[تعداد کل درخت‏های تحت آبیاری
(اصله مستقل)
(N)]]*Table13[[#This Row],[سطح پوشش مفروض برای هر درخت
(متر مربع)]]</f>
        <v>810</v>
      </c>
      <c r="J37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7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72" s="8">
        <f>IF(Table13[[#This Row],[آیا
Achech  &gt;  Atree]]=1, 1, Table13[[#This Row],[Psh]]+(0.15*(1-Table13[[#This Row],[Psh]])))</f>
        <v>1</v>
      </c>
      <c r="M372" s="8">
        <f>IF(Table13[[#This Row],[آیا
Achech  &gt;  Atree]]=1, 0.65, 1)</f>
        <v>0.65</v>
      </c>
      <c r="N37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90</v>
      </c>
      <c r="O37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373" spans="2:15" x14ac:dyDescent="0.3">
      <c r="B373" s="4" t="s">
        <v>1188</v>
      </c>
      <c r="C373" s="4">
        <v>104</v>
      </c>
      <c r="D373" s="4">
        <v>31</v>
      </c>
      <c r="E373" s="4">
        <v>72</v>
      </c>
      <c r="F373" s="4">
        <v>3322</v>
      </c>
      <c r="G373" s="16" t="s">
        <v>7</v>
      </c>
      <c r="H373" s="4">
        <v>9</v>
      </c>
      <c r="I373" s="4">
        <f>Table13[[#This Row],[تعداد کل درخت‏های تحت آبیاری
(اصله مستقل)
(N)]]*Table13[[#This Row],[سطح پوشش مفروض برای هر درخت
(متر مربع)]]</f>
        <v>279</v>
      </c>
      <c r="J37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7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73" s="8">
        <f>IF(Table13[[#This Row],[آیا
Achech  &gt;  Atree]]=1, 1, Table13[[#This Row],[Psh]]+(0.15*(1-Table13[[#This Row],[Psh]])))</f>
        <v>1</v>
      </c>
      <c r="M373" s="8">
        <f>IF(Table13[[#This Row],[آیا
Achech  &gt;  Atree]]=1, 0.65, 1)</f>
        <v>0.65</v>
      </c>
      <c r="N37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72</v>
      </c>
      <c r="O37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2.3225806451612905</v>
      </c>
    </row>
    <row r="374" spans="2:15" x14ac:dyDescent="0.3">
      <c r="B374" s="4" t="s">
        <v>1189</v>
      </c>
      <c r="C374" s="4">
        <v>988</v>
      </c>
      <c r="D374" s="4">
        <v>319</v>
      </c>
      <c r="E374" s="4">
        <v>837</v>
      </c>
      <c r="F374" s="4">
        <v>23815</v>
      </c>
      <c r="G374" s="16" t="s">
        <v>7</v>
      </c>
      <c r="H374" s="4">
        <v>9</v>
      </c>
      <c r="I374" s="4">
        <f>Table13[[#This Row],[تعداد کل درخت‏های تحت آبیاری
(اصله مستقل)
(N)]]*Table13[[#This Row],[سطح پوشش مفروض برای هر درخت
(متر مربع)]]</f>
        <v>2871</v>
      </c>
      <c r="J37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7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74" s="8">
        <f>IF(Table13[[#This Row],[آیا
Achech  &gt;  Atree]]=1, 1, Table13[[#This Row],[Psh]]+(0.15*(1-Table13[[#This Row],[Psh]])))</f>
        <v>1</v>
      </c>
      <c r="M374" s="8">
        <f>IF(Table13[[#This Row],[آیا
Achech  &gt;  Atree]]=1, 0.65, 1)</f>
        <v>0.65</v>
      </c>
      <c r="N37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837</v>
      </c>
      <c r="O37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2.6238244514106581</v>
      </c>
    </row>
    <row r="375" spans="2:15" x14ac:dyDescent="0.3">
      <c r="B375" s="4" t="s">
        <v>1190</v>
      </c>
      <c r="C375" s="4">
        <v>1271</v>
      </c>
      <c r="D375" s="4">
        <v>120</v>
      </c>
      <c r="E375" s="4">
        <v>500</v>
      </c>
      <c r="F375" s="4">
        <v>32070</v>
      </c>
      <c r="G375" s="16" t="s">
        <v>7</v>
      </c>
      <c r="H375" s="4">
        <v>9</v>
      </c>
      <c r="I375" s="4">
        <f>Table13[[#This Row],[تعداد کل درخت‏های تحت آبیاری
(اصله مستقل)
(N)]]*Table13[[#This Row],[سطح پوشش مفروض برای هر درخت
(متر مربع)]]</f>
        <v>1080</v>
      </c>
      <c r="J37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7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75" s="8">
        <f>IF(Table13[[#This Row],[آیا
Achech  &gt;  Atree]]=1, 1, Table13[[#This Row],[Psh]]+(0.15*(1-Table13[[#This Row],[Psh]])))</f>
        <v>1</v>
      </c>
      <c r="M375" s="8">
        <f>IF(Table13[[#This Row],[آیا
Achech  &gt;  Atree]]=1, 0.65, 1)</f>
        <v>0.65</v>
      </c>
      <c r="N37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500</v>
      </c>
      <c r="O37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4.166666666666667</v>
      </c>
    </row>
    <row r="376" spans="2:15" x14ac:dyDescent="0.3">
      <c r="B376" s="4" t="s">
        <v>1191</v>
      </c>
      <c r="C376" s="4">
        <v>210</v>
      </c>
      <c r="D376" s="4">
        <v>28</v>
      </c>
      <c r="E376" s="4">
        <v>112</v>
      </c>
      <c r="F376" s="4">
        <v>4676</v>
      </c>
      <c r="G376" s="16" t="s">
        <v>7</v>
      </c>
      <c r="H376" s="4">
        <v>9</v>
      </c>
      <c r="I376" s="4">
        <f>Table13[[#This Row],[تعداد کل درخت‏های تحت آبیاری
(اصله مستقل)
(N)]]*Table13[[#This Row],[سطح پوشش مفروض برای هر درخت
(متر مربع)]]</f>
        <v>252</v>
      </c>
      <c r="J37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7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76" s="8">
        <f>IF(Table13[[#This Row],[آیا
Achech  &gt;  Atree]]=1, 1, Table13[[#This Row],[Psh]]+(0.15*(1-Table13[[#This Row],[Psh]])))</f>
        <v>1</v>
      </c>
      <c r="M376" s="8">
        <f>IF(Table13[[#This Row],[آیا
Achech  &gt;  Atree]]=1, 0.65, 1)</f>
        <v>0.65</v>
      </c>
      <c r="N37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112</v>
      </c>
      <c r="O37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</v>
      </c>
    </row>
    <row r="377" spans="2:15" x14ac:dyDescent="0.3">
      <c r="B377" s="4" t="s">
        <v>1192</v>
      </c>
      <c r="C377" s="4">
        <v>148</v>
      </c>
      <c r="D377" s="4">
        <v>1</v>
      </c>
      <c r="E377" s="4">
        <v>2</v>
      </c>
      <c r="F377" s="4">
        <v>2081</v>
      </c>
      <c r="G377" s="16" t="s">
        <v>7</v>
      </c>
      <c r="H377" s="4">
        <v>9</v>
      </c>
      <c r="I377" s="4">
        <f>Table13[[#This Row],[تعداد کل درخت‏های تحت آبیاری
(اصله مستقل)
(N)]]*Table13[[#This Row],[سطح پوشش مفروض برای هر درخت
(متر مربع)]]</f>
        <v>9</v>
      </c>
      <c r="J37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7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77" s="8">
        <f>IF(Table13[[#This Row],[آیا
Achech  &gt;  Atree]]=1, 1, Table13[[#This Row],[Psh]]+(0.15*(1-Table13[[#This Row],[Psh]])))</f>
        <v>1</v>
      </c>
      <c r="M377" s="8">
        <f>IF(Table13[[#This Row],[آیا
Achech  &gt;  Atree]]=1, 0.65, 1)</f>
        <v>0.65</v>
      </c>
      <c r="N37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</v>
      </c>
      <c r="O37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</v>
      </c>
    </row>
    <row r="378" spans="2:15" x14ac:dyDescent="0.3">
      <c r="B378" s="4" t="s">
        <v>1193</v>
      </c>
      <c r="C378" s="4">
        <v>146</v>
      </c>
      <c r="D378" s="4">
        <v>4</v>
      </c>
      <c r="E378" s="4">
        <v>8</v>
      </c>
      <c r="F378" s="4">
        <v>3957</v>
      </c>
      <c r="G378" s="16" t="s">
        <v>7</v>
      </c>
      <c r="H378" s="4">
        <v>9</v>
      </c>
      <c r="I378" s="4">
        <f>Table13[[#This Row],[تعداد کل درخت‏های تحت آبیاری
(اصله مستقل)
(N)]]*Table13[[#This Row],[سطح پوشش مفروض برای هر درخت
(متر مربع)]]</f>
        <v>36</v>
      </c>
      <c r="J37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7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78" s="8">
        <f>IF(Table13[[#This Row],[آیا
Achech  &gt;  Atree]]=1, 1, Table13[[#This Row],[Psh]]+(0.15*(1-Table13[[#This Row],[Psh]])))</f>
        <v>1</v>
      </c>
      <c r="M378" s="8">
        <f>IF(Table13[[#This Row],[آیا
Achech  &gt;  Atree]]=1, 0.65, 1)</f>
        <v>0.65</v>
      </c>
      <c r="N37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8</v>
      </c>
      <c r="O37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</v>
      </c>
    </row>
    <row r="379" spans="2:15" x14ac:dyDescent="0.3">
      <c r="B379" s="4" t="s">
        <v>1194</v>
      </c>
      <c r="C379" s="4">
        <v>173</v>
      </c>
      <c r="D379" s="4">
        <v>30</v>
      </c>
      <c r="E379" s="4">
        <v>60</v>
      </c>
      <c r="F379" s="4">
        <v>2898</v>
      </c>
      <c r="G379" s="16" t="s">
        <v>7</v>
      </c>
      <c r="H379" s="4">
        <v>9</v>
      </c>
      <c r="I379" s="4">
        <f>Table13[[#This Row],[تعداد کل درخت‏های تحت آبیاری
(اصله مستقل)
(N)]]*Table13[[#This Row],[سطح پوشش مفروض برای هر درخت
(متر مربع)]]</f>
        <v>270</v>
      </c>
      <c r="J37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7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79" s="8">
        <f>IF(Table13[[#This Row],[آیا
Achech  &gt;  Atree]]=1, 1, Table13[[#This Row],[Psh]]+(0.15*(1-Table13[[#This Row],[Psh]])))</f>
        <v>1</v>
      </c>
      <c r="M379" s="8">
        <f>IF(Table13[[#This Row],[آیا
Achech  &gt;  Atree]]=1, 0.65, 1)</f>
        <v>0.65</v>
      </c>
      <c r="N37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60</v>
      </c>
      <c r="O37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</v>
      </c>
    </row>
    <row r="380" spans="2:15" x14ac:dyDescent="0.3">
      <c r="B380" s="4" t="s">
        <v>1195</v>
      </c>
      <c r="C380" s="4">
        <v>475</v>
      </c>
      <c r="D380" s="4">
        <v>52</v>
      </c>
      <c r="E380" s="4">
        <v>150</v>
      </c>
      <c r="F380" s="4">
        <v>8034</v>
      </c>
      <c r="G380" s="16" t="s">
        <v>7</v>
      </c>
      <c r="H380" s="4">
        <v>9</v>
      </c>
      <c r="I380" s="4">
        <f>Table13[[#This Row],[تعداد کل درخت‏های تحت آبیاری
(اصله مستقل)
(N)]]*Table13[[#This Row],[سطح پوشش مفروض برای هر درخت
(متر مربع)]]</f>
        <v>468</v>
      </c>
      <c r="J38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8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80" s="8">
        <f>IF(Table13[[#This Row],[آیا
Achech  &gt;  Atree]]=1, 1, Table13[[#This Row],[Psh]]+(0.15*(1-Table13[[#This Row],[Psh]])))</f>
        <v>1</v>
      </c>
      <c r="M380" s="8">
        <f>IF(Table13[[#This Row],[آیا
Achech  &gt;  Atree]]=1, 0.65, 1)</f>
        <v>0.65</v>
      </c>
      <c r="N38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150</v>
      </c>
      <c r="O38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2.8846153846153846</v>
      </c>
    </row>
    <row r="381" spans="2:15" x14ac:dyDescent="0.3">
      <c r="B381" s="4" t="s">
        <v>1196</v>
      </c>
      <c r="C381" s="4">
        <v>415</v>
      </c>
      <c r="D381" s="4">
        <v>304</v>
      </c>
      <c r="E381" s="4">
        <v>450</v>
      </c>
      <c r="F381" s="4">
        <v>6741</v>
      </c>
      <c r="G381" s="16" t="s">
        <v>7</v>
      </c>
      <c r="H381" s="4">
        <v>9</v>
      </c>
      <c r="I381" s="4">
        <f>Table13[[#This Row],[تعداد کل درخت‏های تحت آبیاری
(اصله مستقل)
(N)]]*Table13[[#This Row],[سطح پوشش مفروض برای هر درخت
(متر مربع)]]</f>
        <v>2736</v>
      </c>
      <c r="J38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8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81" s="8">
        <f>IF(Table13[[#This Row],[آیا
Achech  &gt;  Atree]]=1, 1, Table13[[#This Row],[Psh]]+(0.15*(1-Table13[[#This Row],[Psh]])))</f>
        <v>1</v>
      </c>
      <c r="M381" s="8">
        <f>IF(Table13[[#This Row],[آیا
Achech  &gt;  Atree]]=1, 0.65, 1)</f>
        <v>0.65</v>
      </c>
      <c r="N38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450</v>
      </c>
      <c r="O38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1.4802631578947369</v>
      </c>
    </row>
    <row r="382" spans="2:15" x14ac:dyDescent="0.3">
      <c r="B382" s="4" t="s">
        <v>1197</v>
      </c>
      <c r="C382" s="4">
        <v>936</v>
      </c>
      <c r="D382" s="4">
        <v>178</v>
      </c>
      <c r="E382" s="4">
        <v>344</v>
      </c>
      <c r="F382" s="4">
        <v>19178</v>
      </c>
      <c r="G382" s="16" t="s">
        <v>7</v>
      </c>
      <c r="H382" s="4">
        <v>9</v>
      </c>
      <c r="I382" s="4">
        <f>Table13[[#This Row],[تعداد کل درخت‏های تحت آبیاری
(اصله مستقل)
(N)]]*Table13[[#This Row],[سطح پوشش مفروض برای هر درخت
(متر مربع)]]</f>
        <v>1602</v>
      </c>
      <c r="J38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8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82" s="8">
        <f>IF(Table13[[#This Row],[آیا
Achech  &gt;  Atree]]=1, 1, Table13[[#This Row],[Psh]]+(0.15*(1-Table13[[#This Row],[Psh]])))</f>
        <v>1</v>
      </c>
      <c r="M382" s="8">
        <f>IF(Table13[[#This Row],[آیا
Achech  &gt;  Atree]]=1, 0.65, 1)</f>
        <v>0.65</v>
      </c>
      <c r="N38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344</v>
      </c>
      <c r="O38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1.9325842696629214</v>
      </c>
    </row>
    <row r="383" spans="2:15" x14ac:dyDescent="0.3">
      <c r="B383" s="4" t="s">
        <v>1198</v>
      </c>
      <c r="C383" s="4">
        <v>268</v>
      </c>
      <c r="D383" s="4">
        <v>20</v>
      </c>
      <c r="E383" s="4">
        <v>50</v>
      </c>
      <c r="F383" s="4">
        <v>8818</v>
      </c>
      <c r="G383" s="16" t="s">
        <v>7</v>
      </c>
      <c r="H383" s="4">
        <v>9</v>
      </c>
      <c r="I383" s="4">
        <f>Table13[[#This Row],[تعداد کل درخت‏های تحت آبیاری
(اصله مستقل)
(N)]]*Table13[[#This Row],[سطح پوشش مفروض برای هر درخت
(متر مربع)]]</f>
        <v>180</v>
      </c>
      <c r="J38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8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83" s="8">
        <f>IF(Table13[[#This Row],[آیا
Achech  &gt;  Atree]]=1, 1, Table13[[#This Row],[Psh]]+(0.15*(1-Table13[[#This Row],[Psh]])))</f>
        <v>1</v>
      </c>
      <c r="M383" s="8">
        <f>IF(Table13[[#This Row],[آیا
Achech  &gt;  Atree]]=1, 0.65, 1)</f>
        <v>0.65</v>
      </c>
      <c r="N38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50</v>
      </c>
      <c r="O38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2.5</v>
      </c>
    </row>
    <row r="384" spans="2:15" x14ac:dyDescent="0.3">
      <c r="B384" s="4" t="s">
        <v>1199</v>
      </c>
      <c r="C384" s="4">
        <v>504</v>
      </c>
      <c r="D384" s="4">
        <v>27</v>
      </c>
      <c r="E384" s="4">
        <v>54</v>
      </c>
      <c r="F384" s="4">
        <v>9510</v>
      </c>
      <c r="G384" s="16" t="s">
        <v>7</v>
      </c>
      <c r="H384" s="4">
        <v>9</v>
      </c>
      <c r="I384" s="4">
        <f>Table13[[#This Row],[تعداد کل درخت‏های تحت آبیاری
(اصله مستقل)
(N)]]*Table13[[#This Row],[سطح پوشش مفروض برای هر درخت
(متر مربع)]]</f>
        <v>243</v>
      </c>
      <c r="J38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8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84" s="8">
        <f>IF(Table13[[#This Row],[آیا
Achech  &gt;  Atree]]=1, 1, Table13[[#This Row],[Psh]]+(0.15*(1-Table13[[#This Row],[Psh]])))</f>
        <v>1</v>
      </c>
      <c r="M384" s="8">
        <f>IF(Table13[[#This Row],[آیا
Achech  &gt;  Atree]]=1, 0.65, 1)</f>
        <v>0.65</v>
      </c>
      <c r="N38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54</v>
      </c>
      <c r="O38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</v>
      </c>
    </row>
    <row r="385" spans="2:15" x14ac:dyDescent="0.3">
      <c r="B385" s="4" t="s">
        <v>1200</v>
      </c>
      <c r="C385" s="4">
        <v>1126</v>
      </c>
      <c r="D385" s="4">
        <v>120</v>
      </c>
      <c r="E385" s="4">
        <v>240</v>
      </c>
      <c r="F385" s="4">
        <v>23778</v>
      </c>
      <c r="G385" s="16" t="s">
        <v>7</v>
      </c>
      <c r="H385" s="4">
        <v>9</v>
      </c>
      <c r="I385" s="4">
        <f>Table13[[#This Row],[تعداد کل درخت‏های تحت آبیاری
(اصله مستقل)
(N)]]*Table13[[#This Row],[سطح پوشش مفروض برای هر درخت
(متر مربع)]]</f>
        <v>1080</v>
      </c>
      <c r="J38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8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85" s="8">
        <f>IF(Table13[[#This Row],[آیا
Achech  &gt;  Atree]]=1, 1, Table13[[#This Row],[Psh]]+(0.15*(1-Table13[[#This Row],[Psh]])))</f>
        <v>1</v>
      </c>
      <c r="M385" s="8">
        <f>IF(Table13[[#This Row],[آیا
Achech  &gt;  Atree]]=1, 0.65, 1)</f>
        <v>0.65</v>
      </c>
      <c r="N38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240</v>
      </c>
      <c r="O38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</v>
      </c>
    </row>
    <row r="386" spans="2:15" x14ac:dyDescent="0.3">
      <c r="B386" s="4" t="s">
        <v>1205</v>
      </c>
      <c r="C386" s="4">
        <v>189</v>
      </c>
      <c r="D386" s="4">
        <v>45</v>
      </c>
      <c r="E386" s="4">
        <v>130</v>
      </c>
      <c r="F386" s="4">
        <v>7046</v>
      </c>
      <c r="G386" s="16" t="s">
        <v>7</v>
      </c>
      <c r="H386" s="4">
        <v>9</v>
      </c>
      <c r="I386" s="4">
        <f>Table13[[#This Row],[تعداد کل درخت‏های تحت آبیاری
(اصله مستقل)
(N)]]*Table13[[#This Row],[سطح پوشش مفروض برای هر درخت
(متر مربع)]]</f>
        <v>405</v>
      </c>
      <c r="J38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8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86" s="8">
        <f>IF(Table13[[#This Row],[آیا
Achech  &gt;  Atree]]=1, 1, Table13[[#This Row],[Psh]]+(0.15*(1-Table13[[#This Row],[Psh]])))</f>
        <v>1</v>
      </c>
      <c r="M386" s="8">
        <f>IF(Table13[[#This Row],[آیا
Achech  &gt;  Atree]]=1, 0.65, 1)</f>
        <v>0.65</v>
      </c>
      <c r="N38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130</v>
      </c>
      <c r="O38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2.8888888888888888</v>
      </c>
    </row>
    <row r="387" spans="2:15" x14ac:dyDescent="0.3">
      <c r="B387" s="4" t="s">
        <v>1206</v>
      </c>
      <c r="C387" s="4">
        <v>81</v>
      </c>
      <c r="D387" s="4">
        <v>10</v>
      </c>
      <c r="E387" s="4">
        <v>30</v>
      </c>
      <c r="F387" s="4">
        <v>1410</v>
      </c>
      <c r="G387" s="16" t="s">
        <v>7</v>
      </c>
      <c r="H387" s="4">
        <v>9</v>
      </c>
      <c r="I387" s="4">
        <f>Table13[[#This Row],[تعداد کل درخت‏های تحت آبیاری
(اصله مستقل)
(N)]]*Table13[[#This Row],[سطح پوشش مفروض برای هر درخت
(متر مربع)]]</f>
        <v>90</v>
      </c>
      <c r="J38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8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87" s="8">
        <f>IF(Table13[[#This Row],[آیا
Achech  &gt;  Atree]]=1, 1, Table13[[#This Row],[Psh]]+(0.15*(1-Table13[[#This Row],[Psh]])))</f>
        <v>1</v>
      </c>
      <c r="M387" s="8">
        <f>IF(Table13[[#This Row],[آیا
Achech  &gt;  Atree]]=1, 0.65, 1)</f>
        <v>0.65</v>
      </c>
      <c r="N38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30</v>
      </c>
      <c r="O38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</v>
      </c>
    </row>
    <row r="388" spans="2:15" x14ac:dyDescent="0.3">
      <c r="B388" s="4" t="s">
        <v>1207</v>
      </c>
      <c r="C388" s="4">
        <v>160</v>
      </c>
      <c r="D388" s="4">
        <v>15</v>
      </c>
      <c r="E388" s="4">
        <v>45</v>
      </c>
      <c r="F388" s="4">
        <v>4242</v>
      </c>
      <c r="G388" s="16" t="s">
        <v>7</v>
      </c>
      <c r="H388" s="4">
        <v>9</v>
      </c>
      <c r="I388" s="4">
        <f>Table13[[#This Row],[تعداد کل درخت‏های تحت آبیاری
(اصله مستقل)
(N)]]*Table13[[#This Row],[سطح پوشش مفروض برای هر درخت
(متر مربع)]]</f>
        <v>135</v>
      </c>
      <c r="J38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8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88" s="8">
        <f>IF(Table13[[#This Row],[آیا
Achech  &gt;  Atree]]=1, 1, Table13[[#This Row],[Psh]]+(0.15*(1-Table13[[#This Row],[Psh]])))</f>
        <v>1</v>
      </c>
      <c r="M388" s="8">
        <f>IF(Table13[[#This Row],[آیا
Achech  &gt;  Atree]]=1, 0.65, 1)</f>
        <v>0.65</v>
      </c>
      <c r="N38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45</v>
      </c>
      <c r="O38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</v>
      </c>
    </row>
    <row r="389" spans="2:15" x14ac:dyDescent="0.3">
      <c r="B389" s="4" t="s">
        <v>1208</v>
      </c>
      <c r="C389" s="4">
        <v>142</v>
      </c>
      <c r="D389" s="4">
        <v>37</v>
      </c>
      <c r="E389" s="4">
        <v>102</v>
      </c>
      <c r="F389" s="4">
        <v>2578</v>
      </c>
      <c r="G389" s="16" t="s">
        <v>7</v>
      </c>
      <c r="H389" s="4">
        <v>9</v>
      </c>
      <c r="I389" s="4">
        <f>Table13[[#This Row],[تعداد کل درخت‏های تحت آبیاری
(اصله مستقل)
(N)]]*Table13[[#This Row],[سطح پوشش مفروض برای هر درخت
(متر مربع)]]</f>
        <v>333</v>
      </c>
      <c r="J38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8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89" s="8">
        <f>IF(Table13[[#This Row],[آیا
Achech  &gt;  Atree]]=1, 1, Table13[[#This Row],[Psh]]+(0.15*(1-Table13[[#This Row],[Psh]])))</f>
        <v>1</v>
      </c>
      <c r="M389" s="8">
        <f>IF(Table13[[#This Row],[آیا
Achech  &gt;  Atree]]=1, 0.65, 1)</f>
        <v>0.65</v>
      </c>
      <c r="N38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102</v>
      </c>
      <c r="O38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2.7567567567567566</v>
      </c>
    </row>
    <row r="390" spans="2:15" x14ac:dyDescent="0.3">
      <c r="B390" s="4" t="s">
        <v>1209</v>
      </c>
      <c r="C390" s="4">
        <v>89</v>
      </c>
      <c r="D390" s="4">
        <v>72</v>
      </c>
      <c r="E390" s="4">
        <v>182</v>
      </c>
      <c r="F390" s="4">
        <v>1024</v>
      </c>
      <c r="G390" s="16" t="s">
        <v>7</v>
      </c>
      <c r="H390" s="4">
        <v>9</v>
      </c>
      <c r="I390" s="4">
        <f>Table13[[#This Row],[تعداد کل درخت‏های تحت آبیاری
(اصله مستقل)
(N)]]*Table13[[#This Row],[سطح پوشش مفروض برای هر درخت
(متر مربع)]]</f>
        <v>648</v>
      </c>
      <c r="J39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9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90" s="8">
        <f>IF(Table13[[#This Row],[آیا
Achech  &gt;  Atree]]=1, 1, Table13[[#This Row],[Psh]]+(0.15*(1-Table13[[#This Row],[Psh]])))</f>
        <v>1</v>
      </c>
      <c r="M390" s="8">
        <f>IF(Table13[[#This Row],[آیا
Achech  &gt;  Atree]]=1, 0.65, 1)</f>
        <v>0.65</v>
      </c>
      <c r="N39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182</v>
      </c>
      <c r="O39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2.5277777777777777</v>
      </c>
    </row>
    <row r="391" spans="2:15" x14ac:dyDescent="0.3">
      <c r="B391" s="4" t="s">
        <v>1210</v>
      </c>
      <c r="C391" s="4">
        <v>752</v>
      </c>
      <c r="D391" s="4">
        <v>752</v>
      </c>
      <c r="E391" s="4">
        <v>7500</v>
      </c>
      <c r="F391" s="4">
        <v>7500</v>
      </c>
      <c r="G391" s="16" t="s">
        <v>286</v>
      </c>
      <c r="H391" s="4">
        <v>9</v>
      </c>
      <c r="I391" s="4">
        <f>Table13[[#This Row],[تعداد کل درخت‏های تحت آبیاری
(اصله مستقل)
(N)]]*Table13[[#This Row],[سطح پوشش مفروض برای هر درخت
(متر مربع)]]</f>
        <v>6768</v>
      </c>
      <c r="J39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9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0.90239999999999998</v>
      </c>
      <c r="L391" s="8">
        <f>IF(Table13[[#This Row],[آیا
Achech  &gt;  Atree]]=1, 1, Table13[[#This Row],[Psh]]+(0.15*(1-Table13[[#This Row],[Psh]])))</f>
        <v>0.91703999999999997</v>
      </c>
      <c r="M391" s="8">
        <f>IF(Table13[[#This Row],[آیا
Achech  &gt;  Atree]]=1, 0.65, 1)</f>
        <v>1</v>
      </c>
      <c r="N39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6768</v>
      </c>
      <c r="O39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92" spans="2:15" x14ac:dyDescent="0.3">
      <c r="B392" s="4" t="s">
        <v>1231</v>
      </c>
      <c r="C392" s="4">
        <v>180</v>
      </c>
      <c r="D392" s="4">
        <v>72</v>
      </c>
      <c r="E392" s="4">
        <v>813</v>
      </c>
      <c r="F392" s="4">
        <v>2649</v>
      </c>
      <c r="G392" s="16" t="s">
        <v>7</v>
      </c>
      <c r="H392" s="4">
        <v>9</v>
      </c>
      <c r="I392" s="4">
        <f>Table13[[#This Row],[تعداد کل درخت‏های تحت آبیاری
(اصله مستقل)
(N)]]*Table13[[#This Row],[سطح پوشش مفروض برای هر درخت
(متر مربع)]]</f>
        <v>648</v>
      </c>
      <c r="J39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9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0.79704797047970477</v>
      </c>
      <c r="L392" s="8">
        <f>IF(Table13[[#This Row],[آیا
Achech  &gt;  Atree]]=1, 1, Table13[[#This Row],[Psh]]+(0.15*(1-Table13[[#This Row],[Psh]])))</f>
        <v>0.82749077490774903</v>
      </c>
      <c r="M392" s="8">
        <f>IF(Table13[[#This Row],[آیا
Achech  &gt;  Atree]]=1, 0.65, 1)</f>
        <v>1</v>
      </c>
      <c r="N39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648</v>
      </c>
      <c r="O39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93" spans="2:15" x14ac:dyDescent="0.3">
      <c r="B393" s="4" t="s">
        <v>1232</v>
      </c>
      <c r="C393" s="4">
        <v>364</v>
      </c>
      <c r="D393" s="4">
        <v>202</v>
      </c>
      <c r="E393" s="4">
        <v>490</v>
      </c>
      <c r="F393" s="4">
        <v>6675</v>
      </c>
      <c r="G393" s="16" t="s">
        <v>7</v>
      </c>
      <c r="H393" s="4">
        <v>9</v>
      </c>
      <c r="I393" s="4">
        <f>Table13[[#This Row],[تعداد کل درخت‏های تحت آبیاری
(اصله مستقل)
(N)]]*Table13[[#This Row],[سطح پوشش مفروض برای هر درخت
(متر مربع)]]</f>
        <v>1818</v>
      </c>
      <c r="J39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9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93" s="8">
        <f>IF(Table13[[#This Row],[آیا
Achech  &gt;  Atree]]=1, 1, Table13[[#This Row],[Psh]]+(0.15*(1-Table13[[#This Row],[Psh]])))</f>
        <v>1</v>
      </c>
      <c r="M393" s="8">
        <f>IF(Table13[[#This Row],[آیا
Achech  &gt;  Atree]]=1, 0.65, 1)</f>
        <v>0.65</v>
      </c>
      <c r="N39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490</v>
      </c>
      <c r="O39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2.4257425742574257</v>
      </c>
    </row>
    <row r="394" spans="2:15" x14ac:dyDescent="0.3">
      <c r="B394" s="4" t="s">
        <v>1233</v>
      </c>
      <c r="C394" s="4">
        <v>240</v>
      </c>
      <c r="D394" s="4">
        <v>95</v>
      </c>
      <c r="E394" s="4">
        <v>150</v>
      </c>
      <c r="F394" s="4">
        <v>5980</v>
      </c>
      <c r="G394" s="16" t="s">
        <v>7</v>
      </c>
      <c r="H394" s="4">
        <v>9</v>
      </c>
      <c r="I394" s="4">
        <f>Table13[[#This Row],[تعداد کل درخت‏های تحت آبیاری
(اصله مستقل)
(N)]]*Table13[[#This Row],[سطح پوشش مفروض برای هر درخت
(متر مربع)]]</f>
        <v>855</v>
      </c>
      <c r="J39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9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94" s="8">
        <f>IF(Table13[[#This Row],[آیا
Achech  &gt;  Atree]]=1, 1, Table13[[#This Row],[Psh]]+(0.15*(1-Table13[[#This Row],[Psh]])))</f>
        <v>1</v>
      </c>
      <c r="M394" s="8">
        <f>IF(Table13[[#This Row],[آیا
Achech  &gt;  Atree]]=1, 0.65, 1)</f>
        <v>0.65</v>
      </c>
      <c r="N39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150</v>
      </c>
      <c r="O39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1.5789473684210527</v>
      </c>
    </row>
    <row r="395" spans="2:15" x14ac:dyDescent="0.3">
      <c r="B395" s="4" t="s">
        <v>1234</v>
      </c>
      <c r="C395" s="4">
        <v>1453</v>
      </c>
      <c r="D395" s="4">
        <v>770</v>
      </c>
      <c r="E395" s="4">
        <v>3240</v>
      </c>
      <c r="F395" s="4">
        <v>35127</v>
      </c>
      <c r="G395" s="16" t="s">
        <v>7</v>
      </c>
      <c r="H395" s="4">
        <v>9</v>
      </c>
      <c r="I395" s="4">
        <f>Table13[[#This Row],[تعداد کل درخت‏های تحت آبیاری
(اصله مستقل)
(N)]]*Table13[[#This Row],[سطح پوشش مفروض برای هر درخت
(متر مربع)]]</f>
        <v>6930</v>
      </c>
      <c r="J39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9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95" s="8">
        <f>IF(Table13[[#This Row],[آیا
Achech  &gt;  Atree]]=1, 1, Table13[[#This Row],[Psh]]+(0.15*(1-Table13[[#This Row],[Psh]])))</f>
        <v>1</v>
      </c>
      <c r="M395" s="8">
        <f>IF(Table13[[#This Row],[آیا
Achech  &gt;  Atree]]=1, 0.65, 1)</f>
        <v>0.65</v>
      </c>
      <c r="N39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3240</v>
      </c>
      <c r="O39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4.2077922077922079</v>
      </c>
    </row>
    <row r="396" spans="2:15" x14ac:dyDescent="0.3">
      <c r="B396" s="4" t="s">
        <v>1235</v>
      </c>
      <c r="C396" s="4">
        <v>536</v>
      </c>
      <c r="D396" s="4">
        <v>90</v>
      </c>
      <c r="E396" s="4">
        <v>370</v>
      </c>
      <c r="F396" s="4">
        <v>17044</v>
      </c>
      <c r="G396" s="16" t="s">
        <v>7</v>
      </c>
      <c r="H396" s="4">
        <v>9</v>
      </c>
      <c r="I396" s="4">
        <f>Table13[[#This Row],[تعداد کل درخت‏های تحت آبیاری
(اصله مستقل)
(N)]]*Table13[[#This Row],[سطح پوشش مفروض برای هر درخت
(متر مربع)]]</f>
        <v>810</v>
      </c>
      <c r="J39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9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96" s="8">
        <f>IF(Table13[[#This Row],[آیا
Achech  &gt;  Atree]]=1, 1, Table13[[#This Row],[Psh]]+(0.15*(1-Table13[[#This Row],[Psh]])))</f>
        <v>1</v>
      </c>
      <c r="M396" s="8">
        <f>IF(Table13[[#This Row],[آیا
Achech  &gt;  Atree]]=1, 0.65, 1)</f>
        <v>0.65</v>
      </c>
      <c r="N39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370</v>
      </c>
      <c r="O39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4.1111111111111107</v>
      </c>
    </row>
    <row r="397" spans="2:15" x14ac:dyDescent="0.3">
      <c r="B397" s="4" t="s">
        <v>1236</v>
      </c>
      <c r="C397" s="4">
        <v>334</v>
      </c>
      <c r="D397" s="4">
        <v>74</v>
      </c>
      <c r="E397" s="4">
        <v>1350</v>
      </c>
      <c r="F397" s="4">
        <v>6834</v>
      </c>
      <c r="G397" s="16" t="s">
        <v>7</v>
      </c>
      <c r="H397" s="4">
        <v>9</v>
      </c>
      <c r="I397" s="4">
        <f>Table13[[#This Row],[تعداد کل درخت‏های تحت آبیاری
(اصله مستقل)
(N)]]*Table13[[#This Row],[سطح پوشش مفروض برای هر درخت
(متر مربع)]]</f>
        <v>666</v>
      </c>
      <c r="J39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39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0.49333333333333335</v>
      </c>
      <c r="L397" s="8">
        <f>IF(Table13[[#This Row],[آیا
Achech  &gt;  Atree]]=1, 1, Table13[[#This Row],[Psh]]+(0.15*(1-Table13[[#This Row],[Psh]])))</f>
        <v>0.56933333333333336</v>
      </c>
      <c r="M397" s="8">
        <f>IF(Table13[[#This Row],[آیا
Achech  &gt;  Atree]]=1, 0.65, 1)</f>
        <v>1</v>
      </c>
      <c r="N39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666</v>
      </c>
      <c r="O39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398" spans="2:15" x14ac:dyDescent="0.3">
      <c r="B398" s="4" t="s">
        <v>1237</v>
      </c>
      <c r="C398" s="4">
        <v>551</v>
      </c>
      <c r="D398" s="4">
        <v>38</v>
      </c>
      <c r="E398" s="4">
        <v>76</v>
      </c>
      <c r="F398" s="4">
        <v>9489</v>
      </c>
      <c r="G398" s="16" t="s">
        <v>7</v>
      </c>
      <c r="H398" s="4">
        <v>9</v>
      </c>
      <c r="I398" s="4">
        <f>Table13[[#This Row],[تعداد کل درخت‏های تحت آبیاری
(اصله مستقل)
(N)]]*Table13[[#This Row],[سطح پوشش مفروض برای هر درخت
(متر مربع)]]</f>
        <v>342</v>
      </c>
      <c r="J39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9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98" s="8">
        <f>IF(Table13[[#This Row],[آیا
Achech  &gt;  Atree]]=1, 1, Table13[[#This Row],[Psh]]+(0.15*(1-Table13[[#This Row],[Psh]])))</f>
        <v>1</v>
      </c>
      <c r="M398" s="8">
        <f>IF(Table13[[#This Row],[آیا
Achech  &gt;  Atree]]=1, 0.65, 1)</f>
        <v>0.65</v>
      </c>
      <c r="N39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76</v>
      </c>
      <c r="O39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</v>
      </c>
    </row>
    <row r="399" spans="2:15" x14ac:dyDescent="0.3">
      <c r="B399" s="4" t="s">
        <v>1238</v>
      </c>
      <c r="C399" s="4">
        <v>300</v>
      </c>
      <c r="D399" s="4">
        <v>41</v>
      </c>
      <c r="E399" s="4">
        <v>10</v>
      </c>
      <c r="F399" s="4">
        <v>8017</v>
      </c>
      <c r="G399" s="16" t="s">
        <v>7</v>
      </c>
      <c r="H399" s="4">
        <v>9</v>
      </c>
      <c r="I399" s="4">
        <f>Table13[[#This Row],[تعداد کل درخت‏های تحت آبیاری
(اصله مستقل)
(N)]]*Table13[[#This Row],[سطح پوشش مفروض برای هر درخت
(متر مربع)]]</f>
        <v>369</v>
      </c>
      <c r="J39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39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399" s="8">
        <f>IF(Table13[[#This Row],[آیا
Achech  &gt;  Atree]]=1, 1, Table13[[#This Row],[Psh]]+(0.15*(1-Table13[[#This Row],[Psh]])))</f>
        <v>1</v>
      </c>
      <c r="M399" s="8">
        <f>IF(Table13[[#This Row],[آیا
Achech  &gt;  Atree]]=1, 0.65, 1)</f>
        <v>0.65</v>
      </c>
      <c r="N39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10</v>
      </c>
      <c r="O39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0.24390243902439024</v>
      </c>
    </row>
    <row r="400" spans="2:15" x14ac:dyDescent="0.3">
      <c r="B400" s="4" t="s">
        <v>1239</v>
      </c>
      <c r="C400" s="4">
        <v>108</v>
      </c>
      <c r="D400" s="4">
        <v>80</v>
      </c>
      <c r="E400" s="4">
        <v>166</v>
      </c>
      <c r="F400" s="4">
        <v>2737</v>
      </c>
      <c r="G400" s="16" t="s">
        <v>7</v>
      </c>
      <c r="H400" s="4">
        <v>9</v>
      </c>
      <c r="I400" s="4">
        <f>Table13[[#This Row],[تعداد کل درخت‏های تحت آبیاری
(اصله مستقل)
(N)]]*Table13[[#This Row],[سطح پوشش مفروض برای هر درخت
(متر مربع)]]</f>
        <v>720</v>
      </c>
      <c r="J40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0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00" s="8">
        <f>IF(Table13[[#This Row],[آیا
Achech  &gt;  Atree]]=1, 1, Table13[[#This Row],[Psh]]+(0.15*(1-Table13[[#This Row],[Psh]])))</f>
        <v>1</v>
      </c>
      <c r="M400" s="8">
        <f>IF(Table13[[#This Row],[آیا
Achech  &gt;  Atree]]=1, 0.65, 1)</f>
        <v>0.65</v>
      </c>
      <c r="N40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166</v>
      </c>
      <c r="O40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2.0750000000000002</v>
      </c>
    </row>
    <row r="401" spans="2:15" x14ac:dyDescent="0.3">
      <c r="B401" s="4" t="s">
        <v>1240</v>
      </c>
      <c r="C401" s="4">
        <v>98</v>
      </c>
      <c r="D401" s="4">
        <v>5</v>
      </c>
      <c r="E401" s="4">
        <v>6</v>
      </c>
      <c r="F401" s="4">
        <v>1745</v>
      </c>
      <c r="G401" s="16" t="s">
        <v>7</v>
      </c>
      <c r="H401" s="4">
        <v>9</v>
      </c>
      <c r="I401" s="4">
        <f>Table13[[#This Row],[تعداد کل درخت‏های تحت آبیاری
(اصله مستقل)
(N)]]*Table13[[#This Row],[سطح پوشش مفروض برای هر درخت
(متر مربع)]]</f>
        <v>45</v>
      </c>
      <c r="J40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0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01" s="8">
        <f>IF(Table13[[#This Row],[آیا
Achech  &gt;  Atree]]=1, 1, Table13[[#This Row],[Psh]]+(0.15*(1-Table13[[#This Row],[Psh]])))</f>
        <v>1</v>
      </c>
      <c r="M401" s="8">
        <f>IF(Table13[[#This Row],[آیا
Achech  &gt;  Atree]]=1, 0.65, 1)</f>
        <v>0.65</v>
      </c>
      <c r="N40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</v>
      </c>
      <c r="O40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1.2</v>
      </c>
    </row>
    <row r="402" spans="2:15" x14ac:dyDescent="0.3">
      <c r="B402" s="4" t="s">
        <v>1241</v>
      </c>
      <c r="C402" s="4">
        <v>205</v>
      </c>
      <c r="D402" s="4">
        <v>5</v>
      </c>
      <c r="E402" s="4">
        <v>10</v>
      </c>
      <c r="F402" s="4">
        <v>7308</v>
      </c>
      <c r="G402" s="16" t="s">
        <v>7</v>
      </c>
      <c r="H402" s="4">
        <v>9</v>
      </c>
      <c r="I402" s="4">
        <f>Table13[[#This Row],[تعداد کل درخت‏های تحت آبیاری
(اصله مستقل)
(N)]]*Table13[[#This Row],[سطح پوشش مفروض برای هر درخت
(متر مربع)]]</f>
        <v>45</v>
      </c>
      <c r="J40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0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02" s="8">
        <f>IF(Table13[[#This Row],[آیا
Achech  &gt;  Atree]]=1, 1, Table13[[#This Row],[Psh]]+(0.15*(1-Table13[[#This Row],[Psh]])))</f>
        <v>1</v>
      </c>
      <c r="M402" s="8">
        <f>IF(Table13[[#This Row],[آیا
Achech  &gt;  Atree]]=1, 0.65, 1)</f>
        <v>0.65</v>
      </c>
      <c r="N40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10</v>
      </c>
      <c r="O40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</v>
      </c>
    </row>
    <row r="403" spans="2:15" x14ac:dyDescent="0.3">
      <c r="B403" s="4" t="s">
        <v>1242</v>
      </c>
      <c r="C403" s="4">
        <v>220</v>
      </c>
      <c r="D403" s="4">
        <v>39</v>
      </c>
      <c r="E403" s="4">
        <v>46</v>
      </c>
      <c r="F403" s="4">
        <v>4038</v>
      </c>
      <c r="G403" s="16" t="s">
        <v>7</v>
      </c>
      <c r="H403" s="4">
        <v>9</v>
      </c>
      <c r="I403" s="4">
        <f>Table13[[#This Row],[تعداد کل درخت‏های تحت آبیاری
(اصله مستقل)
(N)]]*Table13[[#This Row],[سطح پوشش مفروض برای هر درخت
(متر مربع)]]</f>
        <v>351</v>
      </c>
      <c r="J40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0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03" s="8">
        <f>IF(Table13[[#This Row],[آیا
Achech  &gt;  Atree]]=1, 1, Table13[[#This Row],[Psh]]+(0.15*(1-Table13[[#This Row],[Psh]])))</f>
        <v>1</v>
      </c>
      <c r="M403" s="8">
        <f>IF(Table13[[#This Row],[آیا
Achech  &gt;  Atree]]=1, 0.65, 1)</f>
        <v>0.65</v>
      </c>
      <c r="N40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46</v>
      </c>
      <c r="O40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1.1794871794871795</v>
      </c>
    </row>
    <row r="404" spans="2:15" x14ac:dyDescent="0.3">
      <c r="B404" s="4" t="s">
        <v>1260</v>
      </c>
      <c r="C404" s="4">
        <v>393</v>
      </c>
      <c r="D404" s="4">
        <v>171</v>
      </c>
      <c r="E404" s="4">
        <v>684</v>
      </c>
      <c r="F404" s="4">
        <v>8337</v>
      </c>
      <c r="G404" s="16" t="s">
        <v>7</v>
      </c>
      <c r="H404" s="4">
        <v>9</v>
      </c>
      <c r="I404" s="4">
        <f>Table13[[#This Row],[تعداد کل درخت‏های تحت آبیاری
(اصله مستقل)
(N)]]*Table13[[#This Row],[سطح پوشش مفروض برای هر درخت
(متر مربع)]]</f>
        <v>1539</v>
      </c>
      <c r="J40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0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04" s="8">
        <f>IF(Table13[[#This Row],[آیا
Achech  &gt;  Atree]]=1, 1, Table13[[#This Row],[Psh]]+(0.15*(1-Table13[[#This Row],[Psh]])))</f>
        <v>1</v>
      </c>
      <c r="M404" s="8">
        <f>IF(Table13[[#This Row],[آیا
Achech  &gt;  Atree]]=1, 0.65, 1)</f>
        <v>0.65</v>
      </c>
      <c r="N40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684</v>
      </c>
      <c r="O40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</v>
      </c>
    </row>
    <row r="405" spans="2:15" x14ac:dyDescent="0.3">
      <c r="B405" s="4" t="s">
        <v>1261</v>
      </c>
      <c r="C405" s="4">
        <v>1317</v>
      </c>
      <c r="D405" s="4">
        <v>108</v>
      </c>
      <c r="E405" s="4">
        <v>130</v>
      </c>
      <c r="F405" s="4">
        <v>21691</v>
      </c>
      <c r="G405" s="16" t="s">
        <v>7</v>
      </c>
      <c r="H405" s="4">
        <v>9</v>
      </c>
      <c r="I405" s="4">
        <f>Table13[[#This Row],[تعداد کل درخت‏های تحت آبیاری
(اصله مستقل)
(N)]]*Table13[[#This Row],[سطح پوشش مفروض برای هر درخت
(متر مربع)]]</f>
        <v>972</v>
      </c>
      <c r="J40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0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05" s="8">
        <f>IF(Table13[[#This Row],[آیا
Achech  &gt;  Atree]]=1, 1, Table13[[#This Row],[Psh]]+(0.15*(1-Table13[[#This Row],[Psh]])))</f>
        <v>1</v>
      </c>
      <c r="M405" s="8">
        <f>IF(Table13[[#This Row],[آیا
Achech  &gt;  Atree]]=1, 0.65, 1)</f>
        <v>0.65</v>
      </c>
      <c r="N40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130</v>
      </c>
      <c r="O40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1.2037037037037037</v>
      </c>
    </row>
    <row r="406" spans="2:15" x14ac:dyDescent="0.3">
      <c r="B406" s="4" t="s">
        <v>1262</v>
      </c>
      <c r="C406" s="4">
        <v>654</v>
      </c>
      <c r="D406" s="4">
        <v>70</v>
      </c>
      <c r="E406" s="4">
        <v>151</v>
      </c>
      <c r="F406" s="4">
        <v>12483</v>
      </c>
      <c r="G406" s="16" t="s">
        <v>7</v>
      </c>
      <c r="H406" s="4">
        <v>9</v>
      </c>
      <c r="I406" s="4">
        <f>Table13[[#This Row],[تعداد کل درخت‏های تحت آبیاری
(اصله مستقل)
(N)]]*Table13[[#This Row],[سطح پوشش مفروض برای هر درخت
(متر مربع)]]</f>
        <v>630</v>
      </c>
      <c r="J40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0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06" s="8">
        <f>IF(Table13[[#This Row],[آیا
Achech  &gt;  Atree]]=1, 1, Table13[[#This Row],[Psh]]+(0.15*(1-Table13[[#This Row],[Psh]])))</f>
        <v>1</v>
      </c>
      <c r="M406" s="8">
        <f>IF(Table13[[#This Row],[آیا
Achech  &gt;  Atree]]=1, 0.65, 1)</f>
        <v>0.65</v>
      </c>
      <c r="N40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151</v>
      </c>
      <c r="O40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2.157142857142857</v>
      </c>
    </row>
    <row r="407" spans="2:15" x14ac:dyDescent="0.3">
      <c r="B407" s="4" t="s">
        <v>1263</v>
      </c>
      <c r="C407" s="4">
        <v>2357</v>
      </c>
      <c r="D407" s="4">
        <v>76</v>
      </c>
      <c r="E407" s="4">
        <v>480</v>
      </c>
      <c r="F407" s="4">
        <v>53478</v>
      </c>
      <c r="G407" s="16" t="s">
        <v>7</v>
      </c>
      <c r="H407" s="4">
        <v>9</v>
      </c>
      <c r="I407" s="4">
        <f>Table13[[#This Row],[تعداد کل درخت‏های تحت آبیاری
(اصله مستقل)
(N)]]*Table13[[#This Row],[سطح پوشش مفروض برای هر درخت
(متر مربع)]]</f>
        <v>684</v>
      </c>
      <c r="J40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0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07" s="8">
        <f>IF(Table13[[#This Row],[آیا
Achech  &gt;  Atree]]=1, 1, Table13[[#This Row],[Psh]]+(0.15*(1-Table13[[#This Row],[Psh]])))</f>
        <v>1</v>
      </c>
      <c r="M407" s="8">
        <f>IF(Table13[[#This Row],[آیا
Achech  &gt;  Atree]]=1, 0.65, 1)</f>
        <v>0.65</v>
      </c>
      <c r="N40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480</v>
      </c>
      <c r="O40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6.3157894736842106</v>
      </c>
    </row>
    <row r="408" spans="2:15" x14ac:dyDescent="0.3">
      <c r="B408" s="4" t="s">
        <v>1273</v>
      </c>
      <c r="C408" s="4">
        <v>278</v>
      </c>
      <c r="D408" s="4">
        <v>18.533333333333335</v>
      </c>
      <c r="E408" s="4">
        <v>0</v>
      </c>
      <c r="F408" s="4"/>
      <c r="G408" s="16" t="s">
        <v>7</v>
      </c>
      <c r="H408" s="4">
        <v>9</v>
      </c>
      <c r="I408" s="4">
        <f>Table13[[#This Row],[تعداد کل درخت‏های تحت آبیاری
(اصله مستقل)
(N)]]*Table13[[#This Row],[سطح پوشش مفروض برای هر درخت
(متر مربع)]]</f>
        <v>166.8</v>
      </c>
      <c r="J40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0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08" s="8">
        <f>IF(Table13[[#This Row],[آیا
Achech  &gt;  Atree]]=1, 1, Table13[[#This Row],[Psh]]+(0.15*(1-Table13[[#This Row],[Psh]])))</f>
        <v>1</v>
      </c>
      <c r="M408" s="8">
        <f>IF(Table13[[#This Row],[آیا
Achech  &gt;  Atree]]=1, 0.65, 1)</f>
        <v>0.65</v>
      </c>
      <c r="N40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0</v>
      </c>
      <c r="O40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0</v>
      </c>
    </row>
    <row r="409" spans="2:15" x14ac:dyDescent="0.3">
      <c r="B409" s="4" t="s">
        <v>1285</v>
      </c>
      <c r="C409" s="4">
        <v>324</v>
      </c>
      <c r="D409" s="4">
        <v>7</v>
      </c>
      <c r="E409" s="4">
        <v>6</v>
      </c>
      <c r="F409" s="4">
        <v>3047</v>
      </c>
      <c r="G409" s="16" t="s">
        <v>7</v>
      </c>
      <c r="H409" s="4">
        <v>9</v>
      </c>
      <c r="I409" s="4">
        <f>Table13[[#This Row],[تعداد کل درخت‏های تحت آبیاری
(اصله مستقل)
(N)]]*Table13[[#This Row],[سطح پوشش مفروض برای هر درخت
(متر مربع)]]</f>
        <v>63</v>
      </c>
      <c r="J40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0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09" s="8">
        <f>IF(Table13[[#This Row],[آیا
Achech  &gt;  Atree]]=1, 1, Table13[[#This Row],[Psh]]+(0.15*(1-Table13[[#This Row],[Psh]])))</f>
        <v>1</v>
      </c>
      <c r="M409" s="8">
        <f>IF(Table13[[#This Row],[آیا
Achech  &gt;  Atree]]=1, 0.65, 1)</f>
        <v>0.65</v>
      </c>
      <c r="N40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</v>
      </c>
      <c r="O40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0.8571428571428571</v>
      </c>
    </row>
    <row r="410" spans="2:15" x14ac:dyDescent="0.3">
      <c r="B410" s="4" t="s">
        <v>1286</v>
      </c>
      <c r="C410" s="4">
        <v>609</v>
      </c>
      <c r="D410" s="4">
        <v>512</v>
      </c>
      <c r="E410" s="4">
        <v>646</v>
      </c>
      <c r="F410" s="4">
        <v>9644</v>
      </c>
      <c r="G410" s="16" t="s">
        <v>7</v>
      </c>
      <c r="H410" s="4">
        <v>9</v>
      </c>
      <c r="I410" s="4">
        <f>Table13[[#This Row],[تعداد کل درخت‏های تحت آبیاری
(اصله مستقل)
(N)]]*Table13[[#This Row],[سطح پوشش مفروض برای هر درخت
(متر مربع)]]</f>
        <v>4608</v>
      </c>
      <c r="J41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1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10" s="8">
        <f>IF(Table13[[#This Row],[آیا
Achech  &gt;  Atree]]=1, 1, Table13[[#This Row],[Psh]]+(0.15*(1-Table13[[#This Row],[Psh]])))</f>
        <v>1</v>
      </c>
      <c r="M410" s="8">
        <f>IF(Table13[[#This Row],[آیا
Achech  &gt;  Atree]]=1, 0.65, 1)</f>
        <v>0.65</v>
      </c>
      <c r="N41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646</v>
      </c>
      <c r="O41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1.26171875</v>
      </c>
    </row>
    <row r="411" spans="2:15" x14ac:dyDescent="0.3">
      <c r="B411" s="4" t="s">
        <v>1287</v>
      </c>
      <c r="C411" s="4">
        <v>137</v>
      </c>
      <c r="D411" s="4">
        <v>53</v>
      </c>
      <c r="E411" s="4">
        <v>99</v>
      </c>
      <c r="F411" s="4">
        <v>1699</v>
      </c>
      <c r="G411" s="16" t="s">
        <v>7</v>
      </c>
      <c r="H411" s="4">
        <v>9</v>
      </c>
      <c r="I411" s="4">
        <f>Table13[[#This Row],[تعداد کل درخت‏های تحت آبیاری
(اصله مستقل)
(N)]]*Table13[[#This Row],[سطح پوشش مفروض برای هر درخت
(متر مربع)]]</f>
        <v>477</v>
      </c>
      <c r="J41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1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11" s="8">
        <f>IF(Table13[[#This Row],[آیا
Achech  &gt;  Atree]]=1, 1, Table13[[#This Row],[Psh]]+(0.15*(1-Table13[[#This Row],[Psh]])))</f>
        <v>1</v>
      </c>
      <c r="M411" s="8">
        <f>IF(Table13[[#This Row],[آیا
Achech  &gt;  Atree]]=1, 0.65, 1)</f>
        <v>0.65</v>
      </c>
      <c r="N41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99</v>
      </c>
      <c r="O41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1.8679245283018868</v>
      </c>
    </row>
    <row r="412" spans="2:15" x14ac:dyDescent="0.3">
      <c r="B412" s="4" t="s">
        <v>1288</v>
      </c>
      <c r="C412" s="4">
        <v>128</v>
      </c>
      <c r="D412" s="4">
        <v>128</v>
      </c>
      <c r="E412" s="4">
        <v>116</v>
      </c>
      <c r="F412" s="4">
        <v>2322</v>
      </c>
      <c r="G412" s="16" t="s">
        <v>7</v>
      </c>
      <c r="H412" s="4">
        <v>9</v>
      </c>
      <c r="I412" s="4">
        <f>Table13[[#This Row],[تعداد کل درخت‏های تحت آبیاری
(اصله مستقل)
(N)]]*Table13[[#This Row],[سطح پوشش مفروض برای هر درخت
(متر مربع)]]</f>
        <v>1152</v>
      </c>
      <c r="J41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1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12" s="8">
        <f>IF(Table13[[#This Row],[آیا
Achech  &gt;  Atree]]=1, 1, Table13[[#This Row],[Psh]]+(0.15*(1-Table13[[#This Row],[Psh]])))</f>
        <v>1</v>
      </c>
      <c r="M412" s="8">
        <f>IF(Table13[[#This Row],[آیا
Achech  &gt;  Atree]]=1, 0.65, 1)</f>
        <v>0.65</v>
      </c>
      <c r="N41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116</v>
      </c>
      <c r="O41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0.90625</v>
      </c>
    </row>
    <row r="413" spans="2:15" x14ac:dyDescent="0.3">
      <c r="B413" s="4" t="s">
        <v>1289</v>
      </c>
      <c r="C413" s="4">
        <v>892</v>
      </c>
      <c r="D413" s="4">
        <v>587</v>
      </c>
      <c r="E413" s="4">
        <v>1635</v>
      </c>
      <c r="F413" s="4">
        <v>9177</v>
      </c>
      <c r="G413" s="16" t="s">
        <v>7</v>
      </c>
      <c r="H413" s="4">
        <v>9</v>
      </c>
      <c r="I413" s="4">
        <f>Table13[[#This Row],[تعداد کل درخت‏های تحت آبیاری
(اصله مستقل)
(N)]]*Table13[[#This Row],[سطح پوشش مفروض برای هر درخت
(متر مربع)]]</f>
        <v>5283</v>
      </c>
      <c r="J41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1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13" s="8">
        <f>IF(Table13[[#This Row],[آیا
Achech  &gt;  Atree]]=1, 1, Table13[[#This Row],[Psh]]+(0.15*(1-Table13[[#This Row],[Psh]])))</f>
        <v>1</v>
      </c>
      <c r="M413" s="8">
        <f>IF(Table13[[#This Row],[آیا
Achech  &gt;  Atree]]=1, 0.65, 1)</f>
        <v>0.65</v>
      </c>
      <c r="N41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1635</v>
      </c>
      <c r="O41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2.7853492333901193</v>
      </c>
    </row>
    <row r="414" spans="2:15" x14ac:dyDescent="0.3">
      <c r="B414" s="4" t="s">
        <v>1290</v>
      </c>
      <c r="C414" s="4">
        <v>1284</v>
      </c>
      <c r="D414" s="4">
        <v>1006</v>
      </c>
      <c r="E414" s="4">
        <v>1794</v>
      </c>
      <c r="F414" s="4">
        <v>18404</v>
      </c>
      <c r="G414" s="16" t="s">
        <v>7</v>
      </c>
      <c r="H414" s="4">
        <v>9</v>
      </c>
      <c r="I414" s="4">
        <f>Table13[[#This Row],[تعداد کل درخت‏های تحت آبیاری
(اصله مستقل)
(N)]]*Table13[[#This Row],[سطح پوشش مفروض برای هر درخت
(متر مربع)]]</f>
        <v>9054</v>
      </c>
      <c r="J41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1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14" s="8">
        <f>IF(Table13[[#This Row],[آیا
Achech  &gt;  Atree]]=1, 1, Table13[[#This Row],[Psh]]+(0.15*(1-Table13[[#This Row],[Psh]])))</f>
        <v>1</v>
      </c>
      <c r="M414" s="8">
        <f>IF(Table13[[#This Row],[آیا
Achech  &gt;  Atree]]=1, 0.65, 1)</f>
        <v>0.65</v>
      </c>
      <c r="N41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1794</v>
      </c>
      <c r="O41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1.7833001988071571</v>
      </c>
    </row>
    <row r="415" spans="2:15" x14ac:dyDescent="0.3">
      <c r="B415" s="4" t="s">
        <v>1291</v>
      </c>
      <c r="C415" s="4">
        <v>59</v>
      </c>
      <c r="D415" s="4">
        <v>14</v>
      </c>
      <c r="E415" s="4">
        <v>14</v>
      </c>
      <c r="F415" s="4">
        <v>973</v>
      </c>
      <c r="G415" s="16" t="s">
        <v>7</v>
      </c>
      <c r="H415" s="4">
        <v>9</v>
      </c>
      <c r="I415" s="4">
        <f>Table13[[#This Row],[تعداد کل درخت‏های تحت آبیاری
(اصله مستقل)
(N)]]*Table13[[#This Row],[سطح پوشش مفروض برای هر درخت
(متر مربع)]]</f>
        <v>126</v>
      </c>
      <c r="J41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1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15" s="8">
        <f>IF(Table13[[#This Row],[آیا
Achech  &gt;  Atree]]=1, 1, Table13[[#This Row],[Psh]]+(0.15*(1-Table13[[#This Row],[Psh]])))</f>
        <v>1</v>
      </c>
      <c r="M415" s="8">
        <f>IF(Table13[[#This Row],[آیا
Achech  &gt;  Atree]]=1, 0.65, 1)</f>
        <v>0.65</v>
      </c>
      <c r="N41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14</v>
      </c>
      <c r="O41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416" spans="2:15" x14ac:dyDescent="0.3">
      <c r="B416" s="4" t="s">
        <v>1292</v>
      </c>
      <c r="C416" s="4">
        <v>73</v>
      </c>
      <c r="D416" s="4">
        <v>21</v>
      </c>
      <c r="E416" s="4">
        <v>35</v>
      </c>
      <c r="F416" s="4">
        <v>890</v>
      </c>
      <c r="G416" s="16" t="s">
        <v>7</v>
      </c>
      <c r="H416" s="4">
        <v>9</v>
      </c>
      <c r="I416" s="4">
        <f>Table13[[#This Row],[تعداد کل درخت‏های تحت آبیاری
(اصله مستقل)
(N)]]*Table13[[#This Row],[سطح پوشش مفروض برای هر درخت
(متر مربع)]]</f>
        <v>189</v>
      </c>
      <c r="J41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1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16" s="8">
        <f>IF(Table13[[#This Row],[آیا
Achech  &gt;  Atree]]=1, 1, Table13[[#This Row],[Psh]]+(0.15*(1-Table13[[#This Row],[Psh]])))</f>
        <v>1</v>
      </c>
      <c r="M416" s="8">
        <f>IF(Table13[[#This Row],[آیا
Achech  &gt;  Atree]]=1, 0.65, 1)</f>
        <v>0.65</v>
      </c>
      <c r="N41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35</v>
      </c>
      <c r="O41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1.6666666666666667</v>
      </c>
    </row>
    <row r="417" spans="2:15" x14ac:dyDescent="0.3">
      <c r="B417" s="4" t="s">
        <v>1293</v>
      </c>
      <c r="C417" s="4">
        <v>251</v>
      </c>
      <c r="D417" s="4">
        <v>76</v>
      </c>
      <c r="E417" s="4">
        <v>950</v>
      </c>
      <c r="F417" s="4">
        <v>6556</v>
      </c>
      <c r="G417" s="16" t="s">
        <v>7</v>
      </c>
      <c r="H417" s="4">
        <v>9</v>
      </c>
      <c r="I417" s="4">
        <f>Table13[[#This Row],[تعداد کل درخت‏های تحت آبیاری
(اصله مستقل)
(N)]]*Table13[[#This Row],[سطح پوشش مفروض برای هر درخت
(متر مربع)]]</f>
        <v>684</v>
      </c>
      <c r="J41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1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0.72</v>
      </c>
      <c r="L417" s="8">
        <f>IF(Table13[[#This Row],[آیا
Achech  &gt;  Atree]]=1, 1, Table13[[#This Row],[Psh]]+(0.15*(1-Table13[[#This Row],[Psh]])))</f>
        <v>0.76200000000000001</v>
      </c>
      <c r="M417" s="8">
        <f>IF(Table13[[#This Row],[آیا
Achech  &gt;  Atree]]=1, 0.65, 1)</f>
        <v>1</v>
      </c>
      <c r="N41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684</v>
      </c>
      <c r="O41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18" spans="2:15" x14ac:dyDescent="0.3">
      <c r="B418" s="4" t="s">
        <v>1294</v>
      </c>
      <c r="C418" s="4">
        <v>52</v>
      </c>
      <c r="D418" s="4">
        <v>3</v>
      </c>
      <c r="E418" s="4">
        <v>12</v>
      </c>
      <c r="F418" s="4">
        <v>1120</v>
      </c>
      <c r="G418" s="16" t="s">
        <v>7</v>
      </c>
      <c r="H418" s="4">
        <v>9</v>
      </c>
      <c r="I418" s="4">
        <f>Table13[[#This Row],[تعداد کل درخت‏های تحت آبیاری
(اصله مستقل)
(N)]]*Table13[[#This Row],[سطح پوشش مفروض برای هر درخت
(متر مربع)]]</f>
        <v>27</v>
      </c>
      <c r="J41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1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18" s="8">
        <f>IF(Table13[[#This Row],[آیا
Achech  &gt;  Atree]]=1, 1, Table13[[#This Row],[Psh]]+(0.15*(1-Table13[[#This Row],[Psh]])))</f>
        <v>1</v>
      </c>
      <c r="M418" s="8">
        <f>IF(Table13[[#This Row],[آیا
Achech  &gt;  Atree]]=1, 0.65, 1)</f>
        <v>0.65</v>
      </c>
      <c r="N41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12</v>
      </c>
      <c r="O41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</v>
      </c>
    </row>
    <row r="419" spans="2:15" x14ac:dyDescent="0.3">
      <c r="B419" s="4" t="s">
        <v>1295</v>
      </c>
      <c r="C419" s="4">
        <v>163</v>
      </c>
      <c r="D419" s="4">
        <v>36</v>
      </c>
      <c r="E419" s="4">
        <v>98</v>
      </c>
      <c r="F419" s="4">
        <v>5239</v>
      </c>
      <c r="G419" s="16" t="s">
        <v>7</v>
      </c>
      <c r="H419" s="4">
        <v>9</v>
      </c>
      <c r="I419" s="4">
        <f>Table13[[#This Row],[تعداد کل درخت‏های تحت آبیاری
(اصله مستقل)
(N)]]*Table13[[#This Row],[سطح پوشش مفروض برای هر درخت
(متر مربع)]]</f>
        <v>324</v>
      </c>
      <c r="J41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1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19" s="8">
        <f>IF(Table13[[#This Row],[آیا
Achech  &gt;  Atree]]=1, 1, Table13[[#This Row],[Psh]]+(0.15*(1-Table13[[#This Row],[Psh]])))</f>
        <v>1</v>
      </c>
      <c r="M419" s="8">
        <f>IF(Table13[[#This Row],[آیا
Achech  &gt;  Atree]]=1, 0.65, 1)</f>
        <v>0.65</v>
      </c>
      <c r="N41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98</v>
      </c>
      <c r="O41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2.7222222222222223</v>
      </c>
    </row>
    <row r="420" spans="2:15" x14ac:dyDescent="0.3">
      <c r="B420" s="4" t="s">
        <v>1296</v>
      </c>
      <c r="C420" s="4">
        <v>1060</v>
      </c>
      <c r="D420" s="4">
        <v>796</v>
      </c>
      <c r="E420" s="4">
        <v>1695</v>
      </c>
      <c r="F420" s="4">
        <v>5802</v>
      </c>
      <c r="G420" s="16" t="s">
        <v>7</v>
      </c>
      <c r="H420" s="4">
        <v>9</v>
      </c>
      <c r="I420" s="4">
        <f>Table13[[#This Row],[تعداد کل درخت‏های تحت آبیاری
(اصله مستقل)
(N)]]*Table13[[#This Row],[سطح پوشش مفروض برای هر درخت
(متر مربع)]]</f>
        <v>7164</v>
      </c>
      <c r="J42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2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20" s="8">
        <f>IF(Table13[[#This Row],[آیا
Achech  &gt;  Atree]]=1, 1, Table13[[#This Row],[Psh]]+(0.15*(1-Table13[[#This Row],[Psh]])))</f>
        <v>1</v>
      </c>
      <c r="M420" s="8">
        <f>IF(Table13[[#This Row],[آیا
Achech  &gt;  Atree]]=1, 0.65, 1)</f>
        <v>0.65</v>
      </c>
      <c r="N42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1695</v>
      </c>
      <c r="O42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2.129396984924623</v>
      </c>
    </row>
    <row r="421" spans="2:15" x14ac:dyDescent="0.3">
      <c r="B421" s="4" t="s">
        <v>1297</v>
      </c>
      <c r="C421" s="4">
        <v>91</v>
      </c>
      <c r="D421" s="4">
        <v>98</v>
      </c>
      <c r="E421" s="4">
        <v>127</v>
      </c>
      <c r="F421" s="4">
        <v>4001</v>
      </c>
      <c r="G421" s="16" t="s">
        <v>7</v>
      </c>
      <c r="H421" s="4">
        <v>9</v>
      </c>
      <c r="I421" s="4">
        <f>Table13[[#This Row],[تعداد کل درخت‏های تحت آبیاری
(اصله مستقل)
(N)]]*Table13[[#This Row],[سطح پوشش مفروض برای هر درخت
(متر مربع)]]</f>
        <v>882</v>
      </c>
      <c r="J42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2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21" s="8">
        <f>IF(Table13[[#This Row],[آیا
Achech  &gt;  Atree]]=1, 1, Table13[[#This Row],[Psh]]+(0.15*(1-Table13[[#This Row],[Psh]])))</f>
        <v>1</v>
      </c>
      <c r="M421" s="8">
        <f>IF(Table13[[#This Row],[آیا
Achech  &gt;  Atree]]=1, 0.65, 1)</f>
        <v>0.65</v>
      </c>
      <c r="N42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127</v>
      </c>
      <c r="O42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1.2959183673469388</v>
      </c>
    </row>
    <row r="422" spans="2:15" x14ac:dyDescent="0.3">
      <c r="B422" s="4" t="s">
        <v>1311</v>
      </c>
      <c r="C422" s="4">
        <v>1800</v>
      </c>
      <c r="D422" s="4">
        <v>314</v>
      </c>
      <c r="E422" s="4">
        <v>1248</v>
      </c>
      <c r="F422" s="4">
        <v>46787</v>
      </c>
      <c r="G422" s="16" t="s">
        <v>7</v>
      </c>
      <c r="H422" s="4">
        <v>9</v>
      </c>
      <c r="I422" s="4">
        <f>Table13[[#This Row],[تعداد کل درخت‏های تحت آبیاری
(اصله مستقل)
(N)]]*Table13[[#This Row],[سطح پوشش مفروض برای هر درخت
(متر مربع)]]</f>
        <v>2826</v>
      </c>
      <c r="J42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2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22" s="8">
        <f>IF(Table13[[#This Row],[آیا
Achech  &gt;  Atree]]=1, 1, Table13[[#This Row],[Psh]]+(0.15*(1-Table13[[#This Row],[Psh]])))</f>
        <v>1</v>
      </c>
      <c r="M422" s="8">
        <f>IF(Table13[[#This Row],[آیا
Achech  &gt;  Atree]]=1, 0.65, 1)</f>
        <v>0.65</v>
      </c>
      <c r="N42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1248</v>
      </c>
      <c r="O42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3.9745222929936306</v>
      </c>
    </row>
    <row r="423" spans="2:15" x14ac:dyDescent="0.3">
      <c r="B423" s="4" t="s">
        <v>1312</v>
      </c>
      <c r="C423" s="4">
        <v>378</v>
      </c>
      <c r="D423" s="4">
        <v>82</v>
      </c>
      <c r="E423" s="4">
        <v>66</v>
      </c>
      <c r="F423" s="4">
        <v>8806</v>
      </c>
      <c r="G423" s="16" t="s">
        <v>7</v>
      </c>
      <c r="H423" s="4">
        <v>9</v>
      </c>
      <c r="I423" s="4">
        <f>Table13[[#This Row],[تعداد کل درخت‏های تحت آبیاری
(اصله مستقل)
(N)]]*Table13[[#This Row],[سطح پوشش مفروض برای هر درخت
(متر مربع)]]</f>
        <v>738</v>
      </c>
      <c r="J42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2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23" s="8">
        <f>IF(Table13[[#This Row],[آیا
Achech  &gt;  Atree]]=1, 1, Table13[[#This Row],[Psh]]+(0.15*(1-Table13[[#This Row],[Psh]])))</f>
        <v>1</v>
      </c>
      <c r="M423" s="8">
        <f>IF(Table13[[#This Row],[آیا
Achech  &gt;  Atree]]=1, 0.65, 1)</f>
        <v>0.65</v>
      </c>
      <c r="N42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66</v>
      </c>
      <c r="O42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0.80487804878048785</v>
      </c>
    </row>
    <row r="424" spans="2:15" x14ac:dyDescent="0.3">
      <c r="B424" s="4" t="s">
        <v>1313</v>
      </c>
      <c r="C424" s="4">
        <v>1218</v>
      </c>
      <c r="D424" s="4">
        <v>178</v>
      </c>
      <c r="E424" s="4">
        <v>165</v>
      </c>
      <c r="F424" s="4">
        <v>42819</v>
      </c>
      <c r="G424" s="16" t="s">
        <v>7</v>
      </c>
      <c r="H424" s="4">
        <v>9</v>
      </c>
      <c r="I424" s="4">
        <f>Table13[[#This Row],[تعداد کل درخت‏های تحت آبیاری
(اصله مستقل)
(N)]]*Table13[[#This Row],[سطح پوشش مفروض برای هر درخت
(متر مربع)]]</f>
        <v>1602</v>
      </c>
      <c r="J42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2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24" s="8">
        <f>IF(Table13[[#This Row],[آیا
Achech  &gt;  Atree]]=1, 1, Table13[[#This Row],[Psh]]+(0.15*(1-Table13[[#This Row],[Psh]])))</f>
        <v>1</v>
      </c>
      <c r="M424" s="8">
        <f>IF(Table13[[#This Row],[آیا
Achech  &gt;  Atree]]=1, 0.65, 1)</f>
        <v>0.65</v>
      </c>
      <c r="N42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165</v>
      </c>
      <c r="O42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0.9269662921348315</v>
      </c>
    </row>
    <row r="425" spans="2:15" x14ac:dyDescent="0.3">
      <c r="B425" s="4" t="s">
        <v>1314</v>
      </c>
      <c r="C425" s="4">
        <v>812</v>
      </c>
      <c r="D425" s="4">
        <v>259</v>
      </c>
      <c r="E425" s="4">
        <v>8503</v>
      </c>
      <c r="F425" s="4">
        <v>19691</v>
      </c>
      <c r="G425" s="16" t="s">
        <v>7</v>
      </c>
      <c r="H425" s="4">
        <v>9</v>
      </c>
      <c r="I425" s="4">
        <f>Table13[[#This Row],[تعداد کل درخت‏های تحت آبیاری
(اصله مستقل)
(N)]]*Table13[[#This Row],[سطح پوشش مفروض برای هر درخت
(متر مربع)]]</f>
        <v>2331</v>
      </c>
      <c r="J42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2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0.2741385393390568</v>
      </c>
      <c r="L425" s="8">
        <f>IF(Table13[[#This Row],[آیا
Achech  &gt;  Atree]]=1, 1, Table13[[#This Row],[Psh]]+(0.15*(1-Table13[[#This Row],[Psh]])))</f>
        <v>0.3830177584381983</v>
      </c>
      <c r="M425" s="8">
        <f>IF(Table13[[#This Row],[آیا
Achech  &gt;  Atree]]=1, 0.65, 1)</f>
        <v>1</v>
      </c>
      <c r="N42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2331</v>
      </c>
      <c r="O42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26" spans="2:15" x14ac:dyDescent="0.3">
      <c r="B426" s="4" t="s">
        <v>1315</v>
      </c>
      <c r="C426" s="4">
        <v>3168</v>
      </c>
      <c r="D426" s="4">
        <v>39</v>
      </c>
      <c r="E426" s="4">
        <v>2395</v>
      </c>
      <c r="F426" s="4">
        <v>30181</v>
      </c>
      <c r="G426" s="16" t="s">
        <v>7</v>
      </c>
      <c r="H426" s="4">
        <v>9</v>
      </c>
      <c r="I426" s="4">
        <f>Table13[[#This Row],[تعداد کل درخت‏های تحت آبیاری
(اصله مستقل)
(N)]]*Table13[[#This Row],[سطح پوشش مفروض برای هر درخت
(متر مربع)]]</f>
        <v>351</v>
      </c>
      <c r="J42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2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0.14655532359081419</v>
      </c>
      <c r="L426" s="8">
        <f>IF(Table13[[#This Row],[آیا
Achech  &gt;  Atree]]=1, 1, Table13[[#This Row],[Psh]]+(0.15*(1-Table13[[#This Row],[Psh]])))</f>
        <v>0.27457202505219203</v>
      </c>
      <c r="M426" s="8">
        <f>IF(Table13[[#This Row],[آیا
Achech  &gt;  Atree]]=1, 0.65, 1)</f>
        <v>1</v>
      </c>
      <c r="N42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351</v>
      </c>
      <c r="O42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27" spans="2:15" x14ac:dyDescent="0.3">
      <c r="B427" s="4" t="s">
        <v>1316</v>
      </c>
      <c r="C427" s="4">
        <v>543</v>
      </c>
      <c r="D427" s="4">
        <v>240</v>
      </c>
      <c r="E427" s="4">
        <v>430</v>
      </c>
      <c r="F427" s="4">
        <v>10589</v>
      </c>
      <c r="G427" s="16" t="s">
        <v>7</v>
      </c>
      <c r="H427" s="4">
        <v>9</v>
      </c>
      <c r="I427" s="4">
        <f>Table13[[#This Row],[تعداد کل درخت‏های تحت آبیاری
(اصله مستقل)
(N)]]*Table13[[#This Row],[سطح پوشش مفروض برای هر درخت
(متر مربع)]]</f>
        <v>2160</v>
      </c>
      <c r="J42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2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27" s="8">
        <f>IF(Table13[[#This Row],[آیا
Achech  &gt;  Atree]]=1, 1, Table13[[#This Row],[Psh]]+(0.15*(1-Table13[[#This Row],[Psh]])))</f>
        <v>1</v>
      </c>
      <c r="M427" s="8">
        <f>IF(Table13[[#This Row],[آیا
Achech  &gt;  Atree]]=1, 0.65, 1)</f>
        <v>0.65</v>
      </c>
      <c r="N42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430</v>
      </c>
      <c r="O42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1.7916666666666667</v>
      </c>
    </row>
    <row r="428" spans="2:15" x14ac:dyDescent="0.3">
      <c r="B428" s="4" t="s">
        <v>1317</v>
      </c>
      <c r="C428" s="4">
        <v>125</v>
      </c>
      <c r="D428" s="4">
        <v>34</v>
      </c>
      <c r="E428" s="4">
        <v>57</v>
      </c>
      <c r="F428" s="4">
        <v>2940</v>
      </c>
      <c r="G428" s="16" t="s">
        <v>7</v>
      </c>
      <c r="H428" s="4">
        <v>9</v>
      </c>
      <c r="I428" s="4">
        <f>Table13[[#This Row],[تعداد کل درخت‏های تحت آبیاری
(اصله مستقل)
(N)]]*Table13[[#This Row],[سطح پوشش مفروض برای هر درخت
(متر مربع)]]</f>
        <v>306</v>
      </c>
      <c r="J42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2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28" s="8">
        <f>IF(Table13[[#This Row],[آیا
Achech  &gt;  Atree]]=1, 1, Table13[[#This Row],[Psh]]+(0.15*(1-Table13[[#This Row],[Psh]])))</f>
        <v>1</v>
      </c>
      <c r="M428" s="8">
        <f>IF(Table13[[#This Row],[آیا
Achech  &gt;  Atree]]=1, 0.65, 1)</f>
        <v>0.65</v>
      </c>
      <c r="N42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57</v>
      </c>
      <c r="O42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1.6764705882352942</v>
      </c>
    </row>
    <row r="429" spans="2:15" x14ac:dyDescent="0.3">
      <c r="B429" s="4" t="s">
        <v>1324</v>
      </c>
      <c r="C429" s="4">
        <v>260</v>
      </c>
      <c r="D429" s="4">
        <v>29</v>
      </c>
      <c r="E429" s="4">
        <v>29</v>
      </c>
      <c r="F429" s="4">
        <v>8476</v>
      </c>
      <c r="G429" s="16" t="s">
        <v>7</v>
      </c>
      <c r="H429" s="4">
        <v>9</v>
      </c>
      <c r="I429" s="4">
        <f>Table13[[#This Row],[تعداد کل درخت‏های تحت آبیاری
(اصله مستقل)
(N)]]*Table13[[#This Row],[سطح پوشش مفروض برای هر درخت
(متر مربع)]]</f>
        <v>261</v>
      </c>
      <c r="J42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2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29" s="8">
        <f>IF(Table13[[#This Row],[آیا
Achech  &gt;  Atree]]=1, 1, Table13[[#This Row],[Psh]]+(0.15*(1-Table13[[#This Row],[Psh]])))</f>
        <v>1</v>
      </c>
      <c r="M429" s="8">
        <f>IF(Table13[[#This Row],[آیا
Achech  &gt;  Atree]]=1, 0.65, 1)</f>
        <v>0.65</v>
      </c>
      <c r="N42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29</v>
      </c>
      <c r="O42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430" spans="2:15" x14ac:dyDescent="0.3">
      <c r="B430" s="4" t="s">
        <v>1326</v>
      </c>
      <c r="C430" s="4">
        <v>2124</v>
      </c>
      <c r="D430" s="4">
        <v>941.93333333333339</v>
      </c>
      <c r="E430" s="4">
        <v>6372</v>
      </c>
      <c r="F430" s="4">
        <v>6372</v>
      </c>
      <c r="G430" s="16" t="s">
        <v>286</v>
      </c>
      <c r="H430" s="4">
        <v>9</v>
      </c>
      <c r="I430" s="4">
        <f>Table13[[#This Row],[تعداد کل درخت‏های تحت آبیاری
(اصله مستقل)
(N)]]*Table13[[#This Row],[سطح پوشش مفروض برای هر درخت
(متر مربع)]]</f>
        <v>8477.4000000000015</v>
      </c>
      <c r="J43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3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30" s="8">
        <f>IF(Table13[[#This Row],[آیا
Achech  &gt;  Atree]]=1, 1, Table13[[#This Row],[Psh]]+(0.15*(1-Table13[[#This Row],[Psh]])))</f>
        <v>1</v>
      </c>
      <c r="M430" s="8">
        <f>IF(Table13[[#This Row],[آیا
Achech  &gt;  Atree]]=1, 0.65, 1)</f>
        <v>0.65</v>
      </c>
      <c r="N43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6372</v>
      </c>
      <c r="O43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6.7648099653195555</v>
      </c>
    </row>
    <row r="431" spans="2:15" x14ac:dyDescent="0.3">
      <c r="B431" s="4" t="s">
        <v>1335</v>
      </c>
      <c r="C431" s="4">
        <v>23840</v>
      </c>
      <c r="D431" s="4">
        <v>2049</v>
      </c>
      <c r="E431" s="4">
        <v>6106</v>
      </c>
      <c r="F431" s="4">
        <v>601129</v>
      </c>
      <c r="G431" s="16" t="s">
        <v>78</v>
      </c>
      <c r="H431" s="4">
        <v>9</v>
      </c>
      <c r="I431" s="4">
        <f>Table13[[#This Row],[تعداد کل درخت‏های تحت آبیاری
(اصله مستقل)
(N)]]*Table13[[#This Row],[سطح پوشش مفروض برای هر درخت
(متر مربع)]]</f>
        <v>18441</v>
      </c>
      <c r="J43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3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31" s="8">
        <f>IF(Table13[[#This Row],[آیا
Achech  &gt;  Atree]]=1, 1, Table13[[#This Row],[Psh]]+(0.15*(1-Table13[[#This Row],[Psh]])))</f>
        <v>1</v>
      </c>
      <c r="M431" s="8">
        <f>IF(Table13[[#This Row],[آیا
Achech  &gt;  Atree]]=1, 0.65, 1)</f>
        <v>0.65</v>
      </c>
      <c r="N43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6106</v>
      </c>
      <c r="O43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2.9799902391410442</v>
      </c>
    </row>
    <row r="432" spans="2:15" x14ac:dyDescent="0.3">
      <c r="B432" s="4" t="s">
        <v>1341</v>
      </c>
      <c r="C432" s="4">
        <v>250</v>
      </c>
      <c r="D432" s="4">
        <v>34</v>
      </c>
      <c r="E432" s="4">
        <v>170</v>
      </c>
      <c r="F432" s="4">
        <v>11157</v>
      </c>
      <c r="G432" s="16" t="s">
        <v>7</v>
      </c>
      <c r="H432" s="4">
        <v>9</v>
      </c>
      <c r="I432" s="4">
        <f>Table13[[#This Row],[تعداد کل درخت‏های تحت آبیاری
(اصله مستقل)
(N)]]*Table13[[#This Row],[سطح پوشش مفروض برای هر درخت
(متر مربع)]]</f>
        <v>306</v>
      </c>
      <c r="J43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3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32" s="8">
        <f>IF(Table13[[#This Row],[آیا
Achech  &gt;  Atree]]=1, 1, Table13[[#This Row],[Psh]]+(0.15*(1-Table13[[#This Row],[Psh]])))</f>
        <v>1</v>
      </c>
      <c r="M432" s="8">
        <f>IF(Table13[[#This Row],[آیا
Achech  &gt;  Atree]]=1, 0.65, 1)</f>
        <v>0.65</v>
      </c>
      <c r="N43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170</v>
      </c>
      <c r="O43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</v>
      </c>
    </row>
    <row r="433" spans="2:15" x14ac:dyDescent="0.3">
      <c r="B433" s="4" t="s">
        <v>1342</v>
      </c>
      <c r="C433" s="4">
        <v>514</v>
      </c>
      <c r="D433" s="4">
        <v>75</v>
      </c>
      <c r="E433" s="4">
        <v>375</v>
      </c>
      <c r="F433" s="4">
        <v>7630</v>
      </c>
      <c r="G433" s="16" t="s">
        <v>7</v>
      </c>
      <c r="H433" s="4">
        <v>9</v>
      </c>
      <c r="I433" s="4">
        <f>Table13[[#This Row],[تعداد کل درخت‏های تحت آبیاری
(اصله مستقل)
(N)]]*Table13[[#This Row],[سطح پوشش مفروض برای هر درخت
(متر مربع)]]</f>
        <v>675</v>
      </c>
      <c r="J43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3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33" s="8">
        <f>IF(Table13[[#This Row],[آیا
Achech  &gt;  Atree]]=1, 1, Table13[[#This Row],[Psh]]+(0.15*(1-Table13[[#This Row],[Psh]])))</f>
        <v>1</v>
      </c>
      <c r="M433" s="8">
        <f>IF(Table13[[#This Row],[آیا
Achech  &gt;  Atree]]=1, 0.65, 1)</f>
        <v>0.65</v>
      </c>
      <c r="N43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375</v>
      </c>
      <c r="O43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</v>
      </c>
    </row>
    <row r="434" spans="2:15" x14ac:dyDescent="0.3">
      <c r="B434" s="4" t="s">
        <v>1343</v>
      </c>
      <c r="C434" s="4">
        <v>412</v>
      </c>
      <c r="D434" s="4">
        <v>17</v>
      </c>
      <c r="E434" s="4">
        <v>85</v>
      </c>
      <c r="F434" s="4">
        <v>9571</v>
      </c>
      <c r="G434" s="16" t="s">
        <v>7</v>
      </c>
      <c r="H434" s="4">
        <v>9</v>
      </c>
      <c r="I434" s="4">
        <f>Table13[[#This Row],[تعداد کل درخت‏های تحت آبیاری
(اصله مستقل)
(N)]]*Table13[[#This Row],[سطح پوشش مفروض برای هر درخت
(متر مربع)]]</f>
        <v>153</v>
      </c>
      <c r="J43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3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34" s="8">
        <f>IF(Table13[[#This Row],[آیا
Achech  &gt;  Atree]]=1, 1, Table13[[#This Row],[Psh]]+(0.15*(1-Table13[[#This Row],[Psh]])))</f>
        <v>1</v>
      </c>
      <c r="M434" s="8">
        <f>IF(Table13[[#This Row],[آیا
Achech  &gt;  Atree]]=1, 0.65, 1)</f>
        <v>0.65</v>
      </c>
      <c r="N43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85</v>
      </c>
      <c r="O43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</v>
      </c>
    </row>
    <row r="435" spans="2:15" x14ac:dyDescent="0.3">
      <c r="B435" s="4" t="s">
        <v>1344</v>
      </c>
      <c r="C435" s="4">
        <v>4056</v>
      </c>
      <c r="D435" s="4">
        <v>4056</v>
      </c>
      <c r="E435" s="4">
        <v>71480</v>
      </c>
      <c r="F435" s="4">
        <v>71480</v>
      </c>
      <c r="G435" s="16" t="s">
        <v>286</v>
      </c>
      <c r="H435" s="4">
        <v>9</v>
      </c>
      <c r="I435" s="4">
        <f>Table13[[#This Row],[تعداد کل درخت‏های تحت آبیاری
(اصله مستقل)
(N)]]*Table13[[#This Row],[سطح پوشش مفروض برای هر درخت
(متر مربع)]]</f>
        <v>36504</v>
      </c>
      <c r="J43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3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0.51068830442081703</v>
      </c>
      <c r="L435" s="8">
        <f>IF(Table13[[#This Row],[آیا
Achech  &gt;  Atree]]=1, 1, Table13[[#This Row],[Psh]]+(0.15*(1-Table13[[#This Row],[Psh]])))</f>
        <v>0.58408505875769445</v>
      </c>
      <c r="M435" s="8">
        <f>IF(Table13[[#This Row],[آیا
Achech  &gt;  Atree]]=1, 0.65, 1)</f>
        <v>1</v>
      </c>
      <c r="N43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36504</v>
      </c>
      <c r="O43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36" spans="2:15" x14ac:dyDescent="0.3">
      <c r="B436" s="4" t="s">
        <v>1350</v>
      </c>
      <c r="C436" s="4">
        <v>231</v>
      </c>
      <c r="D436" s="4">
        <v>12</v>
      </c>
      <c r="E436" s="4">
        <v>48</v>
      </c>
      <c r="F436" s="4">
        <v>6273</v>
      </c>
      <c r="G436" s="16" t="s">
        <v>7</v>
      </c>
      <c r="H436" s="4">
        <v>9</v>
      </c>
      <c r="I436" s="4">
        <f>Table13[[#This Row],[تعداد کل درخت‏های تحت آبیاری
(اصله مستقل)
(N)]]*Table13[[#This Row],[سطح پوشش مفروض برای هر درخت
(متر مربع)]]</f>
        <v>108</v>
      </c>
      <c r="J43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3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36" s="8">
        <f>IF(Table13[[#This Row],[آیا
Achech  &gt;  Atree]]=1, 1, Table13[[#This Row],[Psh]]+(0.15*(1-Table13[[#This Row],[Psh]])))</f>
        <v>1</v>
      </c>
      <c r="M436" s="8">
        <f>IF(Table13[[#This Row],[آیا
Achech  &gt;  Atree]]=1, 0.65, 1)</f>
        <v>0.65</v>
      </c>
      <c r="N43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48</v>
      </c>
      <c r="O43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</v>
      </c>
    </row>
    <row r="437" spans="2:15" x14ac:dyDescent="0.3">
      <c r="B437" s="4" t="s">
        <v>1351</v>
      </c>
      <c r="C437" s="4">
        <v>469</v>
      </c>
      <c r="D437" s="4">
        <v>175</v>
      </c>
      <c r="E437" s="4">
        <v>875</v>
      </c>
      <c r="F437" s="4">
        <v>26482</v>
      </c>
      <c r="G437" s="16" t="s">
        <v>7</v>
      </c>
      <c r="H437" s="4">
        <v>9</v>
      </c>
      <c r="I437" s="4">
        <f>Table13[[#This Row],[تعداد کل درخت‏های تحت آبیاری
(اصله مستقل)
(N)]]*Table13[[#This Row],[سطح پوشش مفروض برای هر درخت
(متر مربع)]]</f>
        <v>1575</v>
      </c>
      <c r="J43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3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37" s="8">
        <f>IF(Table13[[#This Row],[آیا
Achech  &gt;  Atree]]=1, 1, Table13[[#This Row],[Psh]]+(0.15*(1-Table13[[#This Row],[Psh]])))</f>
        <v>1</v>
      </c>
      <c r="M437" s="8">
        <f>IF(Table13[[#This Row],[آیا
Achech  &gt;  Atree]]=1, 0.65, 1)</f>
        <v>0.65</v>
      </c>
      <c r="N43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875</v>
      </c>
      <c r="O43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</v>
      </c>
    </row>
    <row r="438" spans="2:15" x14ac:dyDescent="0.3">
      <c r="B438" s="4" t="s">
        <v>1352</v>
      </c>
      <c r="C438" s="4">
        <v>644</v>
      </c>
      <c r="D438" s="4">
        <v>35</v>
      </c>
      <c r="E438" s="4">
        <v>140</v>
      </c>
      <c r="F438" s="4">
        <v>25058</v>
      </c>
      <c r="G438" s="16" t="s">
        <v>7</v>
      </c>
      <c r="H438" s="4">
        <v>9</v>
      </c>
      <c r="I438" s="4">
        <f>Table13[[#This Row],[تعداد کل درخت‏های تحت آبیاری
(اصله مستقل)
(N)]]*Table13[[#This Row],[سطح پوشش مفروض برای هر درخت
(متر مربع)]]</f>
        <v>315</v>
      </c>
      <c r="J43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3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38" s="8">
        <f>IF(Table13[[#This Row],[آیا
Achech  &gt;  Atree]]=1, 1, Table13[[#This Row],[Psh]]+(0.15*(1-Table13[[#This Row],[Psh]])))</f>
        <v>1</v>
      </c>
      <c r="M438" s="8">
        <f>IF(Table13[[#This Row],[آیا
Achech  &gt;  Atree]]=1, 0.65, 1)</f>
        <v>0.65</v>
      </c>
      <c r="N43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140</v>
      </c>
      <c r="O43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</v>
      </c>
    </row>
    <row r="439" spans="2:15" x14ac:dyDescent="0.3">
      <c r="B439" s="4" t="s">
        <v>1353</v>
      </c>
      <c r="C439" s="4">
        <v>1030</v>
      </c>
      <c r="D439" s="4">
        <v>1030</v>
      </c>
      <c r="E439" s="4">
        <v>12500</v>
      </c>
      <c r="F439" s="4">
        <v>12500</v>
      </c>
      <c r="G439" s="16" t="s">
        <v>286</v>
      </c>
      <c r="H439" s="4">
        <v>9</v>
      </c>
      <c r="I439" s="4">
        <f>Table13[[#This Row],[تعداد کل درخت‏های تحت آبیاری
(اصله مستقل)
(N)]]*Table13[[#This Row],[سطح پوشش مفروض برای هر درخت
(متر مربع)]]</f>
        <v>9270</v>
      </c>
      <c r="J43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3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0.74160000000000004</v>
      </c>
      <c r="L439" s="8">
        <f>IF(Table13[[#This Row],[آیا
Achech  &gt;  Atree]]=1, 1, Table13[[#This Row],[Psh]]+(0.15*(1-Table13[[#This Row],[Psh]])))</f>
        <v>0.78036000000000005</v>
      </c>
      <c r="M439" s="8">
        <f>IF(Table13[[#This Row],[آیا
Achech  &gt;  Atree]]=1, 0.65, 1)</f>
        <v>1</v>
      </c>
      <c r="N43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9270</v>
      </c>
      <c r="O43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40" spans="2:15" x14ac:dyDescent="0.3">
      <c r="B440" s="4" t="s">
        <v>1357</v>
      </c>
      <c r="C440" s="4">
        <v>335</v>
      </c>
      <c r="D440" s="4">
        <v>248</v>
      </c>
      <c r="E440" s="4">
        <v>625</v>
      </c>
      <c r="F440" s="4">
        <v>2043</v>
      </c>
      <c r="G440" s="16" t="s">
        <v>7</v>
      </c>
      <c r="H440" s="4">
        <v>9</v>
      </c>
      <c r="I440" s="4">
        <f>Table13[[#This Row],[تعداد کل درخت‏های تحت آبیاری
(اصله مستقل)
(N)]]*Table13[[#This Row],[سطح پوشش مفروض برای هر درخت
(متر مربع)]]</f>
        <v>2232</v>
      </c>
      <c r="J44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4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40" s="8">
        <f>IF(Table13[[#This Row],[آیا
Achech  &gt;  Atree]]=1, 1, Table13[[#This Row],[Psh]]+(0.15*(1-Table13[[#This Row],[Psh]])))</f>
        <v>1</v>
      </c>
      <c r="M440" s="8">
        <f>IF(Table13[[#This Row],[آیا
Achech  &gt;  Atree]]=1, 0.65, 1)</f>
        <v>0.65</v>
      </c>
      <c r="N44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625</v>
      </c>
      <c r="O44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2.5201612903225805</v>
      </c>
    </row>
    <row r="441" spans="2:15" x14ac:dyDescent="0.3">
      <c r="B441" s="4" t="s">
        <v>1358</v>
      </c>
      <c r="C441" s="4">
        <v>236</v>
      </c>
      <c r="D441" s="4">
        <v>32</v>
      </c>
      <c r="E441" s="4">
        <v>128</v>
      </c>
      <c r="F441" s="4">
        <v>4423</v>
      </c>
      <c r="G441" s="16" t="s">
        <v>7</v>
      </c>
      <c r="H441" s="4">
        <v>9</v>
      </c>
      <c r="I441" s="4">
        <f>Table13[[#This Row],[تعداد کل درخت‏های تحت آبیاری
(اصله مستقل)
(N)]]*Table13[[#This Row],[سطح پوشش مفروض برای هر درخت
(متر مربع)]]</f>
        <v>288</v>
      </c>
      <c r="J44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4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41" s="8">
        <f>IF(Table13[[#This Row],[آیا
Achech  &gt;  Atree]]=1, 1, Table13[[#This Row],[Psh]]+(0.15*(1-Table13[[#This Row],[Psh]])))</f>
        <v>1</v>
      </c>
      <c r="M441" s="8">
        <f>IF(Table13[[#This Row],[آیا
Achech  &gt;  Atree]]=1, 0.65, 1)</f>
        <v>0.65</v>
      </c>
      <c r="N44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128</v>
      </c>
      <c r="O44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</v>
      </c>
    </row>
    <row r="442" spans="2:15" x14ac:dyDescent="0.3">
      <c r="B442" s="4" t="s">
        <v>1359</v>
      </c>
      <c r="C442" s="4">
        <v>429</v>
      </c>
      <c r="D442" s="4">
        <v>21</v>
      </c>
      <c r="E442" s="4">
        <v>175</v>
      </c>
      <c r="F442" s="4">
        <v>6307</v>
      </c>
      <c r="G442" s="16" t="s">
        <v>7</v>
      </c>
      <c r="H442" s="4">
        <v>9</v>
      </c>
      <c r="I442" s="4">
        <f>Table13[[#This Row],[تعداد کل درخت‏های تحت آبیاری
(اصله مستقل)
(N)]]*Table13[[#This Row],[سطح پوشش مفروض برای هر درخت
(متر مربع)]]</f>
        <v>189</v>
      </c>
      <c r="J44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4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42" s="8">
        <f>IF(Table13[[#This Row],[آیا
Achech  &gt;  Atree]]=1, 1, Table13[[#This Row],[Psh]]+(0.15*(1-Table13[[#This Row],[Psh]])))</f>
        <v>1</v>
      </c>
      <c r="M442" s="8">
        <f>IF(Table13[[#This Row],[آیا
Achech  &gt;  Atree]]=1, 0.65, 1)</f>
        <v>0.65</v>
      </c>
      <c r="N44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175</v>
      </c>
      <c r="O44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8.3333333333333339</v>
      </c>
    </row>
    <row r="443" spans="2:15" x14ac:dyDescent="0.3">
      <c r="B443" s="4" t="s">
        <v>1360</v>
      </c>
      <c r="C443" s="4">
        <v>747</v>
      </c>
      <c r="D443" s="4">
        <v>462</v>
      </c>
      <c r="E443" s="4">
        <v>2450</v>
      </c>
      <c r="F443" s="4">
        <v>7249</v>
      </c>
      <c r="G443" s="16" t="s">
        <v>7</v>
      </c>
      <c r="H443" s="4">
        <v>9</v>
      </c>
      <c r="I443" s="4">
        <f>Table13[[#This Row],[تعداد کل درخت‏های تحت آبیاری
(اصله مستقل)
(N)]]*Table13[[#This Row],[سطح پوشش مفروض برای هر درخت
(متر مربع)]]</f>
        <v>4158</v>
      </c>
      <c r="J44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4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43" s="8">
        <f>IF(Table13[[#This Row],[آیا
Achech  &gt;  Atree]]=1, 1, Table13[[#This Row],[Psh]]+(0.15*(1-Table13[[#This Row],[Psh]])))</f>
        <v>1</v>
      </c>
      <c r="M443" s="8">
        <f>IF(Table13[[#This Row],[آیا
Achech  &gt;  Atree]]=1, 0.65, 1)</f>
        <v>0.65</v>
      </c>
      <c r="N44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2450</v>
      </c>
      <c r="O44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5.3030303030303028</v>
      </c>
    </row>
    <row r="444" spans="2:15" x14ac:dyDescent="0.3">
      <c r="B444" s="4" t="s">
        <v>1361</v>
      </c>
      <c r="C444" s="4">
        <v>164</v>
      </c>
      <c r="D444" s="4">
        <v>48</v>
      </c>
      <c r="E444" s="4">
        <v>192</v>
      </c>
      <c r="F444" s="4">
        <v>5002</v>
      </c>
      <c r="G444" s="16" t="s">
        <v>7</v>
      </c>
      <c r="H444" s="4">
        <v>9</v>
      </c>
      <c r="I444" s="4">
        <f>Table13[[#This Row],[تعداد کل درخت‏های تحت آبیاری
(اصله مستقل)
(N)]]*Table13[[#This Row],[سطح پوشش مفروض برای هر درخت
(متر مربع)]]</f>
        <v>432</v>
      </c>
      <c r="J44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4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44" s="8">
        <f>IF(Table13[[#This Row],[آیا
Achech  &gt;  Atree]]=1, 1, Table13[[#This Row],[Psh]]+(0.15*(1-Table13[[#This Row],[Psh]])))</f>
        <v>1</v>
      </c>
      <c r="M444" s="8">
        <f>IF(Table13[[#This Row],[آیا
Achech  &gt;  Atree]]=1, 0.65, 1)</f>
        <v>0.65</v>
      </c>
      <c r="N44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192</v>
      </c>
      <c r="O44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</v>
      </c>
    </row>
    <row r="445" spans="2:15" x14ac:dyDescent="0.3">
      <c r="B445" s="4" t="s">
        <v>1362</v>
      </c>
      <c r="C445" s="4">
        <v>568</v>
      </c>
      <c r="D445" s="4">
        <v>282</v>
      </c>
      <c r="E445" s="4">
        <v>2540</v>
      </c>
      <c r="F445" s="4">
        <v>10417</v>
      </c>
      <c r="G445" s="16" t="s">
        <v>7</v>
      </c>
      <c r="H445" s="4">
        <v>9</v>
      </c>
      <c r="I445" s="4">
        <f>Table13[[#This Row],[تعداد کل درخت‏های تحت آبیاری
(اصله مستقل)
(N)]]*Table13[[#This Row],[سطح پوشش مفروض برای هر درخت
(متر مربع)]]</f>
        <v>2538</v>
      </c>
      <c r="J44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4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0.99921259842519683</v>
      </c>
      <c r="L445" s="8">
        <f>IF(Table13[[#This Row],[آیا
Achech  &gt;  Atree]]=1, 1, Table13[[#This Row],[Psh]]+(0.15*(1-Table13[[#This Row],[Psh]])))</f>
        <v>0.99933070866141727</v>
      </c>
      <c r="M445" s="8">
        <f>IF(Table13[[#This Row],[آیا
Achech  &gt;  Atree]]=1, 0.65, 1)</f>
        <v>1</v>
      </c>
      <c r="N44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2538</v>
      </c>
      <c r="O44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46" spans="2:15" x14ac:dyDescent="0.3">
      <c r="B446" s="4" t="s">
        <v>1363</v>
      </c>
      <c r="C446" s="4">
        <v>101</v>
      </c>
      <c r="D446" s="4">
        <v>2</v>
      </c>
      <c r="E446" s="4">
        <v>8</v>
      </c>
      <c r="F446" s="4">
        <v>1969</v>
      </c>
      <c r="G446" s="16" t="s">
        <v>7</v>
      </c>
      <c r="H446" s="4">
        <v>9</v>
      </c>
      <c r="I446" s="4">
        <f>Table13[[#This Row],[تعداد کل درخت‏های تحت آبیاری
(اصله مستقل)
(N)]]*Table13[[#This Row],[سطح پوشش مفروض برای هر درخت
(متر مربع)]]</f>
        <v>18</v>
      </c>
      <c r="J44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4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46" s="8">
        <f>IF(Table13[[#This Row],[آیا
Achech  &gt;  Atree]]=1, 1, Table13[[#This Row],[Psh]]+(0.15*(1-Table13[[#This Row],[Psh]])))</f>
        <v>1</v>
      </c>
      <c r="M446" s="8">
        <f>IF(Table13[[#This Row],[آیا
Achech  &gt;  Atree]]=1, 0.65, 1)</f>
        <v>0.65</v>
      </c>
      <c r="N44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8</v>
      </c>
      <c r="O44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</v>
      </c>
    </row>
    <row r="447" spans="2:15" x14ac:dyDescent="0.3">
      <c r="B447" s="4" t="s">
        <v>1364</v>
      </c>
      <c r="C447" s="4">
        <v>257</v>
      </c>
      <c r="D447" s="4">
        <v>89</v>
      </c>
      <c r="E447" s="4">
        <v>550</v>
      </c>
      <c r="F447" s="4">
        <v>4351</v>
      </c>
      <c r="G447" s="16" t="s">
        <v>7</v>
      </c>
      <c r="H447" s="4">
        <v>9</v>
      </c>
      <c r="I447" s="4">
        <f>Table13[[#This Row],[تعداد کل درخت‏های تحت آبیاری
(اصله مستقل)
(N)]]*Table13[[#This Row],[سطح پوشش مفروض برای هر درخت
(متر مربع)]]</f>
        <v>801</v>
      </c>
      <c r="J44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4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47" s="8">
        <f>IF(Table13[[#This Row],[آیا
Achech  &gt;  Atree]]=1, 1, Table13[[#This Row],[Psh]]+(0.15*(1-Table13[[#This Row],[Psh]])))</f>
        <v>1</v>
      </c>
      <c r="M447" s="8">
        <f>IF(Table13[[#This Row],[آیا
Achech  &gt;  Atree]]=1, 0.65, 1)</f>
        <v>0.65</v>
      </c>
      <c r="N44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550</v>
      </c>
      <c r="O44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6.1797752808988768</v>
      </c>
    </row>
    <row r="448" spans="2:15" x14ac:dyDescent="0.3">
      <c r="B448" s="4" t="s">
        <v>1365</v>
      </c>
      <c r="C448" s="4">
        <v>171</v>
      </c>
      <c r="D448" s="4">
        <v>13</v>
      </c>
      <c r="E448" s="4">
        <v>52</v>
      </c>
      <c r="F448" s="4">
        <v>3303</v>
      </c>
      <c r="G448" s="16" t="s">
        <v>7</v>
      </c>
      <c r="H448" s="4">
        <v>9</v>
      </c>
      <c r="I448" s="4">
        <f>Table13[[#This Row],[تعداد کل درخت‏های تحت آبیاری
(اصله مستقل)
(N)]]*Table13[[#This Row],[سطح پوشش مفروض برای هر درخت
(متر مربع)]]</f>
        <v>117</v>
      </c>
      <c r="J44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4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48" s="8">
        <f>IF(Table13[[#This Row],[آیا
Achech  &gt;  Atree]]=1, 1, Table13[[#This Row],[Psh]]+(0.15*(1-Table13[[#This Row],[Psh]])))</f>
        <v>1</v>
      </c>
      <c r="M448" s="8">
        <f>IF(Table13[[#This Row],[آیا
Achech  &gt;  Atree]]=1, 0.65, 1)</f>
        <v>0.65</v>
      </c>
      <c r="N44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52</v>
      </c>
      <c r="O44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</v>
      </c>
    </row>
    <row r="449" spans="2:15" x14ac:dyDescent="0.3">
      <c r="B449" s="4" t="s">
        <v>1366</v>
      </c>
      <c r="C449" s="4">
        <v>455</v>
      </c>
      <c r="D449" s="4">
        <v>276</v>
      </c>
      <c r="E449" s="4">
        <v>1050</v>
      </c>
      <c r="F449" s="4">
        <v>5599</v>
      </c>
      <c r="G449" s="16" t="s">
        <v>7</v>
      </c>
      <c r="H449" s="4">
        <v>9</v>
      </c>
      <c r="I449" s="4">
        <f>Table13[[#This Row],[تعداد کل درخت‏های تحت آبیاری
(اصله مستقل)
(N)]]*Table13[[#This Row],[سطح پوشش مفروض برای هر درخت
(متر مربع)]]</f>
        <v>2484</v>
      </c>
      <c r="J44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4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49" s="8">
        <f>IF(Table13[[#This Row],[آیا
Achech  &gt;  Atree]]=1, 1, Table13[[#This Row],[Psh]]+(0.15*(1-Table13[[#This Row],[Psh]])))</f>
        <v>1</v>
      </c>
      <c r="M449" s="8">
        <f>IF(Table13[[#This Row],[آیا
Achech  &gt;  Atree]]=1, 0.65, 1)</f>
        <v>0.65</v>
      </c>
      <c r="N44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1050</v>
      </c>
      <c r="O44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3.8043478260869565</v>
      </c>
    </row>
    <row r="450" spans="2:15" x14ac:dyDescent="0.3">
      <c r="B450" s="4" t="s">
        <v>1367</v>
      </c>
      <c r="C450" s="4">
        <v>193</v>
      </c>
      <c r="D450" s="4">
        <v>193</v>
      </c>
      <c r="E450" s="4">
        <v>10200</v>
      </c>
      <c r="F450" s="4">
        <v>10200</v>
      </c>
      <c r="G450" s="16" t="s">
        <v>286</v>
      </c>
      <c r="H450" s="4">
        <v>9</v>
      </c>
      <c r="I450" s="4">
        <f>Table13[[#This Row],[تعداد کل درخت‏های تحت آبیاری
(اصله مستقل)
(N)]]*Table13[[#This Row],[سطح پوشش مفروض برای هر درخت
(متر مربع)]]</f>
        <v>1737</v>
      </c>
      <c r="J45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5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0.17029411764705882</v>
      </c>
      <c r="L450" s="8">
        <f>IF(Table13[[#This Row],[آیا
Achech  &gt;  Atree]]=1, 1, Table13[[#This Row],[Psh]]+(0.15*(1-Table13[[#This Row],[Psh]])))</f>
        <v>0.29474999999999996</v>
      </c>
      <c r="M450" s="8">
        <f>IF(Table13[[#This Row],[آیا
Achech  &gt;  Atree]]=1, 0.65, 1)</f>
        <v>1</v>
      </c>
      <c r="N45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1737</v>
      </c>
      <c r="O45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51" spans="2:15" x14ac:dyDescent="0.3">
      <c r="B451" s="4" t="s">
        <v>1387</v>
      </c>
      <c r="C451" s="4">
        <v>6125</v>
      </c>
      <c r="D451" s="4">
        <v>3230</v>
      </c>
      <c r="E451" s="4">
        <v>17277</v>
      </c>
      <c r="F451" s="4">
        <v>130414</v>
      </c>
      <c r="G451" s="16" t="s">
        <v>78</v>
      </c>
      <c r="H451" s="4">
        <v>9</v>
      </c>
      <c r="I451" s="4">
        <f>Table13[[#This Row],[تعداد کل درخت‏های تحت آبیاری
(اصله مستقل)
(N)]]*Table13[[#This Row],[سطح پوشش مفروض برای هر درخت
(متر مربع)]]</f>
        <v>29070</v>
      </c>
      <c r="J45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5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51" s="8">
        <f>IF(Table13[[#This Row],[آیا
Achech  &gt;  Atree]]=1, 1, Table13[[#This Row],[Psh]]+(0.15*(1-Table13[[#This Row],[Psh]])))</f>
        <v>1</v>
      </c>
      <c r="M451" s="8">
        <f>IF(Table13[[#This Row],[آیا
Achech  &gt;  Atree]]=1, 0.65, 1)</f>
        <v>0.65</v>
      </c>
      <c r="N45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17277</v>
      </c>
      <c r="O45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5.3489164086687309</v>
      </c>
    </row>
    <row r="452" spans="2:15" x14ac:dyDescent="0.3">
      <c r="B452" s="4" t="s">
        <v>1399</v>
      </c>
      <c r="C452" s="4">
        <v>93</v>
      </c>
      <c r="D452" s="4">
        <v>93</v>
      </c>
      <c r="E452" s="4">
        <v>1176</v>
      </c>
      <c r="F452" s="4">
        <v>1176</v>
      </c>
      <c r="G452" s="16" t="s">
        <v>286</v>
      </c>
      <c r="H452" s="4">
        <v>9</v>
      </c>
      <c r="I452" s="4">
        <f>Table13[[#This Row],[تعداد کل درخت‏های تحت آبیاری
(اصله مستقل)
(N)]]*Table13[[#This Row],[سطح پوشش مفروض برای هر درخت
(متر مربع)]]</f>
        <v>837</v>
      </c>
      <c r="J45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5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0.71173469387755106</v>
      </c>
      <c r="L452" s="8">
        <f>IF(Table13[[#This Row],[آیا
Achech  &gt;  Atree]]=1, 1, Table13[[#This Row],[Psh]]+(0.15*(1-Table13[[#This Row],[Psh]])))</f>
        <v>0.75497448979591841</v>
      </c>
      <c r="M452" s="8">
        <f>IF(Table13[[#This Row],[آیا
Achech  &gt;  Atree]]=1, 0.65, 1)</f>
        <v>1</v>
      </c>
      <c r="N45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837</v>
      </c>
      <c r="O45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53" spans="2:15" x14ac:dyDescent="0.3">
      <c r="B453" s="4" t="s">
        <v>1410</v>
      </c>
      <c r="C453" s="4">
        <v>570</v>
      </c>
      <c r="D453" s="4">
        <v>40</v>
      </c>
      <c r="E453" s="4">
        <v>160</v>
      </c>
      <c r="F453" s="4">
        <v>11952.5</v>
      </c>
      <c r="G453" s="16" t="s">
        <v>7</v>
      </c>
      <c r="H453" s="4">
        <v>9</v>
      </c>
      <c r="I453" s="4">
        <f>Table13[[#This Row],[تعداد کل درخت‏های تحت آبیاری
(اصله مستقل)
(N)]]*Table13[[#This Row],[سطح پوشش مفروض برای هر درخت
(متر مربع)]]</f>
        <v>360</v>
      </c>
      <c r="J45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5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53" s="8">
        <f>IF(Table13[[#This Row],[آیا
Achech  &gt;  Atree]]=1, 1, Table13[[#This Row],[Psh]]+(0.15*(1-Table13[[#This Row],[Psh]])))</f>
        <v>1</v>
      </c>
      <c r="M453" s="8">
        <f>IF(Table13[[#This Row],[آیا
Achech  &gt;  Atree]]=1, 0.65, 1)</f>
        <v>0.65</v>
      </c>
      <c r="N45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160</v>
      </c>
      <c r="O45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</v>
      </c>
    </row>
    <row r="454" spans="2:15" x14ac:dyDescent="0.3">
      <c r="B454" s="4" t="s">
        <v>1411</v>
      </c>
      <c r="C454" s="4">
        <v>222</v>
      </c>
      <c r="D454" s="4">
        <v>90</v>
      </c>
      <c r="E454" s="4">
        <v>436</v>
      </c>
      <c r="F454" s="4">
        <v>4799</v>
      </c>
      <c r="G454" s="16" t="s">
        <v>7</v>
      </c>
      <c r="H454" s="4">
        <v>9</v>
      </c>
      <c r="I454" s="4">
        <f>Table13[[#This Row],[تعداد کل درخت‏های تحت آبیاری
(اصله مستقل)
(N)]]*Table13[[#This Row],[سطح پوشش مفروض برای هر درخت
(متر مربع)]]</f>
        <v>810</v>
      </c>
      <c r="J45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5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54" s="8">
        <f>IF(Table13[[#This Row],[آیا
Achech  &gt;  Atree]]=1, 1, Table13[[#This Row],[Psh]]+(0.15*(1-Table13[[#This Row],[Psh]])))</f>
        <v>1</v>
      </c>
      <c r="M454" s="8">
        <f>IF(Table13[[#This Row],[آیا
Achech  &gt;  Atree]]=1, 0.65, 1)</f>
        <v>0.65</v>
      </c>
      <c r="N45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436</v>
      </c>
      <c r="O45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4.8444444444444441</v>
      </c>
    </row>
    <row r="455" spans="2:15" x14ac:dyDescent="0.3">
      <c r="B455" s="4" t="s">
        <v>1412</v>
      </c>
      <c r="C455" s="4">
        <v>490</v>
      </c>
      <c r="D455" s="4">
        <v>490</v>
      </c>
      <c r="E455" s="4">
        <v>148</v>
      </c>
      <c r="F455" s="4">
        <v>7390</v>
      </c>
      <c r="G455" s="16" t="s">
        <v>7</v>
      </c>
      <c r="H455" s="4">
        <v>9</v>
      </c>
      <c r="I455" s="4">
        <f>Table13[[#This Row],[تعداد کل درخت‏های تحت آبیاری
(اصله مستقل)
(N)]]*Table13[[#This Row],[سطح پوشش مفروض برای هر درخت
(متر مربع)]]</f>
        <v>4410</v>
      </c>
      <c r="J45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5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55" s="8">
        <f>IF(Table13[[#This Row],[آیا
Achech  &gt;  Atree]]=1, 1, Table13[[#This Row],[Psh]]+(0.15*(1-Table13[[#This Row],[Psh]])))</f>
        <v>1</v>
      </c>
      <c r="M455" s="8">
        <f>IF(Table13[[#This Row],[آیا
Achech  &gt;  Atree]]=1, 0.65, 1)</f>
        <v>0.65</v>
      </c>
      <c r="N45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148</v>
      </c>
      <c r="O45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0.30204081632653063</v>
      </c>
    </row>
    <row r="456" spans="2:15" x14ac:dyDescent="0.3">
      <c r="B456" s="4" t="s">
        <v>1438</v>
      </c>
      <c r="C456" s="4">
        <v>2497</v>
      </c>
      <c r="D456" s="4">
        <v>2497</v>
      </c>
      <c r="E456" s="4">
        <v>25000</v>
      </c>
      <c r="F456" s="4">
        <v>25000</v>
      </c>
      <c r="G456" s="16" t="s">
        <v>286</v>
      </c>
      <c r="H456" s="4">
        <v>9</v>
      </c>
      <c r="I456" s="4">
        <f>Table13[[#This Row],[تعداد کل درخت‏های تحت آبیاری
(اصله مستقل)
(N)]]*Table13[[#This Row],[سطح پوشش مفروض برای هر درخت
(متر مربع)]]</f>
        <v>22473</v>
      </c>
      <c r="J45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5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0.89892000000000005</v>
      </c>
      <c r="L456" s="8">
        <f>IF(Table13[[#This Row],[آیا
Achech  &gt;  Atree]]=1, 1, Table13[[#This Row],[Psh]]+(0.15*(1-Table13[[#This Row],[Psh]])))</f>
        <v>0.91408200000000006</v>
      </c>
      <c r="M456" s="8">
        <f>IF(Table13[[#This Row],[آیا
Achech  &gt;  Atree]]=1, 0.65, 1)</f>
        <v>1</v>
      </c>
      <c r="N45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22473</v>
      </c>
      <c r="O45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57" spans="2:15" x14ac:dyDescent="0.3">
      <c r="B457" s="4" t="s">
        <v>1439</v>
      </c>
      <c r="C457" s="4">
        <v>448</v>
      </c>
      <c r="D457" s="4">
        <v>448</v>
      </c>
      <c r="E457" s="4">
        <v>4700</v>
      </c>
      <c r="F457" s="4">
        <v>4700</v>
      </c>
      <c r="G457" s="16" t="s">
        <v>286</v>
      </c>
      <c r="H457" s="4">
        <v>9</v>
      </c>
      <c r="I457" s="4">
        <f>Table13[[#This Row],[تعداد کل درخت‏های تحت آبیاری
(اصله مستقل)
(N)]]*Table13[[#This Row],[سطح پوشش مفروض برای هر درخت
(متر مربع)]]</f>
        <v>4032</v>
      </c>
      <c r="J45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5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0.85787234042553195</v>
      </c>
      <c r="L457" s="8">
        <f>IF(Table13[[#This Row],[آیا
Achech  &gt;  Atree]]=1, 1, Table13[[#This Row],[Psh]]+(0.15*(1-Table13[[#This Row],[Psh]])))</f>
        <v>0.87919148936170211</v>
      </c>
      <c r="M457" s="8">
        <f>IF(Table13[[#This Row],[آیا
Achech  &gt;  Atree]]=1, 0.65, 1)</f>
        <v>1</v>
      </c>
      <c r="N45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4032</v>
      </c>
      <c r="O45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58" spans="2:15" x14ac:dyDescent="0.3">
      <c r="B458" s="4" t="s">
        <v>1440</v>
      </c>
      <c r="C458" s="4">
        <v>160</v>
      </c>
      <c r="D458" s="4">
        <v>160</v>
      </c>
      <c r="E458" s="4">
        <v>1600</v>
      </c>
      <c r="F458" s="4">
        <v>1600</v>
      </c>
      <c r="G458" s="16" t="s">
        <v>286</v>
      </c>
      <c r="H458" s="4">
        <v>9</v>
      </c>
      <c r="I458" s="4">
        <f>Table13[[#This Row],[تعداد کل درخت‏های تحت آبیاری
(اصله مستقل)
(N)]]*Table13[[#This Row],[سطح پوشش مفروض برای هر درخت
(متر مربع)]]</f>
        <v>1440</v>
      </c>
      <c r="J45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5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0.9</v>
      </c>
      <c r="L458" s="8">
        <f>IF(Table13[[#This Row],[آیا
Achech  &gt;  Atree]]=1, 1, Table13[[#This Row],[Psh]]+(0.15*(1-Table13[[#This Row],[Psh]])))</f>
        <v>0.91500000000000004</v>
      </c>
      <c r="M458" s="8">
        <f>IF(Table13[[#This Row],[آیا
Achech  &gt;  Atree]]=1, 0.65, 1)</f>
        <v>1</v>
      </c>
      <c r="N45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1440</v>
      </c>
      <c r="O45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59" spans="2:15" x14ac:dyDescent="0.3">
      <c r="B459" s="4" t="s">
        <v>1441</v>
      </c>
      <c r="C459" s="4">
        <v>98</v>
      </c>
      <c r="D459" s="4">
        <v>98</v>
      </c>
      <c r="E459" s="4">
        <v>900</v>
      </c>
      <c r="F459" s="4">
        <v>900</v>
      </c>
      <c r="G459" s="16" t="s">
        <v>286</v>
      </c>
      <c r="H459" s="4">
        <v>9</v>
      </c>
      <c r="I459" s="4">
        <f>Table13[[#This Row],[تعداد کل درخت‏های تحت آبیاری
(اصله مستقل)
(N)]]*Table13[[#This Row],[سطح پوشش مفروض برای هر درخت
(متر مربع)]]</f>
        <v>882</v>
      </c>
      <c r="J45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5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0.98</v>
      </c>
      <c r="L459" s="8">
        <f>IF(Table13[[#This Row],[آیا
Achech  &gt;  Atree]]=1, 1, Table13[[#This Row],[Psh]]+(0.15*(1-Table13[[#This Row],[Psh]])))</f>
        <v>0.98299999999999998</v>
      </c>
      <c r="M459" s="8">
        <f>IF(Table13[[#This Row],[آیا
Achech  &gt;  Atree]]=1, 0.65, 1)</f>
        <v>1</v>
      </c>
      <c r="N45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882</v>
      </c>
      <c r="O45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60" spans="2:15" x14ac:dyDescent="0.3">
      <c r="B460" s="4" t="s">
        <v>1442</v>
      </c>
      <c r="C460" s="4">
        <v>108</v>
      </c>
      <c r="D460" s="4">
        <v>108</v>
      </c>
      <c r="E460" s="4">
        <v>1000</v>
      </c>
      <c r="F460" s="4">
        <v>1000</v>
      </c>
      <c r="G460" s="16" t="s">
        <v>286</v>
      </c>
      <c r="H460" s="4">
        <v>9</v>
      </c>
      <c r="I460" s="4">
        <f>Table13[[#This Row],[تعداد کل درخت‏های تحت آبیاری
(اصله مستقل)
(N)]]*Table13[[#This Row],[سطح پوشش مفروض برای هر درخت
(متر مربع)]]</f>
        <v>972</v>
      </c>
      <c r="J46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6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0.97199999999999998</v>
      </c>
      <c r="L460" s="8">
        <f>IF(Table13[[#This Row],[آیا
Achech  &gt;  Atree]]=1, 1, Table13[[#This Row],[Psh]]+(0.15*(1-Table13[[#This Row],[Psh]])))</f>
        <v>0.97619999999999996</v>
      </c>
      <c r="M460" s="8">
        <f>IF(Table13[[#This Row],[آیا
Achech  &gt;  Atree]]=1, 0.65, 1)</f>
        <v>1</v>
      </c>
      <c r="N46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972</v>
      </c>
      <c r="O46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61" spans="2:15" x14ac:dyDescent="0.3">
      <c r="B461" s="4" t="s">
        <v>1443</v>
      </c>
      <c r="C461" s="4">
        <v>120</v>
      </c>
      <c r="D461" s="4">
        <v>120</v>
      </c>
      <c r="E461" s="4">
        <v>1000</v>
      </c>
      <c r="F461" s="4">
        <v>1000</v>
      </c>
      <c r="G461" s="16" t="s">
        <v>286</v>
      </c>
      <c r="H461" s="4">
        <v>9</v>
      </c>
      <c r="I461" s="4">
        <f>Table13[[#This Row],[تعداد کل درخت‏های تحت آبیاری
(اصله مستقل)
(N)]]*Table13[[#This Row],[سطح پوشش مفروض برای هر درخت
(متر مربع)]]</f>
        <v>1080</v>
      </c>
      <c r="J46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6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61" s="8">
        <f>IF(Table13[[#This Row],[آیا
Achech  &gt;  Atree]]=1, 1, Table13[[#This Row],[Psh]]+(0.15*(1-Table13[[#This Row],[Psh]])))</f>
        <v>1</v>
      </c>
      <c r="M461" s="8">
        <f>IF(Table13[[#This Row],[آیا
Achech  &gt;  Atree]]=1, 0.65, 1)</f>
        <v>0.65</v>
      </c>
      <c r="N46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1000</v>
      </c>
      <c r="O46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8.3333333333333339</v>
      </c>
    </row>
    <row r="462" spans="2:15" x14ac:dyDescent="0.3">
      <c r="B462" s="4" t="s">
        <v>1444</v>
      </c>
      <c r="C462" s="4">
        <v>74</v>
      </c>
      <c r="D462" s="4">
        <v>72</v>
      </c>
      <c r="E462" s="4">
        <v>600</v>
      </c>
      <c r="F462" s="4">
        <v>600</v>
      </c>
      <c r="G462" s="16" t="s">
        <v>286</v>
      </c>
      <c r="H462" s="4">
        <v>9</v>
      </c>
      <c r="I462" s="4">
        <f>Table13[[#This Row],[تعداد کل درخت‏های تحت آبیاری
(اصله مستقل)
(N)]]*Table13[[#This Row],[سطح پوشش مفروض برای هر درخت
(متر مربع)]]</f>
        <v>648</v>
      </c>
      <c r="J46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6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62" s="8">
        <f>IF(Table13[[#This Row],[آیا
Achech  &gt;  Atree]]=1, 1, Table13[[#This Row],[Psh]]+(0.15*(1-Table13[[#This Row],[Psh]])))</f>
        <v>1</v>
      </c>
      <c r="M462" s="8">
        <f>IF(Table13[[#This Row],[آیا
Achech  &gt;  Atree]]=1, 0.65, 1)</f>
        <v>0.65</v>
      </c>
      <c r="N46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600</v>
      </c>
      <c r="O46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8.3333333333333339</v>
      </c>
    </row>
    <row r="463" spans="2:15" x14ac:dyDescent="0.3">
      <c r="B463" s="4" t="s">
        <v>1445</v>
      </c>
      <c r="C463" s="4">
        <v>369</v>
      </c>
      <c r="D463" s="4">
        <v>369</v>
      </c>
      <c r="E463" s="4">
        <v>3899</v>
      </c>
      <c r="F463" s="4">
        <v>1999.5</v>
      </c>
      <c r="G463" s="16" t="s">
        <v>286</v>
      </c>
      <c r="H463" s="4">
        <v>9</v>
      </c>
      <c r="I463" s="4">
        <f>Table13[[#This Row],[تعداد کل درخت‏های تحت آبیاری
(اصله مستقل)
(N)]]*Table13[[#This Row],[سطح پوشش مفروض برای هر درخت
(متر مربع)]]</f>
        <v>3321</v>
      </c>
      <c r="J46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6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0.85175686073352141</v>
      </c>
      <c r="L463" s="8">
        <f>IF(Table13[[#This Row],[آیا
Achech  &gt;  Atree]]=1, 1, Table13[[#This Row],[Psh]]+(0.15*(1-Table13[[#This Row],[Psh]])))</f>
        <v>0.87399333162349324</v>
      </c>
      <c r="M463" s="8">
        <f>IF(Table13[[#This Row],[آیا
Achech  &gt;  Atree]]=1, 0.65, 1)</f>
        <v>1</v>
      </c>
      <c r="N46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3321</v>
      </c>
      <c r="O46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64" spans="2:15" x14ac:dyDescent="0.3">
      <c r="B464" s="4" t="s">
        <v>1450</v>
      </c>
      <c r="C464" s="4">
        <v>289</v>
      </c>
      <c r="D464" s="4">
        <v>289</v>
      </c>
      <c r="E464" s="4">
        <v>4300</v>
      </c>
      <c r="F464" s="4">
        <v>4300</v>
      </c>
      <c r="G464" s="16" t="s">
        <v>286</v>
      </c>
      <c r="H464" s="4">
        <v>9</v>
      </c>
      <c r="I464" s="4">
        <f>Table13[[#This Row],[تعداد کل درخت‏های تحت آبیاری
(اصله مستقل)
(N)]]*Table13[[#This Row],[سطح پوشش مفروض برای هر درخت
(متر مربع)]]</f>
        <v>2601</v>
      </c>
      <c r="J46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6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0.60488372093023257</v>
      </c>
      <c r="L464" s="8">
        <f>IF(Table13[[#This Row],[آیا
Achech  &gt;  Atree]]=1, 1, Table13[[#This Row],[Psh]]+(0.15*(1-Table13[[#This Row],[Psh]])))</f>
        <v>0.66415116279069764</v>
      </c>
      <c r="M464" s="8">
        <f>IF(Table13[[#This Row],[آیا
Achech  &gt;  Atree]]=1, 0.65, 1)</f>
        <v>1</v>
      </c>
      <c r="N46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2601</v>
      </c>
      <c r="O46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65" spans="2:15" x14ac:dyDescent="0.3">
      <c r="B465" s="4" t="s">
        <v>1454</v>
      </c>
      <c r="C465" s="4">
        <v>144</v>
      </c>
      <c r="D465" s="4">
        <v>144</v>
      </c>
      <c r="E465" s="4">
        <v>1100</v>
      </c>
      <c r="F465" s="4">
        <v>1100</v>
      </c>
      <c r="G465" s="16" t="s">
        <v>286</v>
      </c>
      <c r="H465" s="4">
        <v>9</v>
      </c>
      <c r="I465" s="4">
        <f>Table13[[#This Row],[تعداد کل درخت‏های تحت آبیاری
(اصله مستقل)
(N)]]*Table13[[#This Row],[سطح پوشش مفروض برای هر درخت
(متر مربع)]]</f>
        <v>1296</v>
      </c>
      <c r="J46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6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65" s="8">
        <f>IF(Table13[[#This Row],[آیا
Achech  &gt;  Atree]]=1, 1, Table13[[#This Row],[Psh]]+(0.15*(1-Table13[[#This Row],[Psh]])))</f>
        <v>1</v>
      </c>
      <c r="M465" s="8">
        <f>IF(Table13[[#This Row],[آیا
Achech  &gt;  Atree]]=1, 0.65, 1)</f>
        <v>0.65</v>
      </c>
      <c r="N46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1100</v>
      </c>
      <c r="O46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7.6388888888888893</v>
      </c>
    </row>
    <row r="466" spans="2:15" x14ac:dyDescent="0.3">
      <c r="B466" s="4" t="s">
        <v>1455</v>
      </c>
      <c r="C466" s="4">
        <v>165</v>
      </c>
      <c r="D466" s="4">
        <v>165</v>
      </c>
      <c r="E466" s="4">
        <v>1600</v>
      </c>
      <c r="F466" s="4">
        <v>1600</v>
      </c>
      <c r="G466" s="16" t="s">
        <v>286</v>
      </c>
      <c r="H466" s="4">
        <v>9</v>
      </c>
      <c r="I466" s="4">
        <f>Table13[[#This Row],[تعداد کل درخت‏های تحت آبیاری
(اصله مستقل)
(N)]]*Table13[[#This Row],[سطح پوشش مفروض برای هر درخت
(متر مربع)]]</f>
        <v>1485</v>
      </c>
      <c r="J46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6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0.92812499999999998</v>
      </c>
      <c r="L466" s="8">
        <f>IF(Table13[[#This Row],[آیا
Achech  &gt;  Atree]]=1, 1, Table13[[#This Row],[Psh]]+(0.15*(1-Table13[[#This Row],[Psh]])))</f>
        <v>0.93890624999999994</v>
      </c>
      <c r="M466" s="8">
        <f>IF(Table13[[#This Row],[آیا
Achech  &gt;  Atree]]=1, 0.65, 1)</f>
        <v>1</v>
      </c>
      <c r="N46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1485</v>
      </c>
      <c r="O46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67" spans="2:15" x14ac:dyDescent="0.3">
      <c r="B467" s="4" t="s">
        <v>1456</v>
      </c>
      <c r="C467" s="4">
        <v>277</v>
      </c>
      <c r="D467" s="4">
        <v>117</v>
      </c>
      <c r="E467" s="4">
        <v>964</v>
      </c>
      <c r="F467" s="4">
        <v>3187</v>
      </c>
      <c r="G467" s="16" t="s">
        <v>7</v>
      </c>
      <c r="H467" s="4">
        <v>9</v>
      </c>
      <c r="I467" s="4">
        <f>Table13[[#This Row],[تعداد کل درخت‏های تحت آبیاری
(اصله مستقل)
(N)]]*Table13[[#This Row],[سطح پوشش مفروض برای هر درخت
(متر مربع)]]</f>
        <v>1053</v>
      </c>
      <c r="J46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6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67" s="8">
        <f>IF(Table13[[#This Row],[آیا
Achech  &gt;  Atree]]=1, 1, Table13[[#This Row],[Psh]]+(0.15*(1-Table13[[#This Row],[Psh]])))</f>
        <v>1</v>
      </c>
      <c r="M467" s="8">
        <f>IF(Table13[[#This Row],[آیا
Achech  &gt;  Atree]]=1, 0.65, 1)</f>
        <v>0.65</v>
      </c>
      <c r="N46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964</v>
      </c>
      <c r="O46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8.2393162393162385</v>
      </c>
    </row>
    <row r="468" spans="2:15" x14ac:dyDescent="0.3">
      <c r="B468" s="4" t="s">
        <v>1457</v>
      </c>
      <c r="C468" s="4">
        <v>255</v>
      </c>
      <c r="D468" s="4">
        <v>25</v>
      </c>
      <c r="E468" s="4">
        <v>66</v>
      </c>
      <c r="F468" s="4">
        <v>6592</v>
      </c>
      <c r="G468" s="16" t="s">
        <v>7</v>
      </c>
      <c r="H468" s="4">
        <v>9</v>
      </c>
      <c r="I468" s="4">
        <f>Table13[[#This Row],[تعداد کل درخت‏های تحت آبیاری
(اصله مستقل)
(N)]]*Table13[[#This Row],[سطح پوشش مفروض برای هر درخت
(متر مربع)]]</f>
        <v>225</v>
      </c>
      <c r="J46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6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68" s="8">
        <f>IF(Table13[[#This Row],[آیا
Achech  &gt;  Atree]]=1, 1, Table13[[#This Row],[Psh]]+(0.15*(1-Table13[[#This Row],[Psh]])))</f>
        <v>1</v>
      </c>
      <c r="M468" s="8">
        <f>IF(Table13[[#This Row],[آیا
Achech  &gt;  Atree]]=1, 0.65, 1)</f>
        <v>0.65</v>
      </c>
      <c r="N46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66</v>
      </c>
      <c r="O46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2.64</v>
      </c>
    </row>
    <row r="469" spans="2:15" x14ac:dyDescent="0.3">
      <c r="B469" s="4" t="s">
        <v>1458</v>
      </c>
      <c r="C469" s="4">
        <v>185</v>
      </c>
      <c r="D469" s="4">
        <v>15</v>
      </c>
      <c r="E469" s="4">
        <v>40</v>
      </c>
      <c r="F469" s="4">
        <v>5435</v>
      </c>
      <c r="G469" s="16" t="s">
        <v>7</v>
      </c>
      <c r="H469" s="4">
        <v>9</v>
      </c>
      <c r="I469" s="4">
        <f>Table13[[#This Row],[تعداد کل درخت‏های تحت آبیاری
(اصله مستقل)
(N)]]*Table13[[#This Row],[سطح پوشش مفروض برای هر درخت
(متر مربع)]]</f>
        <v>135</v>
      </c>
      <c r="J46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6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69" s="8">
        <f>IF(Table13[[#This Row],[آیا
Achech  &gt;  Atree]]=1, 1, Table13[[#This Row],[Psh]]+(0.15*(1-Table13[[#This Row],[Psh]])))</f>
        <v>1</v>
      </c>
      <c r="M469" s="8">
        <f>IF(Table13[[#This Row],[آیا
Achech  &gt;  Atree]]=1, 0.65, 1)</f>
        <v>0.65</v>
      </c>
      <c r="N46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40</v>
      </c>
      <c r="O46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2.6666666666666665</v>
      </c>
    </row>
    <row r="470" spans="2:15" x14ac:dyDescent="0.3">
      <c r="B470" s="4" t="s">
        <v>1459</v>
      </c>
      <c r="C470" s="4">
        <v>296</v>
      </c>
      <c r="D470" s="4">
        <v>95</v>
      </c>
      <c r="E470" s="4">
        <v>923</v>
      </c>
      <c r="F470" s="4">
        <v>4065</v>
      </c>
      <c r="G470" s="16" t="s">
        <v>7</v>
      </c>
      <c r="H470" s="4">
        <v>9</v>
      </c>
      <c r="I470" s="4">
        <f>Table13[[#This Row],[تعداد کل درخت‏های تحت آبیاری
(اصله مستقل)
(N)]]*Table13[[#This Row],[سطح پوشش مفروض برای هر درخت
(متر مربع)]]</f>
        <v>855</v>
      </c>
      <c r="J47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7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0.9263271939328277</v>
      </c>
      <c r="L470" s="8">
        <f>IF(Table13[[#This Row],[آیا
Achech  &gt;  Atree]]=1, 1, Table13[[#This Row],[Psh]]+(0.15*(1-Table13[[#This Row],[Psh]])))</f>
        <v>0.93737811484290356</v>
      </c>
      <c r="M470" s="8">
        <f>IF(Table13[[#This Row],[آیا
Achech  &gt;  Atree]]=1, 0.65, 1)</f>
        <v>1</v>
      </c>
      <c r="N47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855</v>
      </c>
      <c r="O47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71" spans="2:15" x14ac:dyDescent="0.3">
      <c r="B471" s="4" t="s">
        <v>1460</v>
      </c>
      <c r="C471" s="4">
        <v>375</v>
      </c>
      <c r="D471" s="4">
        <v>375</v>
      </c>
      <c r="E471" s="4">
        <v>1125</v>
      </c>
      <c r="F471" s="4">
        <v>2930</v>
      </c>
      <c r="G471" s="16" t="s">
        <v>7</v>
      </c>
      <c r="H471" s="4">
        <v>9</v>
      </c>
      <c r="I471" s="4">
        <f>Table13[[#This Row],[تعداد کل درخت‏های تحت آبیاری
(اصله مستقل)
(N)]]*Table13[[#This Row],[سطح پوشش مفروض برای هر درخت
(متر مربع)]]</f>
        <v>3375</v>
      </c>
      <c r="J47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7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71" s="8">
        <f>IF(Table13[[#This Row],[آیا
Achech  &gt;  Atree]]=1, 1, Table13[[#This Row],[Psh]]+(0.15*(1-Table13[[#This Row],[Psh]])))</f>
        <v>1</v>
      </c>
      <c r="M471" s="8">
        <f>IF(Table13[[#This Row],[آیا
Achech  &gt;  Atree]]=1, 0.65, 1)</f>
        <v>0.65</v>
      </c>
      <c r="N47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1125</v>
      </c>
      <c r="O47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</v>
      </c>
    </row>
    <row r="472" spans="2:15" x14ac:dyDescent="0.3">
      <c r="B472" s="4" t="s">
        <v>1461</v>
      </c>
      <c r="C472" s="4">
        <v>1575</v>
      </c>
      <c r="D472" s="4">
        <v>343</v>
      </c>
      <c r="E472" s="4">
        <v>1360</v>
      </c>
      <c r="F472" s="4">
        <v>30685</v>
      </c>
      <c r="G472" s="16" t="s">
        <v>7</v>
      </c>
      <c r="H472" s="4">
        <v>9</v>
      </c>
      <c r="I472" s="4">
        <f>Table13[[#This Row],[تعداد کل درخت‏های تحت آبیاری
(اصله مستقل)
(N)]]*Table13[[#This Row],[سطح پوشش مفروض برای هر درخت
(متر مربع)]]</f>
        <v>3087</v>
      </c>
      <c r="J47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7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72" s="8">
        <f>IF(Table13[[#This Row],[آیا
Achech  &gt;  Atree]]=1, 1, Table13[[#This Row],[Psh]]+(0.15*(1-Table13[[#This Row],[Psh]])))</f>
        <v>1</v>
      </c>
      <c r="M472" s="8">
        <f>IF(Table13[[#This Row],[آیا
Achech  &gt;  Atree]]=1, 0.65, 1)</f>
        <v>0.65</v>
      </c>
      <c r="N47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1360</v>
      </c>
      <c r="O47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3.9650145772594754</v>
      </c>
    </row>
    <row r="473" spans="2:15" x14ac:dyDescent="0.3">
      <c r="B473" s="4" t="s">
        <v>1462</v>
      </c>
      <c r="C473" s="4">
        <v>332</v>
      </c>
      <c r="D473" s="4">
        <v>51</v>
      </c>
      <c r="E473" s="4">
        <v>172</v>
      </c>
      <c r="F473" s="4">
        <v>3700</v>
      </c>
      <c r="G473" s="16" t="s">
        <v>7</v>
      </c>
      <c r="H473" s="4">
        <v>9</v>
      </c>
      <c r="I473" s="4">
        <f>Table13[[#This Row],[تعداد کل درخت‏های تحت آبیاری
(اصله مستقل)
(N)]]*Table13[[#This Row],[سطح پوشش مفروض برای هر درخت
(متر مربع)]]</f>
        <v>459</v>
      </c>
      <c r="J47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7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73" s="8">
        <f>IF(Table13[[#This Row],[آیا
Achech  &gt;  Atree]]=1, 1, Table13[[#This Row],[Psh]]+(0.15*(1-Table13[[#This Row],[Psh]])))</f>
        <v>1</v>
      </c>
      <c r="M473" s="8">
        <f>IF(Table13[[#This Row],[آیا
Achech  &gt;  Atree]]=1, 0.65, 1)</f>
        <v>0.65</v>
      </c>
      <c r="N47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172</v>
      </c>
      <c r="O47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3.3725490196078431</v>
      </c>
    </row>
    <row r="474" spans="2:15" x14ac:dyDescent="0.3">
      <c r="B474" s="4" t="s">
        <v>1463</v>
      </c>
      <c r="C474" s="4">
        <v>56</v>
      </c>
      <c r="D474" s="4">
        <v>6</v>
      </c>
      <c r="E474" s="4">
        <v>24</v>
      </c>
      <c r="F474" s="4">
        <v>2023</v>
      </c>
      <c r="G474" s="16" t="s">
        <v>7</v>
      </c>
      <c r="H474" s="4">
        <v>9</v>
      </c>
      <c r="I474" s="4">
        <f>Table13[[#This Row],[تعداد کل درخت‏های تحت آبیاری
(اصله مستقل)
(N)]]*Table13[[#This Row],[سطح پوشش مفروض برای هر درخت
(متر مربع)]]</f>
        <v>54</v>
      </c>
      <c r="J47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7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74" s="8">
        <f>IF(Table13[[#This Row],[آیا
Achech  &gt;  Atree]]=1, 1, Table13[[#This Row],[Psh]]+(0.15*(1-Table13[[#This Row],[Psh]])))</f>
        <v>1</v>
      </c>
      <c r="M474" s="8">
        <f>IF(Table13[[#This Row],[آیا
Achech  &gt;  Atree]]=1, 0.65, 1)</f>
        <v>0.65</v>
      </c>
      <c r="N47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24</v>
      </c>
      <c r="O47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</v>
      </c>
    </row>
    <row r="475" spans="2:15" x14ac:dyDescent="0.3">
      <c r="B475" s="4" t="s">
        <v>1475</v>
      </c>
      <c r="C475" s="4">
        <v>1300</v>
      </c>
      <c r="D475" s="4">
        <v>1339.1333333333334</v>
      </c>
      <c r="E475" s="4">
        <v>13251</v>
      </c>
      <c r="F475" s="4">
        <v>13854</v>
      </c>
      <c r="G475" s="16" t="s">
        <v>286</v>
      </c>
      <c r="H475" s="4">
        <v>9</v>
      </c>
      <c r="I475" s="4">
        <f>Table13[[#This Row],[تعداد کل درخت‏های تحت آبیاری
(اصله مستقل)
(N)]]*Table13[[#This Row],[سطح پوشش مفروض برای هر درخت
(متر مربع)]]</f>
        <v>12052.2</v>
      </c>
      <c r="J47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7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0.90953135612406621</v>
      </c>
      <c r="L475" s="8">
        <f>IF(Table13[[#This Row],[آیا
Achech  &gt;  Atree]]=1, 1, Table13[[#This Row],[Psh]]+(0.15*(1-Table13[[#This Row],[Psh]])))</f>
        <v>0.9231016527054563</v>
      </c>
      <c r="M475" s="8">
        <f>IF(Table13[[#This Row],[آیا
Achech  &gt;  Atree]]=1, 0.65, 1)</f>
        <v>1</v>
      </c>
      <c r="N47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12052.2</v>
      </c>
      <c r="O47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76" spans="2:15" x14ac:dyDescent="0.3">
      <c r="B476" s="4" t="s">
        <v>1476</v>
      </c>
      <c r="C476" s="4">
        <v>192</v>
      </c>
      <c r="D476" s="4">
        <v>53.333333333333336</v>
      </c>
      <c r="E476" s="4">
        <v>1900</v>
      </c>
      <c r="F476" s="4">
        <v>1900</v>
      </c>
      <c r="G476" s="16" t="s">
        <v>286</v>
      </c>
      <c r="H476" s="4">
        <v>9</v>
      </c>
      <c r="I476" s="4">
        <f>Table13[[#This Row],[تعداد کل درخت‏های تحت آبیاری
(اصله مستقل)
(N)]]*Table13[[#This Row],[سطح پوشش مفروض برای هر درخت
(متر مربع)]]</f>
        <v>480</v>
      </c>
      <c r="J47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7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0.25263157894736843</v>
      </c>
      <c r="L476" s="8">
        <f>IF(Table13[[#This Row],[آیا
Achech  &gt;  Atree]]=1, 1, Table13[[#This Row],[Psh]]+(0.15*(1-Table13[[#This Row],[Psh]])))</f>
        <v>0.36473684210526314</v>
      </c>
      <c r="M476" s="8">
        <f>IF(Table13[[#This Row],[آیا
Achech  &gt;  Atree]]=1, 0.65, 1)</f>
        <v>1</v>
      </c>
      <c r="N47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480</v>
      </c>
      <c r="O47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77" spans="2:15" x14ac:dyDescent="0.3">
      <c r="B477" s="4" t="s">
        <v>1477</v>
      </c>
      <c r="C477" s="4">
        <v>124</v>
      </c>
      <c r="D477" s="4">
        <v>18.8</v>
      </c>
      <c r="E477" s="4">
        <v>990</v>
      </c>
      <c r="F477" s="4">
        <v>990</v>
      </c>
      <c r="G477" s="16" t="s">
        <v>286</v>
      </c>
      <c r="H477" s="4">
        <v>9</v>
      </c>
      <c r="I477" s="4">
        <f>Table13[[#This Row],[تعداد کل درخت‏های تحت آبیاری
(اصله مستقل)
(N)]]*Table13[[#This Row],[سطح پوشش مفروض برای هر درخت
(متر مربع)]]</f>
        <v>169.20000000000002</v>
      </c>
      <c r="J47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7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0.17090909090909093</v>
      </c>
      <c r="L477" s="8">
        <f>IF(Table13[[#This Row],[آیا
Achech  &gt;  Atree]]=1, 1, Table13[[#This Row],[Psh]]+(0.15*(1-Table13[[#This Row],[Psh]])))</f>
        <v>0.2952727272727273</v>
      </c>
      <c r="M477" s="8">
        <f>IF(Table13[[#This Row],[آیا
Achech  &gt;  Atree]]=1, 0.65, 1)</f>
        <v>1</v>
      </c>
      <c r="N47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169.20000000000002</v>
      </c>
      <c r="O47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78" spans="2:15" x14ac:dyDescent="0.3">
      <c r="B478" s="4" t="s">
        <v>1478</v>
      </c>
      <c r="C478" s="4">
        <v>133</v>
      </c>
      <c r="D478" s="4">
        <v>19.533333333333335</v>
      </c>
      <c r="E478" s="4">
        <v>1590</v>
      </c>
      <c r="F478" s="4">
        <v>1590</v>
      </c>
      <c r="G478" s="16" t="s">
        <v>286</v>
      </c>
      <c r="H478" s="4">
        <v>9</v>
      </c>
      <c r="I478" s="4">
        <f>Table13[[#This Row],[تعداد کل درخت‏های تحت آبیاری
(اصله مستقل)
(N)]]*Table13[[#This Row],[سطح پوشش مفروض برای هر درخت
(متر مربع)]]</f>
        <v>175.8</v>
      </c>
      <c r="J47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7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0.11056603773584907</v>
      </c>
      <c r="L478" s="8">
        <f>IF(Table13[[#This Row],[آیا
Achech  &gt;  Atree]]=1, 1, Table13[[#This Row],[Psh]]+(0.15*(1-Table13[[#This Row],[Psh]])))</f>
        <v>0.24398113207547173</v>
      </c>
      <c r="M478" s="8">
        <f>IF(Table13[[#This Row],[آیا
Achech  &gt;  Atree]]=1, 0.65, 1)</f>
        <v>1</v>
      </c>
      <c r="N47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175.8</v>
      </c>
      <c r="O47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79" spans="2:15" x14ac:dyDescent="0.3">
      <c r="B479" s="4" t="s">
        <v>1479</v>
      </c>
      <c r="C479" s="4">
        <v>2148</v>
      </c>
      <c r="D479" s="4">
        <v>2148</v>
      </c>
      <c r="E479" s="4">
        <v>25885</v>
      </c>
      <c r="F479" s="4">
        <v>25885</v>
      </c>
      <c r="G479" s="16" t="s">
        <v>286</v>
      </c>
      <c r="H479" s="4">
        <v>9</v>
      </c>
      <c r="I479" s="4">
        <f>Table13[[#This Row],[تعداد کل درخت‏های تحت آبیاری
(اصله مستقل)
(N)]]*Table13[[#This Row],[سطح پوشش مفروض برای هر درخت
(متر مربع)]]</f>
        <v>19332</v>
      </c>
      <c r="J47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7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0.7468418002704269</v>
      </c>
      <c r="L479" s="8">
        <f>IF(Table13[[#This Row],[آیا
Achech  &gt;  Atree]]=1, 1, Table13[[#This Row],[Psh]]+(0.15*(1-Table13[[#This Row],[Psh]])))</f>
        <v>0.78481553022986283</v>
      </c>
      <c r="M479" s="8">
        <f>IF(Table13[[#This Row],[آیا
Achech  &gt;  Atree]]=1, 0.65, 1)</f>
        <v>1</v>
      </c>
      <c r="N47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19332</v>
      </c>
      <c r="O47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80" spans="2:15" x14ac:dyDescent="0.3">
      <c r="B480" s="4" t="s">
        <v>1480</v>
      </c>
      <c r="C480" s="4">
        <v>198</v>
      </c>
      <c r="D480" s="4">
        <v>198</v>
      </c>
      <c r="E480" s="4">
        <v>2128</v>
      </c>
      <c r="F480" s="4">
        <v>2128</v>
      </c>
      <c r="G480" s="16" t="s">
        <v>286</v>
      </c>
      <c r="H480" s="4">
        <v>9</v>
      </c>
      <c r="I480" s="4">
        <f>Table13[[#This Row],[تعداد کل درخت‏های تحت آبیاری
(اصله مستقل)
(N)]]*Table13[[#This Row],[سطح پوشش مفروض برای هر درخت
(متر مربع)]]</f>
        <v>1782</v>
      </c>
      <c r="J48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8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0.83740601503759393</v>
      </c>
      <c r="L480" s="8">
        <f>IF(Table13[[#This Row],[آیا
Achech  &gt;  Atree]]=1, 1, Table13[[#This Row],[Psh]]+(0.15*(1-Table13[[#This Row],[Psh]])))</f>
        <v>0.86179511278195486</v>
      </c>
      <c r="M480" s="8">
        <f>IF(Table13[[#This Row],[آیا
Achech  &gt;  Atree]]=1, 0.65, 1)</f>
        <v>1</v>
      </c>
      <c r="N48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1782</v>
      </c>
      <c r="O48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81" spans="2:15" x14ac:dyDescent="0.3">
      <c r="B481" s="4" t="s">
        <v>1481</v>
      </c>
      <c r="C481" s="4">
        <v>124</v>
      </c>
      <c r="D481" s="4">
        <v>94.13333333333334</v>
      </c>
      <c r="E481" s="4">
        <v>1288</v>
      </c>
      <c r="F481" s="4">
        <v>1288</v>
      </c>
      <c r="G481" s="16" t="s">
        <v>286</v>
      </c>
      <c r="H481" s="4">
        <v>9</v>
      </c>
      <c r="I481" s="4">
        <f>Table13[[#This Row],[تعداد کل درخت‏های تحت آبیاری
(اصله مستقل)
(N)]]*Table13[[#This Row],[سطح پوشش مفروض برای هر درخت
(متر مربع)]]</f>
        <v>847.2</v>
      </c>
      <c r="J48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8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0.65776397515527951</v>
      </c>
      <c r="L481" s="8">
        <f>IF(Table13[[#This Row],[آیا
Achech  &gt;  Atree]]=1, 1, Table13[[#This Row],[Psh]]+(0.15*(1-Table13[[#This Row],[Psh]])))</f>
        <v>0.7090993788819876</v>
      </c>
      <c r="M481" s="8">
        <f>IF(Table13[[#This Row],[آیا
Achech  &gt;  Atree]]=1, 0.65, 1)</f>
        <v>1</v>
      </c>
      <c r="N48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847.2</v>
      </c>
      <c r="O48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82" spans="2:15" x14ac:dyDescent="0.3">
      <c r="B482" s="4" t="s">
        <v>1482</v>
      </c>
      <c r="C482" s="4">
        <v>127</v>
      </c>
      <c r="D482" s="4">
        <v>94.333333333333329</v>
      </c>
      <c r="E482" s="4">
        <v>1288</v>
      </c>
      <c r="F482" s="4">
        <v>1288</v>
      </c>
      <c r="G482" s="16" t="s">
        <v>286</v>
      </c>
      <c r="H482" s="4">
        <v>9</v>
      </c>
      <c r="I482" s="4">
        <f>Table13[[#This Row],[تعداد کل درخت‏های تحت آبیاری
(اصله مستقل)
(N)]]*Table13[[#This Row],[سطح پوشش مفروض برای هر درخت
(متر مربع)]]</f>
        <v>849</v>
      </c>
      <c r="J48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8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0.65916149068322982</v>
      </c>
      <c r="L482" s="8">
        <f>IF(Table13[[#This Row],[آیا
Achech  &gt;  Atree]]=1, 1, Table13[[#This Row],[Psh]]+(0.15*(1-Table13[[#This Row],[Psh]])))</f>
        <v>0.7102872670807453</v>
      </c>
      <c r="M482" s="8">
        <f>IF(Table13[[#This Row],[آیا
Achech  &gt;  Atree]]=1, 0.65, 1)</f>
        <v>1</v>
      </c>
      <c r="N48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849</v>
      </c>
      <c r="O48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83" spans="2:15" x14ac:dyDescent="0.3">
      <c r="B483" s="4" t="s">
        <v>1483</v>
      </c>
      <c r="C483" s="4">
        <v>127</v>
      </c>
      <c r="D483" s="4">
        <v>127</v>
      </c>
      <c r="E483" s="4">
        <v>1288</v>
      </c>
      <c r="F483" s="4">
        <v>1288</v>
      </c>
      <c r="G483" s="16" t="s">
        <v>286</v>
      </c>
      <c r="H483" s="4">
        <v>9</v>
      </c>
      <c r="I483" s="4">
        <f>Table13[[#This Row],[تعداد کل درخت‏های تحت آبیاری
(اصله مستقل)
(N)]]*Table13[[#This Row],[سطح پوشش مفروض برای هر درخت
(متر مربع)]]</f>
        <v>1143</v>
      </c>
      <c r="J48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8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0.88742236024844723</v>
      </c>
      <c r="L483" s="8">
        <f>IF(Table13[[#This Row],[آیا
Achech  &gt;  Atree]]=1, 1, Table13[[#This Row],[Psh]]+(0.15*(1-Table13[[#This Row],[Psh]])))</f>
        <v>0.90430900621118016</v>
      </c>
      <c r="M483" s="8">
        <f>IF(Table13[[#This Row],[آیا
Achech  &gt;  Atree]]=1, 0.65, 1)</f>
        <v>1</v>
      </c>
      <c r="N48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1143</v>
      </c>
      <c r="O48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84" spans="2:15" x14ac:dyDescent="0.3">
      <c r="B484" s="4" t="s">
        <v>1484</v>
      </c>
      <c r="C484" s="4">
        <v>357</v>
      </c>
      <c r="D484" s="4">
        <v>305.39999999999998</v>
      </c>
      <c r="E484" s="4">
        <v>4224</v>
      </c>
      <c r="F484" s="4">
        <v>4224</v>
      </c>
      <c r="G484" s="16" t="s">
        <v>286</v>
      </c>
      <c r="H484" s="4">
        <v>9</v>
      </c>
      <c r="I484" s="4">
        <f>Table13[[#This Row],[تعداد کل درخت‏های تحت آبیاری
(اصله مستقل)
(N)]]*Table13[[#This Row],[سطح پوشش مفروض برای هر درخت
(متر مربع)]]</f>
        <v>2748.6</v>
      </c>
      <c r="J48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8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0.6507102272727272</v>
      </c>
      <c r="L484" s="8">
        <f>IF(Table13[[#This Row],[آیا
Achech  &gt;  Atree]]=1, 1, Table13[[#This Row],[Psh]]+(0.15*(1-Table13[[#This Row],[Psh]])))</f>
        <v>0.70310369318181809</v>
      </c>
      <c r="M484" s="8">
        <f>IF(Table13[[#This Row],[آیا
Achech  &gt;  Atree]]=1, 0.65, 1)</f>
        <v>1</v>
      </c>
      <c r="N48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2748.6</v>
      </c>
      <c r="O48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85" spans="2:15" x14ac:dyDescent="0.3">
      <c r="B485" s="4" t="s">
        <v>1485</v>
      </c>
      <c r="C485" s="4">
        <v>1773</v>
      </c>
      <c r="D485" s="4">
        <v>221.73333333333332</v>
      </c>
      <c r="E485" s="4">
        <v>23765</v>
      </c>
      <c r="F485" s="4">
        <v>23765</v>
      </c>
      <c r="G485" s="16" t="s">
        <v>286</v>
      </c>
      <c r="H485" s="4">
        <v>9</v>
      </c>
      <c r="I485" s="4">
        <f>Table13[[#This Row],[تعداد کل درخت‏های تحت آبیاری
(اصله مستقل)
(N)]]*Table13[[#This Row],[سطح پوشش مفروض برای هر درخت
(متر مربع)]]</f>
        <v>1995.6</v>
      </c>
      <c r="J48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8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8.3972228066484328E-2</v>
      </c>
      <c r="L485" s="8">
        <f>IF(Table13[[#This Row],[آیا
Achech  &gt;  Atree]]=1, 1, Table13[[#This Row],[Psh]]+(0.15*(1-Table13[[#This Row],[Psh]])))</f>
        <v>0.22137639385651167</v>
      </c>
      <c r="M485" s="8">
        <f>IF(Table13[[#This Row],[آیا
Achech  &gt;  Atree]]=1, 0.65, 1)</f>
        <v>1</v>
      </c>
      <c r="N48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1995.6</v>
      </c>
      <c r="O48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86" spans="2:15" x14ac:dyDescent="0.3">
      <c r="B486" s="4" t="s">
        <v>1486</v>
      </c>
      <c r="C486" s="4">
        <v>46</v>
      </c>
      <c r="D486" s="4">
        <v>16.933333333333334</v>
      </c>
      <c r="E486" s="4">
        <v>1091</v>
      </c>
      <c r="F486" s="4">
        <v>1091</v>
      </c>
      <c r="G486" s="16" t="s">
        <v>286</v>
      </c>
      <c r="H486" s="4">
        <v>9</v>
      </c>
      <c r="I486" s="4">
        <f>Table13[[#This Row],[تعداد کل درخت‏های تحت آبیاری
(اصله مستقل)
(N)]]*Table13[[#This Row],[سطح پوشش مفروض برای هر درخت
(متر مربع)]]</f>
        <v>152.4</v>
      </c>
      <c r="J48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8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0.13968835930339138</v>
      </c>
      <c r="L486" s="8">
        <f>IF(Table13[[#This Row],[آیا
Achech  &gt;  Atree]]=1, 1, Table13[[#This Row],[Psh]]+(0.15*(1-Table13[[#This Row],[Psh]])))</f>
        <v>0.2687351054078827</v>
      </c>
      <c r="M486" s="8">
        <f>IF(Table13[[#This Row],[آیا
Achech  &gt;  Atree]]=1, 0.65, 1)</f>
        <v>1</v>
      </c>
      <c r="N48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152.4</v>
      </c>
      <c r="O48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87" spans="2:15" x14ac:dyDescent="0.3">
      <c r="B487" s="4" t="s">
        <v>1487</v>
      </c>
      <c r="C487" s="4">
        <v>128</v>
      </c>
      <c r="D487" s="4">
        <v>94.4</v>
      </c>
      <c r="E487" s="4">
        <v>1288</v>
      </c>
      <c r="F487" s="4">
        <v>1288</v>
      </c>
      <c r="G487" s="16" t="s">
        <v>286</v>
      </c>
      <c r="H487" s="4">
        <v>9</v>
      </c>
      <c r="I487" s="4">
        <f>Table13[[#This Row],[تعداد کل درخت‏های تحت آبیاری
(اصله مستقل)
(N)]]*Table13[[#This Row],[سطح پوشش مفروض برای هر درخت
(متر مربع)]]</f>
        <v>849.6</v>
      </c>
      <c r="J48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8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0.65962732919254663</v>
      </c>
      <c r="L487" s="8">
        <f>IF(Table13[[#This Row],[آیا
Achech  &gt;  Atree]]=1, 1, Table13[[#This Row],[Psh]]+(0.15*(1-Table13[[#This Row],[Psh]])))</f>
        <v>0.71068322981366461</v>
      </c>
      <c r="M487" s="8">
        <f>IF(Table13[[#This Row],[آیا
Achech  &gt;  Atree]]=1, 0.65, 1)</f>
        <v>1</v>
      </c>
      <c r="N48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849.6</v>
      </c>
      <c r="O48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88" spans="2:15" x14ac:dyDescent="0.3">
      <c r="B488" s="4" t="s">
        <v>1488</v>
      </c>
      <c r="C488" s="4">
        <v>188</v>
      </c>
      <c r="D488" s="4">
        <v>154.4</v>
      </c>
      <c r="E488" s="4">
        <v>2128</v>
      </c>
      <c r="F488" s="4">
        <v>2128</v>
      </c>
      <c r="G488" s="16" t="s">
        <v>286</v>
      </c>
      <c r="H488" s="4">
        <v>9</v>
      </c>
      <c r="I488" s="4">
        <f>Table13[[#This Row],[تعداد کل درخت‏های تحت آبیاری
(اصله مستقل)
(N)]]*Table13[[#This Row],[سطح پوشش مفروض برای هر درخت
(متر مربع)]]</f>
        <v>1389.6000000000001</v>
      </c>
      <c r="J48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8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0.65300751879699259</v>
      </c>
      <c r="L488" s="8">
        <f>IF(Table13[[#This Row],[آیا
Achech  &gt;  Atree]]=1, 1, Table13[[#This Row],[Psh]]+(0.15*(1-Table13[[#This Row],[Psh]])))</f>
        <v>0.70505639097744366</v>
      </c>
      <c r="M488" s="8">
        <f>IF(Table13[[#This Row],[آیا
Achech  &gt;  Atree]]=1, 0.65, 1)</f>
        <v>1</v>
      </c>
      <c r="N48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1389.6000000000001</v>
      </c>
      <c r="O48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89" spans="2:15" x14ac:dyDescent="0.3">
      <c r="B489" s="4" t="s">
        <v>1489</v>
      </c>
      <c r="C489" s="4">
        <v>130</v>
      </c>
      <c r="D489" s="4">
        <v>124</v>
      </c>
      <c r="E489" s="4">
        <v>1730</v>
      </c>
      <c r="F489" s="4">
        <v>1730</v>
      </c>
      <c r="G489" s="16" t="s">
        <v>286</v>
      </c>
      <c r="H489" s="4">
        <v>9</v>
      </c>
      <c r="I489" s="4">
        <f>Table13[[#This Row],[تعداد کل درخت‏های تحت آبیاری
(اصله مستقل)
(N)]]*Table13[[#This Row],[سطح پوشش مفروض برای هر درخت
(متر مربع)]]</f>
        <v>1116</v>
      </c>
      <c r="J48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8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0.64508670520231215</v>
      </c>
      <c r="L489" s="8">
        <f>IF(Table13[[#This Row],[آیا
Achech  &gt;  Atree]]=1, 1, Table13[[#This Row],[Psh]]+(0.15*(1-Table13[[#This Row],[Psh]])))</f>
        <v>0.69832369942196537</v>
      </c>
      <c r="M489" s="8">
        <f>IF(Table13[[#This Row],[آیا
Achech  &gt;  Atree]]=1, 0.65, 1)</f>
        <v>1</v>
      </c>
      <c r="N48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1116</v>
      </c>
      <c r="O48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90" spans="2:15" x14ac:dyDescent="0.3">
      <c r="B490" s="4" t="s">
        <v>1490</v>
      </c>
      <c r="C490" s="4">
        <v>239</v>
      </c>
      <c r="D490" s="4">
        <v>202.6</v>
      </c>
      <c r="E490" s="4">
        <v>2800</v>
      </c>
      <c r="F490" s="4">
        <v>2800</v>
      </c>
      <c r="G490" s="16" t="s">
        <v>286</v>
      </c>
      <c r="H490" s="4">
        <v>9</v>
      </c>
      <c r="I490" s="4">
        <f>Table13[[#This Row],[تعداد کل درخت‏های تحت آبیاری
(اصله مستقل)
(N)]]*Table13[[#This Row],[سطح پوشش مفروض برای هر درخت
(متر مربع)]]</f>
        <v>1823.3999999999999</v>
      </c>
      <c r="J49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9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0.65121428571428563</v>
      </c>
      <c r="L490" s="8">
        <f>IF(Table13[[#This Row],[آیا
Achech  &gt;  Atree]]=1, 1, Table13[[#This Row],[Psh]]+(0.15*(1-Table13[[#This Row],[Psh]])))</f>
        <v>0.70353214285714283</v>
      </c>
      <c r="M490" s="8">
        <f>IF(Table13[[#This Row],[آیا
Achech  &gt;  Atree]]=1, 0.65, 1)</f>
        <v>1</v>
      </c>
      <c r="N49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1823.3999999999999</v>
      </c>
      <c r="O49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91" spans="2:15" x14ac:dyDescent="0.3">
      <c r="B491" s="4" t="s">
        <v>1491</v>
      </c>
      <c r="C491" s="4">
        <v>175</v>
      </c>
      <c r="D491" s="4">
        <v>153.53333333333333</v>
      </c>
      <c r="E491" s="4">
        <v>2128</v>
      </c>
      <c r="F491" s="4">
        <v>2128</v>
      </c>
      <c r="G491" s="16" t="s">
        <v>286</v>
      </c>
      <c r="H491" s="4">
        <v>9</v>
      </c>
      <c r="I491" s="4">
        <f>Table13[[#This Row],[تعداد کل درخت‏های تحت آبیاری
(اصله مستقل)
(N)]]*Table13[[#This Row],[سطح پوشش مفروض برای هر درخت
(متر مربع)]]</f>
        <v>1381.8</v>
      </c>
      <c r="J49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9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0.64934210526315783</v>
      </c>
      <c r="L491" s="8">
        <f>IF(Table13[[#This Row],[آیا
Achech  &gt;  Atree]]=1, 1, Table13[[#This Row],[Psh]]+(0.15*(1-Table13[[#This Row],[Psh]])))</f>
        <v>0.70194078947368421</v>
      </c>
      <c r="M491" s="8">
        <f>IF(Table13[[#This Row],[آیا
Achech  &gt;  Atree]]=1, 0.65, 1)</f>
        <v>1</v>
      </c>
      <c r="N49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1381.8</v>
      </c>
      <c r="O49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92" spans="2:15" x14ac:dyDescent="0.3">
      <c r="B492" s="4" t="s">
        <v>1492</v>
      </c>
      <c r="C492" s="4">
        <v>105</v>
      </c>
      <c r="D492" s="4">
        <v>193.66666666666666</v>
      </c>
      <c r="E492" s="4">
        <v>2800</v>
      </c>
      <c r="F492" s="4">
        <v>2800</v>
      </c>
      <c r="G492" s="16" t="s">
        <v>286</v>
      </c>
      <c r="H492" s="4">
        <v>9</v>
      </c>
      <c r="I492" s="4">
        <f>Table13[[#This Row],[تعداد کل درخت‏های تحت آبیاری
(اصله مستقل)
(N)]]*Table13[[#This Row],[سطح پوشش مفروض برای هر درخت
(متر مربع)]]</f>
        <v>1743</v>
      </c>
      <c r="J49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9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0.62250000000000005</v>
      </c>
      <c r="L492" s="8">
        <f>IF(Table13[[#This Row],[آیا
Achech  &gt;  Atree]]=1, 1, Table13[[#This Row],[Psh]]+(0.15*(1-Table13[[#This Row],[Psh]])))</f>
        <v>0.67912500000000009</v>
      </c>
      <c r="M492" s="8">
        <f>IF(Table13[[#This Row],[آیا
Achech  &gt;  Atree]]=1, 0.65, 1)</f>
        <v>1</v>
      </c>
      <c r="N49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1743</v>
      </c>
      <c r="O49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93" spans="2:15" x14ac:dyDescent="0.3">
      <c r="B493" s="4" t="s">
        <v>1493</v>
      </c>
      <c r="C493" s="4">
        <v>111</v>
      </c>
      <c r="D493" s="4">
        <v>93.266666666666666</v>
      </c>
      <c r="E493" s="4">
        <v>1288</v>
      </c>
      <c r="F493" s="4">
        <v>1288</v>
      </c>
      <c r="G493" s="16" t="s">
        <v>286</v>
      </c>
      <c r="H493" s="4">
        <v>9</v>
      </c>
      <c r="I493" s="4">
        <f>Table13[[#This Row],[تعداد کل درخت‏های تحت آبیاری
(اصله مستقل)
(N)]]*Table13[[#This Row],[سطح پوشش مفروض برای هر درخت
(متر مربع)]]</f>
        <v>839.4</v>
      </c>
      <c r="J49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9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0.65170807453416146</v>
      </c>
      <c r="L493" s="8">
        <f>IF(Table13[[#This Row],[آیا
Achech  &gt;  Atree]]=1, 1, Table13[[#This Row],[Psh]]+(0.15*(1-Table13[[#This Row],[Psh]])))</f>
        <v>0.70395186335403725</v>
      </c>
      <c r="M493" s="8">
        <f>IF(Table13[[#This Row],[آیا
Achech  &gt;  Atree]]=1, 0.65, 1)</f>
        <v>1</v>
      </c>
      <c r="N49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839.4</v>
      </c>
      <c r="O49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94" spans="2:15" x14ac:dyDescent="0.3">
      <c r="B494" s="4" t="s">
        <v>1494</v>
      </c>
      <c r="C494" s="4">
        <v>328</v>
      </c>
      <c r="D494" s="4">
        <v>658.5333333333333</v>
      </c>
      <c r="E494" s="4">
        <v>9550</v>
      </c>
      <c r="F494" s="4">
        <v>9550</v>
      </c>
      <c r="G494" s="16" t="s">
        <v>286</v>
      </c>
      <c r="H494" s="4">
        <v>9</v>
      </c>
      <c r="I494" s="4">
        <f>Table13[[#This Row],[تعداد کل درخت‏های تحت آبیاری
(اصله مستقل)
(N)]]*Table13[[#This Row],[سطح پوشش مفروض برای هر درخت
(متر مربع)]]</f>
        <v>5926.7999999999993</v>
      </c>
      <c r="J49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9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0.62060732984293188</v>
      </c>
      <c r="L494" s="8">
        <f>IF(Table13[[#This Row],[آیا
Achech  &gt;  Atree]]=1, 1, Table13[[#This Row],[Psh]]+(0.15*(1-Table13[[#This Row],[Psh]])))</f>
        <v>0.67751623036649211</v>
      </c>
      <c r="M494" s="8">
        <f>IF(Table13[[#This Row],[آیا
Achech  &gt;  Atree]]=1, 0.65, 1)</f>
        <v>1</v>
      </c>
      <c r="N49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5926.7999999999993</v>
      </c>
      <c r="O49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95" spans="2:15" x14ac:dyDescent="0.3">
      <c r="B495" s="4" t="s">
        <v>1495</v>
      </c>
      <c r="C495" s="4">
        <v>1108</v>
      </c>
      <c r="D495" s="4">
        <v>1108</v>
      </c>
      <c r="E495" s="4">
        <v>18600</v>
      </c>
      <c r="F495" s="4">
        <v>20342</v>
      </c>
      <c r="G495" s="16" t="s">
        <v>286</v>
      </c>
      <c r="H495" s="4">
        <v>9</v>
      </c>
      <c r="I495" s="4">
        <f>Table13[[#This Row],[تعداد کل درخت‏های تحت آبیاری
(اصله مستقل)
(N)]]*Table13[[#This Row],[سطح پوشش مفروض برای هر درخت
(متر مربع)]]</f>
        <v>9972</v>
      </c>
      <c r="J49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49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0.53612903225806452</v>
      </c>
      <c r="L495" s="8">
        <f>IF(Table13[[#This Row],[آیا
Achech  &gt;  Atree]]=1, 1, Table13[[#This Row],[Psh]]+(0.15*(1-Table13[[#This Row],[Psh]])))</f>
        <v>0.60570967741935489</v>
      </c>
      <c r="M495" s="8">
        <f>IF(Table13[[#This Row],[آیا
Achech  &gt;  Atree]]=1, 0.65, 1)</f>
        <v>1</v>
      </c>
      <c r="N49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9972</v>
      </c>
      <c r="O49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496" spans="2:15" x14ac:dyDescent="0.3">
      <c r="B496" s="4" t="s">
        <v>1519</v>
      </c>
      <c r="C496" s="4">
        <v>338</v>
      </c>
      <c r="D496" s="4">
        <v>110</v>
      </c>
      <c r="E496" s="4">
        <v>482</v>
      </c>
      <c r="F496" s="4">
        <v>4709</v>
      </c>
      <c r="G496" s="16" t="s">
        <v>7</v>
      </c>
      <c r="H496" s="4">
        <v>9</v>
      </c>
      <c r="I496" s="4">
        <f>Table13[[#This Row],[تعداد کل درخت‏های تحت آبیاری
(اصله مستقل)
(N)]]*Table13[[#This Row],[سطح پوشش مفروض برای هر درخت
(متر مربع)]]</f>
        <v>990</v>
      </c>
      <c r="J49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9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96" s="8">
        <f>IF(Table13[[#This Row],[آیا
Achech  &gt;  Atree]]=1, 1, Table13[[#This Row],[Psh]]+(0.15*(1-Table13[[#This Row],[Psh]])))</f>
        <v>1</v>
      </c>
      <c r="M496" s="8">
        <f>IF(Table13[[#This Row],[آیا
Achech  &gt;  Atree]]=1, 0.65, 1)</f>
        <v>0.65</v>
      </c>
      <c r="N49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482</v>
      </c>
      <c r="O49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4.3818181818181818</v>
      </c>
    </row>
    <row r="497" spans="2:15" x14ac:dyDescent="0.3">
      <c r="B497" s="4" t="s">
        <v>1520</v>
      </c>
      <c r="C497" s="4">
        <v>49</v>
      </c>
      <c r="D497" s="4">
        <v>49</v>
      </c>
      <c r="E497" s="4">
        <v>96</v>
      </c>
      <c r="F497" s="4">
        <v>5373</v>
      </c>
      <c r="G497" s="16" t="s">
        <v>7</v>
      </c>
      <c r="H497" s="4">
        <v>9</v>
      </c>
      <c r="I497" s="4">
        <f>Table13[[#This Row],[تعداد کل درخت‏های تحت آبیاری
(اصله مستقل)
(N)]]*Table13[[#This Row],[سطح پوشش مفروض برای هر درخت
(متر مربع)]]</f>
        <v>441</v>
      </c>
      <c r="J49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9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97" s="8">
        <f>IF(Table13[[#This Row],[آیا
Achech  &gt;  Atree]]=1, 1, Table13[[#This Row],[Psh]]+(0.15*(1-Table13[[#This Row],[Psh]])))</f>
        <v>1</v>
      </c>
      <c r="M497" s="8">
        <f>IF(Table13[[#This Row],[آیا
Achech  &gt;  Atree]]=1, 0.65, 1)</f>
        <v>0.65</v>
      </c>
      <c r="N49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96</v>
      </c>
      <c r="O49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1.9591836734693877</v>
      </c>
    </row>
    <row r="498" spans="2:15" x14ac:dyDescent="0.3">
      <c r="B498" s="4" t="s">
        <v>1521</v>
      </c>
      <c r="C498" s="4">
        <v>0</v>
      </c>
      <c r="D498" s="4">
        <v>25</v>
      </c>
      <c r="E498" s="4">
        <v>0</v>
      </c>
      <c r="F498" s="4"/>
      <c r="G498" s="16" t="s">
        <v>7</v>
      </c>
      <c r="H498" s="4">
        <v>9</v>
      </c>
      <c r="I498" s="4">
        <f>Table13[[#This Row],[تعداد کل درخت‏های تحت آبیاری
(اصله مستقل)
(N)]]*Table13[[#This Row],[سطح پوشش مفروض برای هر درخت
(متر مربع)]]</f>
        <v>225</v>
      </c>
      <c r="J49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9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98" s="8">
        <f>IF(Table13[[#This Row],[آیا
Achech  &gt;  Atree]]=1, 1, Table13[[#This Row],[Psh]]+(0.15*(1-Table13[[#This Row],[Psh]])))</f>
        <v>1</v>
      </c>
      <c r="M498" s="8">
        <f>IF(Table13[[#This Row],[آیا
Achech  &gt;  Atree]]=1, 0.65, 1)</f>
        <v>0.65</v>
      </c>
      <c r="N49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0</v>
      </c>
      <c r="O49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0</v>
      </c>
    </row>
    <row r="499" spans="2:15" x14ac:dyDescent="0.3">
      <c r="B499" s="4" t="s">
        <v>1522</v>
      </c>
      <c r="C499" s="4">
        <v>2554</v>
      </c>
      <c r="D499" s="4">
        <v>320</v>
      </c>
      <c r="E499" s="4">
        <v>2070</v>
      </c>
      <c r="F499" s="4">
        <v>48785</v>
      </c>
      <c r="G499" s="16" t="s">
        <v>7</v>
      </c>
      <c r="H499" s="4">
        <v>9</v>
      </c>
      <c r="I499" s="4">
        <f>Table13[[#This Row],[تعداد کل درخت‏های تحت آبیاری
(اصله مستقل)
(N)]]*Table13[[#This Row],[سطح پوشش مفروض برای هر درخت
(متر مربع)]]</f>
        <v>2880</v>
      </c>
      <c r="J49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49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499" s="8">
        <f>IF(Table13[[#This Row],[آیا
Achech  &gt;  Atree]]=1, 1, Table13[[#This Row],[Psh]]+(0.15*(1-Table13[[#This Row],[Psh]])))</f>
        <v>1</v>
      </c>
      <c r="M499" s="8">
        <f>IF(Table13[[#This Row],[آیا
Achech  &gt;  Atree]]=1, 0.65, 1)</f>
        <v>0.65</v>
      </c>
      <c r="N49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2070</v>
      </c>
      <c r="O49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6.46875</v>
      </c>
    </row>
    <row r="500" spans="2:15" x14ac:dyDescent="0.3">
      <c r="B500" s="4" t="s">
        <v>1523</v>
      </c>
      <c r="C500" s="4">
        <v>393</v>
      </c>
      <c r="D500" s="4">
        <v>156</v>
      </c>
      <c r="E500" s="4">
        <v>800</v>
      </c>
      <c r="F500" s="4">
        <v>2411</v>
      </c>
      <c r="G500" s="16" t="s">
        <v>7</v>
      </c>
      <c r="H500" s="4">
        <v>9</v>
      </c>
      <c r="I500" s="4">
        <f>Table13[[#This Row],[تعداد کل درخت‏های تحت آبیاری
(اصله مستقل)
(N)]]*Table13[[#This Row],[سطح پوشش مفروض برای هر درخت
(متر مربع)]]</f>
        <v>1404</v>
      </c>
      <c r="J50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50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500" s="8">
        <f>IF(Table13[[#This Row],[آیا
Achech  &gt;  Atree]]=1, 1, Table13[[#This Row],[Psh]]+(0.15*(1-Table13[[#This Row],[Psh]])))</f>
        <v>1</v>
      </c>
      <c r="M500" s="8">
        <f>IF(Table13[[#This Row],[آیا
Achech  &gt;  Atree]]=1, 0.65, 1)</f>
        <v>0.65</v>
      </c>
      <c r="N50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800</v>
      </c>
      <c r="O50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5.1282051282051286</v>
      </c>
    </row>
    <row r="501" spans="2:15" x14ac:dyDescent="0.3">
      <c r="B501" s="4" t="s">
        <v>1526</v>
      </c>
      <c r="C501" s="4">
        <v>1307</v>
      </c>
      <c r="D501" s="4">
        <v>1307</v>
      </c>
      <c r="E501" s="4">
        <v>8650</v>
      </c>
      <c r="F501" s="4">
        <v>57402</v>
      </c>
      <c r="G501" s="16" t="s">
        <v>7</v>
      </c>
      <c r="H501" s="4">
        <v>9</v>
      </c>
      <c r="I501" s="4">
        <f>Table13[[#This Row],[تعداد کل درخت‏های تحت آبیاری
(اصله مستقل)
(N)]]*Table13[[#This Row],[سطح پوشش مفروض برای هر درخت
(متر مربع)]]</f>
        <v>11763</v>
      </c>
      <c r="J50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50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501" s="8">
        <f>IF(Table13[[#This Row],[آیا
Achech  &gt;  Atree]]=1, 1, Table13[[#This Row],[Psh]]+(0.15*(1-Table13[[#This Row],[Psh]])))</f>
        <v>1</v>
      </c>
      <c r="M501" s="8">
        <f>IF(Table13[[#This Row],[آیا
Achech  &gt;  Atree]]=1, 0.65, 1)</f>
        <v>0.65</v>
      </c>
      <c r="N50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8650</v>
      </c>
      <c r="O50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6.6182096403978576</v>
      </c>
    </row>
    <row r="502" spans="2:15" x14ac:dyDescent="0.3">
      <c r="B502" s="4" t="s">
        <v>1527</v>
      </c>
      <c r="C502" s="4">
        <v>2000</v>
      </c>
      <c r="D502" s="4">
        <v>466.66666666666669</v>
      </c>
      <c r="E502" s="4">
        <v>30000</v>
      </c>
      <c r="F502" s="4">
        <v>30000</v>
      </c>
      <c r="G502" s="16" t="s">
        <v>286</v>
      </c>
      <c r="H502" s="4">
        <v>9</v>
      </c>
      <c r="I502" s="4">
        <f>Table13[[#This Row],[تعداد کل درخت‏های تحت آبیاری
(اصله مستقل)
(N)]]*Table13[[#This Row],[سطح پوشش مفروض برای هر درخت
(متر مربع)]]</f>
        <v>4200</v>
      </c>
      <c r="J50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0</v>
      </c>
      <c r="K50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0.14000000000000001</v>
      </c>
      <c r="L502" s="8">
        <f>IF(Table13[[#This Row],[آیا
Achech  &gt;  Atree]]=1, 1, Table13[[#This Row],[Psh]]+(0.15*(1-Table13[[#This Row],[Psh]])))</f>
        <v>0.26900000000000002</v>
      </c>
      <c r="M502" s="8">
        <f>IF(Table13[[#This Row],[آیا
Achech  &gt;  Atree]]=1, 0.65, 1)</f>
        <v>1</v>
      </c>
      <c r="N50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4200</v>
      </c>
      <c r="O50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9</v>
      </c>
    </row>
    <row r="503" spans="2:15" x14ac:dyDescent="0.3">
      <c r="B503" s="4" t="s">
        <v>1539</v>
      </c>
      <c r="C503" s="4">
        <v>107</v>
      </c>
      <c r="D503" s="4">
        <v>1</v>
      </c>
      <c r="E503" s="4">
        <v>1</v>
      </c>
      <c r="F503" s="4">
        <v>2986</v>
      </c>
      <c r="G503" s="16" t="s">
        <v>7</v>
      </c>
      <c r="H503" s="4">
        <v>9</v>
      </c>
      <c r="I503" s="4">
        <f>Table13[[#This Row],[تعداد کل درخت‏های تحت آبیاری
(اصله مستقل)
(N)]]*Table13[[#This Row],[سطح پوشش مفروض برای هر درخت
(متر مربع)]]</f>
        <v>9</v>
      </c>
      <c r="J50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50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503" s="8">
        <f>IF(Table13[[#This Row],[آیا
Achech  &gt;  Atree]]=1, 1, Table13[[#This Row],[Psh]]+(0.15*(1-Table13[[#This Row],[Psh]])))</f>
        <v>1</v>
      </c>
      <c r="M503" s="8">
        <f>IF(Table13[[#This Row],[آیا
Achech  &gt;  Atree]]=1, 0.65, 1)</f>
        <v>0.65</v>
      </c>
      <c r="N50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</v>
      </c>
      <c r="O50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504" spans="2:15" x14ac:dyDescent="0.3">
      <c r="B504" s="4" t="s">
        <v>1540</v>
      </c>
      <c r="C504" s="4">
        <v>41</v>
      </c>
      <c r="D504" s="4">
        <v>2</v>
      </c>
      <c r="E504" s="4">
        <v>2</v>
      </c>
      <c r="F504" s="4">
        <v>1070</v>
      </c>
      <c r="G504" s="16" t="s">
        <v>7</v>
      </c>
      <c r="H504" s="4">
        <v>9</v>
      </c>
      <c r="I504" s="4">
        <f>Table13[[#This Row],[تعداد کل درخت‏های تحت آبیاری
(اصله مستقل)
(N)]]*Table13[[#This Row],[سطح پوشش مفروض برای هر درخت
(متر مربع)]]</f>
        <v>18</v>
      </c>
      <c r="J50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50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504" s="8">
        <f>IF(Table13[[#This Row],[آیا
Achech  &gt;  Atree]]=1, 1, Table13[[#This Row],[Psh]]+(0.15*(1-Table13[[#This Row],[Psh]])))</f>
        <v>1</v>
      </c>
      <c r="M504" s="8">
        <f>IF(Table13[[#This Row],[آیا
Achech  &gt;  Atree]]=1, 0.65, 1)</f>
        <v>0.65</v>
      </c>
      <c r="N50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</v>
      </c>
      <c r="O50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505" spans="2:15" x14ac:dyDescent="0.3">
      <c r="B505" s="4" t="s">
        <v>1541</v>
      </c>
      <c r="C505" s="4">
        <v>571</v>
      </c>
      <c r="D505" s="4">
        <v>60</v>
      </c>
      <c r="E505" s="4">
        <v>60</v>
      </c>
      <c r="F505" s="4">
        <v>7803</v>
      </c>
      <c r="G505" s="16" t="s">
        <v>7</v>
      </c>
      <c r="H505" s="4">
        <v>9</v>
      </c>
      <c r="I505" s="4">
        <f>Table13[[#This Row],[تعداد کل درخت‏های تحت آبیاری
(اصله مستقل)
(N)]]*Table13[[#This Row],[سطح پوشش مفروض برای هر درخت
(متر مربع)]]</f>
        <v>540</v>
      </c>
      <c r="J50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50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505" s="8">
        <f>IF(Table13[[#This Row],[آیا
Achech  &gt;  Atree]]=1, 1, Table13[[#This Row],[Psh]]+(0.15*(1-Table13[[#This Row],[Psh]])))</f>
        <v>1</v>
      </c>
      <c r="M505" s="8">
        <f>IF(Table13[[#This Row],[آیا
Achech  &gt;  Atree]]=1, 0.65, 1)</f>
        <v>0.65</v>
      </c>
      <c r="N50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60</v>
      </c>
      <c r="O50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506" spans="2:15" x14ac:dyDescent="0.3">
      <c r="B506" s="4" t="s">
        <v>1542</v>
      </c>
      <c r="C506" s="4">
        <v>87</v>
      </c>
      <c r="D506" s="4">
        <v>3</v>
      </c>
      <c r="E506" s="4">
        <v>3</v>
      </c>
      <c r="F506" s="4">
        <v>3220</v>
      </c>
      <c r="G506" s="16" t="s">
        <v>7</v>
      </c>
      <c r="H506" s="4">
        <v>9</v>
      </c>
      <c r="I506" s="4">
        <f>Table13[[#This Row],[تعداد کل درخت‏های تحت آبیاری
(اصله مستقل)
(N)]]*Table13[[#This Row],[سطح پوشش مفروض برای هر درخت
(متر مربع)]]</f>
        <v>27</v>
      </c>
      <c r="J50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50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506" s="8">
        <f>IF(Table13[[#This Row],[آیا
Achech  &gt;  Atree]]=1, 1, Table13[[#This Row],[Psh]]+(0.15*(1-Table13[[#This Row],[Psh]])))</f>
        <v>1</v>
      </c>
      <c r="M506" s="8">
        <f>IF(Table13[[#This Row],[آیا
Achech  &gt;  Atree]]=1, 0.65, 1)</f>
        <v>0.65</v>
      </c>
      <c r="N50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</v>
      </c>
      <c r="O50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507" spans="2:15" x14ac:dyDescent="0.3">
      <c r="B507" s="4" t="s">
        <v>1543</v>
      </c>
      <c r="C507" s="4">
        <v>5</v>
      </c>
      <c r="D507" s="4">
        <v>2</v>
      </c>
      <c r="E507" s="4">
        <v>2</v>
      </c>
      <c r="F507" s="4">
        <v>147</v>
      </c>
      <c r="G507" s="16" t="s">
        <v>7</v>
      </c>
      <c r="H507" s="4">
        <v>9</v>
      </c>
      <c r="I507" s="4">
        <f>Table13[[#This Row],[تعداد کل درخت‏های تحت آبیاری
(اصله مستقل)
(N)]]*Table13[[#This Row],[سطح پوشش مفروض برای هر درخت
(متر مربع)]]</f>
        <v>18</v>
      </c>
      <c r="J50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50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507" s="8">
        <f>IF(Table13[[#This Row],[آیا
Achech  &gt;  Atree]]=1, 1, Table13[[#This Row],[Psh]]+(0.15*(1-Table13[[#This Row],[Psh]])))</f>
        <v>1</v>
      </c>
      <c r="M507" s="8">
        <f>IF(Table13[[#This Row],[آیا
Achech  &gt;  Atree]]=1, 0.65, 1)</f>
        <v>0.65</v>
      </c>
      <c r="N50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2</v>
      </c>
      <c r="O50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508" spans="2:15" x14ac:dyDescent="0.3">
      <c r="B508" s="4" t="s">
        <v>1544</v>
      </c>
      <c r="C508" s="4">
        <v>271</v>
      </c>
      <c r="D508" s="4">
        <v>26</v>
      </c>
      <c r="E508" s="4">
        <v>30</v>
      </c>
      <c r="F508" s="4">
        <v>4535</v>
      </c>
      <c r="G508" s="16" t="s">
        <v>7</v>
      </c>
      <c r="H508" s="4">
        <v>9</v>
      </c>
      <c r="I508" s="4">
        <f>Table13[[#This Row],[تعداد کل درخت‏های تحت آبیاری
(اصله مستقل)
(N)]]*Table13[[#This Row],[سطح پوشش مفروض برای هر درخت
(متر مربع)]]</f>
        <v>234</v>
      </c>
      <c r="J50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50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508" s="8">
        <f>IF(Table13[[#This Row],[آیا
Achech  &gt;  Atree]]=1, 1, Table13[[#This Row],[Psh]]+(0.15*(1-Table13[[#This Row],[Psh]])))</f>
        <v>1</v>
      </c>
      <c r="M508" s="8">
        <f>IF(Table13[[#This Row],[آیا
Achech  &gt;  Atree]]=1, 0.65, 1)</f>
        <v>0.65</v>
      </c>
      <c r="N50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30</v>
      </c>
      <c r="O50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1.1538461538461537</v>
      </c>
    </row>
    <row r="509" spans="2:15" x14ac:dyDescent="0.3">
      <c r="B509" s="4" t="s">
        <v>1545</v>
      </c>
      <c r="C509" s="4">
        <v>47</v>
      </c>
      <c r="D509" s="4">
        <v>3</v>
      </c>
      <c r="E509" s="4">
        <v>3</v>
      </c>
      <c r="F509" s="4">
        <v>380</v>
      </c>
      <c r="G509" s="16" t="s">
        <v>7</v>
      </c>
      <c r="H509" s="4">
        <v>9</v>
      </c>
      <c r="I509" s="4">
        <f>Table13[[#This Row],[تعداد کل درخت‏های تحت آبیاری
(اصله مستقل)
(N)]]*Table13[[#This Row],[سطح پوشش مفروض برای هر درخت
(متر مربع)]]</f>
        <v>27</v>
      </c>
      <c r="J50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50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509" s="8">
        <f>IF(Table13[[#This Row],[آیا
Achech  &gt;  Atree]]=1, 1, Table13[[#This Row],[Psh]]+(0.15*(1-Table13[[#This Row],[Psh]])))</f>
        <v>1</v>
      </c>
      <c r="M509" s="8">
        <f>IF(Table13[[#This Row],[آیا
Achech  &gt;  Atree]]=1, 0.65, 1)</f>
        <v>0.65</v>
      </c>
      <c r="N50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</v>
      </c>
      <c r="O50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510" spans="2:15" x14ac:dyDescent="0.3">
      <c r="B510" s="4" t="s">
        <v>1548</v>
      </c>
      <c r="C510" s="4">
        <v>48</v>
      </c>
      <c r="D510" s="4">
        <v>48</v>
      </c>
      <c r="E510" s="4">
        <v>0</v>
      </c>
      <c r="F510" s="4">
        <v>995</v>
      </c>
      <c r="G510" s="16" t="s">
        <v>7</v>
      </c>
      <c r="H510" s="4">
        <v>9</v>
      </c>
      <c r="I510" s="4">
        <f>Table13[[#This Row],[تعداد کل درخت‏های تحت آبیاری
(اصله مستقل)
(N)]]*Table13[[#This Row],[سطح پوشش مفروض برای هر درخت
(متر مربع)]]</f>
        <v>432</v>
      </c>
      <c r="J51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51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510" s="8">
        <f>IF(Table13[[#This Row],[آیا
Achech  &gt;  Atree]]=1, 1, Table13[[#This Row],[Psh]]+(0.15*(1-Table13[[#This Row],[Psh]])))</f>
        <v>1</v>
      </c>
      <c r="M510" s="8">
        <f>IF(Table13[[#This Row],[آیا
Achech  &gt;  Atree]]=1, 0.65, 1)</f>
        <v>0.65</v>
      </c>
      <c r="N51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0</v>
      </c>
      <c r="O51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0</v>
      </c>
    </row>
    <row r="511" spans="2:15" x14ac:dyDescent="0.3">
      <c r="B511" s="4" t="s">
        <v>1549</v>
      </c>
      <c r="C511" s="4">
        <v>34</v>
      </c>
      <c r="D511" s="4">
        <v>34</v>
      </c>
      <c r="E511" s="4">
        <v>0</v>
      </c>
      <c r="F511" s="4">
        <v>780</v>
      </c>
      <c r="G511" s="16" t="s">
        <v>7</v>
      </c>
      <c r="H511" s="4">
        <v>9</v>
      </c>
      <c r="I511" s="4">
        <f>Table13[[#This Row],[تعداد کل درخت‏های تحت آبیاری
(اصله مستقل)
(N)]]*Table13[[#This Row],[سطح پوشش مفروض برای هر درخت
(متر مربع)]]</f>
        <v>306</v>
      </c>
      <c r="J51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51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511" s="8">
        <f>IF(Table13[[#This Row],[آیا
Achech  &gt;  Atree]]=1, 1, Table13[[#This Row],[Psh]]+(0.15*(1-Table13[[#This Row],[Psh]])))</f>
        <v>1</v>
      </c>
      <c r="M511" s="8">
        <f>IF(Table13[[#This Row],[آیا
Achech  &gt;  Atree]]=1, 0.65, 1)</f>
        <v>0.65</v>
      </c>
      <c r="N51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0</v>
      </c>
      <c r="O51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0</v>
      </c>
    </row>
    <row r="512" spans="2:15" x14ac:dyDescent="0.3">
      <c r="B512" s="4" t="s">
        <v>1550</v>
      </c>
      <c r="C512" s="4">
        <v>98</v>
      </c>
      <c r="D512" s="4">
        <v>8</v>
      </c>
      <c r="E512" s="4">
        <v>8</v>
      </c>
      <c r="F512" s="4">
        <v>2243</v>
      </c>
      <c r="G512" s="16" t="s">
        <v>7</v>
      </c>
      <c r="H512" s="4">
        <v>9</v>
      </c>
      <c r="I512" s="4">
        <f>Table13[[#This Row],[تعداد کل درخت‏های تحت آبیاری
(اصله مستقل)
(N)]]*Table13[[#This Row],[سطح پوشش مفروض برای هر درخت
(متر مربع)]]</f>
        <v>72</v>
      </c>
      <c r="J51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51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512" s="8">
        <f>IF(Table13[[#This Row],[آیا
Achech  &gt;  Atree]]=1, 1, Table13[[#This Row],[Psh]]+(0.15*(1-Table13[[#This Row],[Psh]])))</f>
        <v>1</v>
      </c>
      <c r="M512" s="8">
        <f>IF(Table13[[#This Row],[آیا
Achech  &gt;  Atree]]=1, 0.65, 1)</f>
        <v>0.65</v>
      </c>
      <c r="N51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8</v>
      </c>
      <c r="O51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513" spans="2:16" x14ac:dyDescent="0.3">
      <c r="B513" s="4" t="s">
        <v>1551</v>
      </c>
      <c r="C513" s="4">
        <v>41</v>
      </c>
      <c r="D513" s="4">
        <v>1</v>
      </c>
      <c r="E513" s="4">
        <v>1</v>
      </c>
      <c r="F513" s="4">
        <v>324</v>
      </c>
      <c r="G513" s="16" t="s">
        <v>7</v>
      </c>
      <c r="H513" s="4">
        <v>9</v>
      </c>
      <c r="I513" s="4">
        <f>Table13[[#This Row],[تعداد کل درخت‏های تحت آبیاری
(اصله مستقل)
(N)]]*Table13[[#This Row],[سطح پوشش مفروض برای هر درخت
(متر مربع)]]</f>
        <v>9</v>
      </c>
      <c r="J513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513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513" s="8">
        <f>IF(Table13[[#This Row],[آیا
Achech  &gt;  Atree]]=1, 1, Table13[[#This Row],[Psh]]+(0.15*(1-Table13[[#This Row],[Psh]])))</f>
        <v>1</v>
      </c>
      <c r="M513" s="8">
        <f>IF(Table13[[#This Row],[آیا
Achech  &gt;  Atree]]=1, 0.65, 1)</f>
        <v>0.65</v>
      </c>
      <c r="N513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1</v>
      </c>
      <c r="O513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514" spans="2:16" x14ac:dyDescent="0.3">
      <c r="B514" s="4" t="s">
        <v>1554</v>
      </c>
      <c r="C514" s="4">
        <v>169</v>
      </c>
      <c r="D514" s="4">
        <v>169</v>
      </c>
      <c r="E514" s="4">
        <v>0</v>
      </c>
      <c r="F514" s="4">
        <v>5561</v>
      </c>
      <c r="G514" s="16" t="s">
        <v>7</v>
      </c>
      <c r="H514" s="4">
        <v>9</v>
      </c>
      <c r="I514" s="4">
        <f>Table13[[#This Row],[تعداد کل درخت‏های تحت آبیاری
(اصله مستقل)
(N)]]*Table13[[#This Row],[سطح پوشش مفروض برای هر درخت
(متر مربع)]]</f>
        <v>1521</v>
      </c>
      <c r="J514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514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514" s="8">
        <f>IF(Table13[[#This Row],[آیا
Achech  &gt;  Atree]]=1, 1, Table13[[#This Row],[Psh]]+(0.15*(1-Table13[[#This Row],[Psh]])))</f>
        <v>1</v>
      </c>
      <c r="M514" s="8">
        <f>IF(Table13[[#This Row],[آیا
Achech  &gt;  Atree]]=1, 0.65, 1)</f>
        <v>0.65</v>
      </c>
      <c r="N514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0</v>
      </c>
      <c r="O514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0</v>
      </c>
    </row>
    <row r="515" spans="2:16" x14ac:dyDescent="0.3">
      <c r="B515" s="4" t="s">
        <v>1555</v>
      </c>
      <c r="C515" s="4">
        <v>37</v>
      </c>
      <c r="D515" s="4">
        <v>37</v>
      </c>
      <c r="E515" s="4">
        <v>0</v>
      </c>
      <c r="F515" s="4">
        <v>1532</v>
      </c>
      <c r="G515" s="16" t="s">
        <v>7</v>
      </c>
      <c r="H515" s="4">
        <v>9</v>
      </c>
      <c r="I515" s="4">
        <f>Table13[[#This Row],[تعداد کل درخت‏های تحت آبیاری
(اصله مستقل)
(N)]]*Table13[[#This Row],[سطح پوشش مفروض برای هر درخت
(متر مربع)]]</f>
        <v>333</v>
      </c>
      <c r="J515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515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515" s="8">
        <f>IF(Table13[[#This Row],[آیا
Achech  &gt;  Atree]]=1, 1, Table13[[#This Row],[Psh]]+(0.15*(1-Table13[[#This Row],[Psh]])))</f>
        <v>1</v>
      </c>
      <c r="M515" s="8">
        <f>IF(Table13[[#This Row],[آیا
Achech  &gt;  Atree]]=1, 0.65, 1)</f>
        <v>0.65</v>
      </c>
      <c r="N515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0</v>
      </c>
      <c r="O515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0</v>
      </c>
    </row>
    <row r="516" spans="2:16" x14ac:dyDescent="0.3">
      <c r="B516" s="4" t="s">
        <v>1557</v>
      </c>
      <c r="C516" s="4">
        <v>609</v>
      </c>
      <c r="D516" s="4">
        <v>37</v>
      </c>
      <c r="E516" s="4">
        <v>37</v>
      </c>
      <c r="F516" s="4">
        <v>12186</v>
      </c>
      <c r="G516" s="16" t="s">
        <v>7</v>
      </c>
      <c r="H516" s="4">
        <v>9</v>
      </c>
      <c r="I516" s="4">
        <f>Table13[[#This Row],[تعداد کل درخت‏های تحت آبیاری
(اصله مستقل)
(N)]]*Table13[[#This Row],[سطح پوشش مفروض برای هر درخت
(متر مربع)]]</f>
        <v>333</v>
      </c>
      <c r="J516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516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516" s="8">
        <f>IF(Table13[[#This Row],[آیا
Achech  &gt;  Atree]]=1, 1, Table13[[#This Row],[Psh]]+(0.15*(1-Table13[[#This Row],[Psh]])))</f>
        <v>1</v>
      </c>
      <c r="M516" s="8">
        <f>IF(Table13[[#This Row],[آیا
Achech  &gt;  Atree]]=1, 0.65, 1)</f>
        <v>0.65</v>
      </c>
      <c r="N516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37</v>
      </c>
      <c r="O516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517" spans="2:16" x14ac:dyDescent="0.3">
      <c r="B517" s="4" t="s">
        <v>1558</v>
      </c>
      <c r="C517" s="4">
        <v>115</v>
      </c>
      <c r="D517" s="4">
        <v>9</v>
      </c>
      <c r="E517" s="4">
        <v>9</v>
      </c>
      <c r="F517" s="4">
        <v>1921</v>
      </c>
      <c r="G517" s="16" t="s">
        <v>7</v>
      </c>
      <c r="H517" s="4">
        <v>9</v>
      </c>
      <c r="I517" s="4">
        <f>Table13[[#This Row],[تعداد کل درخت‏های تحت آبیاری
(اصله مستقل)
(N)]]*Table13[[#This Row],[سطح پوشش مفروض برای هر درخت
(متر مربع)]]</f>
        <v>81</v>
      </c>
      <c r="J517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517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517" s="8">
        <f>IF(Table13[[#This Row],[آیا
Achech  &gt;  Atree]]=1, 1, Table13[[#This Row],[Psh]]+(0.15*(1-Table13[[#This Row],[Psh]])))</f>
        <v>1</v>
      </c>
      <c r="M517" s="8">
        <f>IF(Table13[[#This Row],[آیا
Achech  &gt;  Atree]]=1, 0.65, 1)</f>
        <v>0.65</v>
      </c>
      <c r="N517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9</v>
      </c>
      <c r="O517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518" spans="2:16" x14ac:dyDescent="0.3">
      <c r="B518" s="4" t="s">
        <v>1559</v>
      </c>
      <c r="C518" s="4">
        <v>79</v>
      </c>
      <c r="D518" s="4">
        <v>3</v>
      </c>
      <c r="E518" s="4">
        <v>3</v>
      </c>
      <c r="F518" s="4">
        <v>934</v>
      </c>
      <c r="G518" s="16" t="s">
        <v>7</v>
      </c>
      <c r="H518" s="4">
        <v>9</v>
      </c>
      <c r="I518" s="4">
        <f>Table13[[#This Row],[تعداد کل درخت‏های تحت آبیاری
(اصله مستقل)
(N)]]*Table13[[#This Row],[سطح پوشش مفروض برای هر درخت
(متر مربع)]]</f>
        <v>27</v>
      </c>
      <c r="J518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518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518" s="8">
        <f>IF(Table13[[#This Row],[آیا
Achech  &gt;  Atree]]=1, 1, Table13[[#This Row],[Psh]]+(0.15*(1-Table13[[#This Row],[Psh]])))</f>
        <v>1</v>
      </c>
      <c r="M518" s="8">
        <f>IF(Table13[[#This Row],[آیا
Achech  &gt;  Atree]]=1, 0.65, 1)</f>
        <v>0.65</v>
      </c>
      <c r="N518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3</v>
      </c>
      <c r="O518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519" spans="2:16" x14ac:dyDescent="0.3">
      <c r="B519" s="4" t="s">
        <v>1560</v>
      </c>
      <c r="C519" s="4">
        <v>134</v>
      </c>
      <c r="D519" s="4">
        <v>134</v>
      </c>
      <c r="E519" s="4">
        <v>0</v>
      </c>
      <c r="F519" s="4">
        <v>1254</v>
      </c>
      <c r="G519" s="16" t="s">
        <v>7</v>
      </c>
      <c r="H519" s="4">
        <v>9</v>
      </c>
      <c r="I519" s="4">
        <f>Table13[[#This Row],[تعداد کل درخت‏های تحت آبیاری
(اصله مستقل)
(N)]]*Table13[[#This Row],[سطح پوشش مفروض برای هر درخت
(متر مربع)]]</f>
        <v>1206</v>
      </c>
      <c r="J519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519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519" s="8">
        <f>IF(Table13[[#This Row],[آیا
Achech  &gt;  Atree]]=1, 1, Table13[[#This Row],[Psh]]+(0.15*(1-Table13[[#This Row],[Psh]])))</f>
        <v>1</v>
      </c>
      <c r="M519" s="8">
        <f>IF(Table13[[#This Row],[آیا
Achech  &gt;  Atree]]=1, 0.65, 1)</f>
        <v>0.65</v>
      </c>
      <c r="N519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0</v>
      </c>
      <c r="O519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0</v>
      </c>
    </row>
    <row r="520" spans="2:16" x14ac:dyDescent="0.3">
      <c r="B520" s="4" t="s">
        <v>1563</v>
      </c>
      <c r="C520" s="4">
        <v>180</v>
      </c>
      <c r="D520" s="4">
        <v>7</v>
      </c>
      <c r="E520" s="4">
        <v>7</v>
      </c>
      <c r="F520" s="4">
        <v>2408</v>
      </c>
      <c r="G520" s="16" t="s">
        <v>7</v>
      </c>
      <c r="H520" s="4">
        <v>9</v>
      </c>
      <c r="I520" s="4">
        <f>Table13[[#This Row],[تعداد کل درخت‏های تحت آبیاری
(اصله مستقل)
(N)]]*Table13[[#This Row],[سطح پوشش مفروض برای هر درخت
(متر مربع)]]</f>
        <v>63</v>
      </c>
      <c r="J520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520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520" s="8">
        <f>IF(Table13[[#This Row],[آیا
Achech  &gt;  Atree]]=1, 1, Table13[[#This Row],[Psh]]+(0.15*(1-Table13[[#This Row],[Psh]])))</f>
        <v>1</v>
      </c>
      <c r="M520" s="8">
        <f>IF(Table13[[#This Row],[آیا
Achech  &gt;  Atree]]=1, 0.65, 1)</f>
        <v>0.65</v>
      </c>
      <c r="N520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7</v>
      </c>
      <c r="O520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</row>
    <row r="521" spans="2:16" x14ac:dyDescent="0.3">
      <c r="B521" s="4" t="s">
        <v>1564</v>
      </c>
      <c r="C521" s="4">
        <v>219</v>
      </c>
      <c r="D521" s="4">
        <v>219</v>
      </c>
      <c r="E521" s="4">
        <v>0</v>
      </c>
      <c r="F521" s="4">
        <v>6626</v>
      </c>
      <c r="G521" s="16" t="s">
        <v>7</v>
      </c>
      <c r="H521" s="4">
        <v>9</v>
      </c>
      <c r="I521" s="4">
        <f>Table13[[#This Row],[تعداد کل درخت‏های تحت آبیاری
(اصله مستقل)
(N)]]*Table13[[#This Row],[سطح پوشش مفروض برای هر درخت
(متر مربع)]]</f>
        <v>1971</v>
      </c>
      <c r="J521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521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521" s="8">
        <f>IF(Table13[[#This Row],[آیا
Achech  &gt;  Atree]]=1, 1, Table13[[#This Row],[Psh]]+(0.15*(1-Table13[[#This Row],[Psh]])))</f>
        <v>1</v>
      </c>
      <c r="M521" s="8">
        <f>IF(Table13[[#This Row],[آیا
Achech  &gt;  Atree]]=1, 0.65, 1)</f>
        <v>0.65</v>
      </c>
      <c r="N521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0</v>
      </c>
      <c r="O521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0</v>
      </c>
    </row>
    <row r="522" spans="2:16" x14ac:dyDescent="0.3">
      <c r="B522" s="4" t="s">
        <v>1565</v>
      </c>
      <c r="C522" s="4">
        <v>0</v>
      </c>
      <c r="D522" s="4">
        <v>58423</v>
      </c>
      <c r="E522" s="4">
        <v>58423</v>
      </c>
      <c r="F522" s="4">
        <v>82094</v>
      </c>
      <c r="G522" s="16" t="s">
        <v>319</v>
      </c>
      <c r="H522" s="4">
        <v>9</v>
      </c>
      <c r="I522" s="4">
        <f>Table13[[#This Row],[تعداد کل درخت‏های تحت آبیاری
(اصله مستقل)
(N)]]*Table13[[#This Row],[سطح پوشش مفروض برای هر درخت
(متر مربع)]]</f>
        <v>525807</v>
      </c>
      <c r="J522" s="4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522" s="8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522" s="8">
        <f>IF(Table13[[#This Row],[آیا
Achech  &gt;  Atree]]=1, 1, Table13[[#This Row],[Psh]]+(0.15*(1-Table13[[#This Row],[Psh]])))</f>
        <v>1</v>
      </c>
      <c r="M522" s="8">
        <f>IF(Table13[[#This Row],[آیا
Achech  &gt;  Atree]]=1, 0.65, 1)</f>
        <v>0.65</v>
      </c>
      <c r="N522" s="4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58423</v>
      </c>
      <c r="O522" s="11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</v>
      </c>
      <c r="P522" s="13"/>
    </row>
    <row r="523" spans="2:16" x14ac:dyDescent="0.3">
      <c r="B523" s="5" t="s">
        <v>1566</v>
      </c>
      <c r="C523" s="5">
        <v>0</v>
      </c>
      <c r="D523" s="5">
        <v>61133.333333333328</v>
      </c>
      <c r="E523" s="5">
        <v>79800</v>
      </c>
      <c r="F523" s="5">
        <v>174768</v>
      </c>
      <c r="G523" s="17" t="s">
        <v>78</v>
      </c>
      <c r="H523" s="4">
        <v>9</v>
      </c>
      <c r="I523" s="5">
        <f>Table13[[#This Row],[تعداد کل درخت‏های تحت آبیاری
(اصله مستقل)
(N)]]*Table13[[#This Row],[سطح پوشش مفروض برای هر درخت
(متر مربع)]]</f>
        <v>550200</v>
      </c>
      <c r="J523" s="5">
        <f>IF(Table13[[#This Row],[حاصل ضرب
تعداد کل درخت‏های تحت آبیاری
در
سطح پوشش مفروض برای هر درخت
(Acheck = Atree * N)]]&gt;=Table13[[#This Row],[مساحت کل درختان تحت آبیاری
(متر مربع درخت)
(Atree)]],1,0)</f>
        <v>1</v>
      </c>
      <c r="K523" s="9">
        <f>IF(Table13[[#This Row],[آیا
Achech  &gt;  Atree]]=1, 1, Table13[[#This Row],[سطح پوشش مفروض برای هر درخت
(متر مربع)]]*Table13[[#This Row],[تعداد کل درخت‏های تحت آبیاری
(اصله مستقل)
(N)]]/Table13[[#This Row],[مساحت کل درختان تحت آبیاری
(متر مربع درخت)
(Atree)]])</f>
        <v>1</v>
      </c>
      <c r="L523" s="9">
        <f>IF(Table13[[#This Row],[آیا
Achech  &gt;  Atree]]=1, 1, Table13[[#This Row],[Psh]]+(0.15*(1-Table13[[#This Row],[Psh]])))</f>
        <v>1</v>
      </c>
      <c r="M523" s="9">
        <f>IF(Table13[[#This Row],[آیا
Achech  &gt;  Atree]]=1, 0.65, 1)</f>
        <v>0.65</v>
      </c>
      <c r="N523" s="5">
        <f>IF(Table13[[#This Row],[آیا
Achech  &gt;  Atree]]=1,Table13[[#This Row],[مساحت کل درختان تحت آبیاری
(متر مربع درخت)
(Atree)]],Table13[[#This Row],[تعداد کل درخت‏های تحت آبیاری
(اصله مستقل)
(N)]]*Table13[[#This Row],[سطح پوشش مفروض برای هر درخت
(متر مربع)]])</f>
        <v>79800</v>
      </c>
      <c r="O523" s="12">
        <f>IF(Table13[[#This Row],[آیا
Achech  &gt;  Atree]]=1,Table13[[#This Row],[A0]]/Table13[[#This Row],[تعداد کل درخت‏های تحت آبیاری
(اصله مستقل)
(N)]],Table13[[#This Row],[سطح پوشش مفروض برای هر درخت
(متر مربع)]])</f>
        <v>1.3053435114503817</v>
      </c>
      <c r="P523" s="13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8E1A3-94EA-4809-8A3B-5F2CE3835836}">
  <dimension ref="B1:P1035"/>
  <sheetViews>
    <sheetView rightToLeft="1" zoomScale="130" zoomScaleNormal="130" workbookViewId="0">
      <selection activeCell="J10" sqref="J10"/>
    </sheetView>
  </sheetViews>
  <sheetFormatPr defaultRowHeight="15.6" x14ac:dyDescent="0.3"/>
  <cols>
    <col min="1" max="1" width="5.5546875" style="1" customWidth="1"/>
    <col min="2" max="2" width="13.88671875" style="1" customWidth="1"/>
    <col min="3" max="6" width="11.109375" style="1" customWidth="1"/>
    <col min="7" max="7" width="19.21875" style="1" bestFit="1" customWidth="1"/>
    <col min="8" max="16" width="11.109375" style="1" customWidth="1"/>
    <col min="17" max="16384" width="8.88671875" style="1"/>
  </cols>
  <sheetData>
    <row r="1" spans="2:16" ht="30" customHeight="1" x14ac:dyDescent="0.3">
      <c r="B1" s="3"/>
      <c r="C1" s="3"/>
      <c r="D1" s="3"/>
      <c r="E1" s="3"/>
      <c r="F1" s="3"/>
      <c r="G1" s="3"/>
      <c r="H1" s="3"/>
      <c r="I1" s="3"/>
      <c r="K1" s="3"/>
      <c r="L1" s="3"/>
      <c r="M1" s="3"/>
      <c r="N1" s="3"/>
      <c r="O1" s="3"/>
      <c r="P1" s="3"/>
    </row>
    <row r="2" spans="2:16" s="6" customFormat="1" ht="37.200000000000003" x14ac:dyDescent="0.3">
      <c r="B2" s="7" t="s">
        <v>1569</v>
      </c>
      <c r="C2" s="7" t="s">
        <v>0</v>
      </c>
      <c r="D2" s="7" t="s">
        <v>1567</v>
      </c>
      <c r="E2" s="7" t="s">
        <v>1568</v>
      </c>
      <c r="F2" s="7" t="s">
        <v>1</v>
      </c>
      <c r="G2" s="7" t="s">
        <v>2</v>
      </c>
      <c r="H2" s="10" t="s">
        <v>1570</v>
      </c>
      <c r="I2" s="10" t="s">
        <v>1571</v>
      </c>
      <c r="J2" s="10" t="s">
        <v>1572</v>
      </c>
      <c r="K2" s="10" t="s">
        <v>1576</v>
      </c>
      <c r="L2" s="10" t="s">
        <v>1573</v>
      </c>
      <c r="M2" s="10" t="s">
        <v>1577</v>
      </c>
      <c r="N2" s="10" t="s">
        <v>1578</v>
      </c>
      <c r="O2" s="10" t="s">
        <v>1574</v>
      </c>
      <c r="P2" s="10" t="s">
        <v>1575</v>
      </c>
    </row>
    <row r="3" spans="2:16" ht="18.600000000000001" x14ac:dyDescent="0.3">
      <c r="B3" s="4" t="s">
        <v>4</v>
      </c>
      <c r="C3" s="4">
        <v>692</v>
      </c>
      <c r="D3" s="4">
        <v>243</v>
      </c>
      <c r="E3" s="4">
        <v>243</v>
      </c>
      <c r="F3" s="4">
        <v>16254</v>
      </c>
      <c r="G3" s="2" t="s">
        <v>3</v>
      </c>
      <c r="H3" s="4">
        <v>9</v>
      </c>
      <c r="I3" s="4">
        <f>Table134[[#This Row],[اصله مستقل]]*Table134[[#This Row],[A_tree]]</f>
        <v>2187</v>
      </c>
      <c r="J3" s="4">
        <f>IF(Table134[[#This Row],[n * A_tree ]]&gt;Table134[[#This Row],[مساحت آدرس]],1,0)</f>
        <v>0</v>
      </c>
      <c r="K3" s="8">
        <f>IF(Table134[[#This Row],[check]]=1,1,Table134[[#This Row],[A_tree]]*Table134[[#This Row],[اصله مستقل]]/Table134[[#This Row],[مساحت آدرس]])</f>
        <v>0.13455149501661129</v>
      </c>
      <c r="L3" s="14">
        <f>IF(Table134[[#This Row],[check]]=1,1,(Table134[[#This Row],[Psh]]+0.15*(1-Table134[[#This Row],[Psh]])))</f>
        <v>0.26436877076411958</v>
      </c>
      <c r="M3" s="14">
        <f>IF(Table134[[#This Row],[check]]=1,0.65,1)</f>
        <v>1</v>
      </c>
      <c r="N3" s="4">
        <v>1</v>
      </c>
      <c r="O3" s="4">
        <f>IF(Table134[[#This Row],[check]]=1,Table134[[#This Row],[مساحت آدرس]]*Table134[[#This Row],[A0 Inc]],Table134[[#This Row],[A_tree]]*Table134[[#This Row],[اصله مستقل]])</f>
        <v>2187</v>
      </c>
      <c r="P3" s="11">
        <f>IF(Table134[[#This Row],[check]]=1,Table134[[#This Row],[A0]]/Table134[[#This Row],[اصله مستقل]],Table134[[#This Row],[A_tree]])</f>
        <v>9</v>
      </c>
    </row>
    <row r="4" spans="2:16" ht="18.600000000000001" x14ac:dyDescent="0.3">
      <c r="B4" s="4" t="s">
        <v>5</v>
      </c>
      <c r="C4" s="4">
        <v>302</v>
      </c>
      <c r="D4" s="4">
        <v>1</v>
      </c>
      <c r="E4" s="4">
        <v>1</v>
      </c>
      <c r="F4" s="4">
        <v>3097</v>
      </c>
      <c r="G4" s="2" t="s">
        <v>3</v>
      </c>
      <c r="H4" s="4">
        <v>9</v>
      </c>
      <c r="I4" s="4">
        <f>Table134[[#This Row],[اصله مستقل]]*Table134[[#This Row],[A_tree]]</f>
        <v>9</v>
      </c>
      <c r="J4" s="4">
        <f>IF(Table134[[#This Row],[n * A_tree ]]&gt;Table134[[#This Row],[مساحت آدرس]],1,0)</f>
        <v>0</v>
      </c>
      <c r="K4" s="8">
        <f>IF(Table134[[#This Row],[check]]=1,1,Table134[[#This Row],[A_tree]]*Table134[[#This Row],[اصله مستقل]]/Table134[[#This Row],[مساحت آدرس]])</f>
        <v>2.9060381013884403E-3</v>
      </c>
      <c r="L4" s="14">
        <f>IF(Table134[[#This Row],[check]]=1,1,(Table134[[#This Row],[Psh]]+0.15*(1-Table134[[#This Row],[Psh]])))</f>
        <v>0.15247013238618018</v>
      </c>
      <c r="M4" s="14">
        <f>IF(Table134[[#This Row],[check]]=1,0.65,1)</f>
        <v>1</v>
      </c>
      <c r="N4" s="4">
        <v>1</v>
      </c>
      <c r="O4" s="4">
        <f>IF(Table134[[#This Row],[check]]=1,Table134[[#This Row],[مساحت آدرس]]*Table134[[#This Row],[A0 Inc]],Table134[[#This Row],[A_tree]]*Table134[[#This Row],[اصله مستقل]])</f>
        <v>9</v>
      </c>
      <c r="P4" s="11">
        <f>IF(Table134[[#This Row],[check]]=1,Table134[[#This Row],[A0]]/Table134[[#This Row],[اصله مستقل]],Table134[[#This Row],[A_tree]])</f>
        <v>9</v>
      </c>
    </row>
    <row r="5" spans="2:16" ht="18.600000000000001" x14ac:dyDescent="0.3">
      <c r="B5" s="4" t="s">
        <v>20</v>
      </c>
      <c r="C5" s="4">
        <v>812</v>
      </c>
      <c r="D5" s="4">
        <v>199</v>
      </c>
      <c r="E5" s="4">
        <v>325</v>
      </c>
      <c r="F5" s="4">
        <v>1694</v>
      </c>
      <c r="G5" s="2" t="s">
        <v>21</v>
      </c>
      <c r="H5" s="4">
        <v>9</v>
      </c>
      <c r="I5" s="4">
        <f>Table134[[#This Row],[اصله مستقل]]*Table134[[#This Row],[A_tree]]</f>
        <v>1791</v>
      </c>
      <c r="J5" s="4">
        <f>IF(Table134[[#This Row],[n * A_tree ]]&gt;Table134[[#This Row],[مساحت آدرس]],1,0)</f>
        <v>1</v>
      </c>
      <c r="K5" s="8">
        <f>IF(Table134[[#This Row],[check]]=1,1,Table134[[#This Row],[A_tree]]*Table134[[#This Row],[اصله مستقل]]/Table134[[#This Row],[مساحت آدرس]])</f>
        <v>1</v>
      </c>
      <c r="L5" s="14">
        <f>IF(Table134[[#This Row],[check]]=1,1,(Table134[[#This Row],[Psh]]+0.15*(1-Table134[[#This Row],[Psh]])))</f>
        <v>1</v>
      </c>
      <c r="M5" s="14">
        <f>IF(Table134[[#This Row],[check]]=1,0.65,1)</f>
        <v>0.65</v>
      </c>
      <c r="N5" s="4">
        <v>1</v>
      </c>
      <c r="O5" s="4">
        <f>IF(Table134[[#This Row],[check]]=1,Table134[[#This Row],[مساحت آدرس]]*Table134[[#This Row],[A0 Inc]],Table134[[#This Row],[A_tree]]*Table134[[#This Row],[اصله مستقل]])</f>
        <v>1694</v>
      </c>
      <c r="P5" s="11">
        <f>IF(Table134[[#This Row],[check]]=1,Table134[[#This Row],[A0]]/Table134[[#This Row],[اصله مستقل]],Table134[[#This Row],[A_tree]])</f>
        <v>8.5125628140703515</v>
      </c>
    </row>
    <row r="6" spans="2:16" ht="18.600000000000001" x14ac:dyDescent="0.3">
      <c r="B6" s="4" t="s">
        <v>22</v>
      </c>
      <c r="C6" s="4">
        <v>636</v>
      </c>
      <c r="D6" s="4">
        <v>324</v>
      </c>
      <c r="E6" s="4">
        <v>410</v>
      </c>
      <c r="F6" s="4">
        <v>4526</v>
      </c>
      <c r="G6" s="2" t="s">
        <v>21</v>
      </c>
      <c r="H6" s="4">
        <v>9</v>
      </c>
      <c r="I6" s="4">
        <f>Table134[[#This Row],[اصله مستقل]]*Table134[[#This Row],[A_tree]]</f>
        <v>2916</v>
      </c>
      <c r="J6" s="4">
        <f>IF(Table134[[#This Row],[n * A_tree ]]&gt;Table134[[#This Row],[مساحت آدرس]],1,0)</f>
        <v>0</v>
      </c>
      <c r="K6" s="8">
        <f>IF(Table134[[#This Row],[check]]=1,1,Table134[[#This Row],[A_tree]]*Table134[[#This Row],[اصله مستقل]]/Table134[[#This Row],[مساحت آدرس]])</f>
        <v>0.64427750773309767</v>
      </c>
      <c r="L6" s="14">
        <f>IF(Table134[[#This Row],[check]]=1,1,(Table134[[#This Row],[Psh]]+0.15*(1-Table134[[#This Row],[Psh]])))</f>
        <v>0.69763588157313305</v>
      </c>
      <c r="M6" s="14">
        <f>IF(Table134[[#This Row],[check]]=1,0.65,1)</f>
        <v>1</v>
      </c>
      <c r="N6" s="4">
        <v>1</v>
      </c>
      <c r="O6" s="4">
        <f>IF(Table134[[#This Row],[check]]=1,Table134[[#This Row],[مساحت آدرس]]*Table134[[#This Row],[A0 Inc]],Table134[[#This Row],[A_tree]]*Table134[[#This Row],[اصله مستقل]])</f>
        <v>2916</v>
      </c>
      <c r="P6" s="11">
        <f>IF(Table134[[#This Row],[check]]=1,Table134[[#This Row],[A0]]/Table134[[#This Row],[اصله مستقل]],Table134[[#This Row],[A_tree]])</f>
        <v>9</v>
      </c>
    </row>
    <row r="7" spans="2:16" ht="18.600000000000001" x14ac:dyDescent="0.3">
      <c r="B7" s="4" t="s">
        <v>23</v>
      </c>
      <c r="C7" s="4">
        <v>472</v>
      </c>
      <c r="D7" s="4">
        <v>38</v>
      </c>
      <c r="E7" s="4">
        <v>85</v>
      </c>
      <c r="F7" s="4">
        <v>1835</v>
      </c>
      <c r="G7" s="2" t="s">
        <v>21</v>
      </c>
      <c r="H7" s="4">
        <v>9</v>
      </c>
      <c r="I7" s="4">
        <f>Table134[[#This Row],[اصله مستقل]]*Table134[[#This Row],[A_tree]]</f>
        <v>342</v>
      </c>
      <c r="J7" s="4">
        <f>IF(Table134[[#This Row],[n * A_tree ]]&gt;Table134[[#This Row],[مساحت آدرس]],1,0)</f>
        <v>0</v>
      </c>
      <c r="K7" s="8">
        <f>IF(Table134[[#This Row],[check]]=1,1,Table134[[#This Row],[A_tree]]*Table134[[#This Row],[اصله مستقل]]/Table134[[#This Row],[مساحت آدرس]])</f>
        <v>0.18637602179836513</v>
      </c>
      <c r="L7" s="14">
        <f>IF(Table134[[#This Row],[check]]=1,1,(Table134[[#This Row],[Psh]]+0.15*(1-Table134[[#This Row],[Psh]])))</f>
        <v>0.30841961852861033</v>
      </c>
      <c r="M7" s="14">
        <f>IF(Table134[[#This Row],[check]]=1,0.65,1)</f>
        <v>1</v>
      </c>
      <c r="N7" s="4">
        <v>1</v>
      </c>
      <c r="O7" s="4">
        <f>IF(Table134[[#This Row],[check]]=1,Table134[[#This Row],[مساحت آدرس]]*Table134[[#This Row],[A0 Inc]],Table134[[#This Row],[A_tree]]*Table134[[#This Row],[اصله مستقل]])</f>
        <v>342</v>
      </c>
      <c r="P7" s="11">
        <f>IF(Table134[[#This Row],[check]]=1,Table134[[#This Row],[A0]]/Table134[[#This Row],[اصله مستقل]],Table134[[#This Row],[A_tree]])</f>
        <v>9</v>
      </c>
    </row>
    <row r="8" spans="2:16" ht="18.600000000000001" x14ac:dyDescent="0.3">
      <c r="B8" s="4" t="s">
        <v>24</v>
      </c>
      <c r="C8" s="4">
        <v>127</v>
      </c>
      <c r="D8" s="4">
        <v>5</v>
      </c>
      <c r="E8" s="4">
        <v>10</v>
      </c>
      <c r="F8" s="4">
        <v>1117</v>
      </c>
      <c r="G8" s="2" t="s">
        <v>21</v>
      </c>
      <c r="H8" s="4">
        <v>9</v>
      </c>
      <c r="I8" s="4">
        <f>Table134[[#This Row],[اصله مستقل]]*Table134[[#This Row],[A_tree]]</f>
        <v>45</v>
      </c>
      <c r="J8" s="4">
        <f>IF(Table134[[#This Row],[n * A_tree ]]&gt;Table134[[#This Row],[مساحت آدرس]],1,0)</f>
        <v>0</v>
      </c>
      <c r="K8" s="8">
        <f>IF(Table134[[#This Row],[check]]=1,1,Table134[[#This Row],[A_tree]]*Table134[[#This Row],[اصله مستقل]]/Table134[[#This Row],[مساحت آدرس]])</f>
        <v>4.0286481647269473E-2</v>
      </c>
      <c r="L8" s="14">
        <f>IF(Table134[[#This Row],[check]]=1,1,(Table134[[#This Row],[Psh]]+0.15*(1-Table134[[#This Row],[Psh]])))</f>
        <v>0.18424350940017906</v>
      </c>
      <c r="M8" s="14">
        <f>IF(Table134[[#This Row],[check]]=1,0.65,1)</f>
        <v>1</v>
      </c>
      <c r="N8" s="4">
        <v>1</v>
      </c>
      <c r="O8" s="4">
        <f>IF(Table134[[#This Row],[check]]=1,Table134[[#This Row],[مساحت آدرس]]*Table134[[#This Row],[A0 Inc]],Table134[[#This Row],[A_tree]]*Table134[[#This Row],[اصله مستقل]])</f>
        <v>45</v>
      </c>
      <c r="P8" s="11">
        <f>IF(Table134[[#This Row],[check]]=1,Table134[[#This Row],[A0]]/Table134[[#This Row],[اصله مستقل]],Table134[[#This Row],[A_tree]])</f>
        <v>9</v>
      </c>
    </row>
    <row r="9" spans="2:16" ht="18.600000000000001" x14ac:dyDescent="0.3">
      <c r="B9" s="4" t="s">
        <v>25</v>
      </c>
      <c r="C9" s="4">
        <v>618</v>
      </c>
      <c r="D9" s="4">
        <v>132</v>
      </c>
      <c r="E9" s="4">
        <v>220</v>
      </c>
      <c r="F9" s="4">
        <v>1192</v>
      </c>
      <c r="G9" s="2" t="s">
        <v>21</v>
      </c>
      <c r="H9" s="4">
        <v>9</v>
      </c>
      <c r="I9" s="4">
        <f>Table134[[#This Row],[اصله مستقل]]*Table134[[#This Row],[A_tree]]</f>
        <v>1188</v>
      </c>
      <c r="J9" s="4">
        <f>IF(Table134[[#This Row],[n * A_tree ]]&gt;Table134[[#This Row],[مساحت آدرس]],1,0)</f>
        <v>0</v>
      </c>
      <c r="K9" s="8">
        <f>IF(Table134[[#This Row],[check]]=1,1,Table134[[#This Row],[A_tree]]*Table134[[#This Row],[اصله مستقل]]/Table134[[#This Row],[مساحت آدرس]])</f>
        <v>0.99664429530201337</v>
      </c>
      <c r="L9" s="14">
        <f>IF(Table134[[#This Row],[check]]=1,1,(Table134[[#This Row],[Psh]]+0.15*(1-Table134[[#This Row],[Psh]])))</f>
        <v>0.99714765100671132</v>
      </c>
      <c r="M9" s="14">
        <f>IF(Table134[[#This Row],[check]]=1,0.65,1)</f>
        <v>1</v>
      </c>
      <c r="N9" s="4">
        <v>1</v>
      </c>
      <c r="O9" s="4">
        <f>IF(Table134[[#This Row],[check]]=1,Table134[[#This Row],[مساحت آدرس]]*Table134[[#This Row],[A0 Inc]],Table134[[#This Row],[A_tree]]*Table134[[#This Row],[اصله مستقل]])</f>
        <v>1188</v>
      </c>
      <c r="P9" s="11">
        <f>IF(Table134[[#This Row],[check]]=1,Table134[[#This Row],[A0]]/Table134[[#This Row],[اصله مستقل]],Table134[[#This Row],[A_tree]])</f>
        <v>9</v>
      </c>
    </row>
    <row r="10" spans="2:16" ht="18.600000000000001" x14ac:dyDescent="0.3">
      <c r="B10" s="4" t="s">
        <v>26</v>
      </c>
      <c r="C10" s="4">
        <v>600</v>
      </c>
      <c r="D10" s="4">
        <v>62</v>
      </c>
      <c r="E10" s="4">
        <v>93</v>
      </c>
      <c r="F10" s="4">
        <v>3685</v>
      </c>
      <c r="G10" s="2" t="s">
        <v>21</v>
      </c>
      <c r="H10" s="4">
        <v>9</v>
      </c>
      <c r="I10" s="4">
        <f>Table134[[#This Row],[اصله مستقل]]*Table134[[#This Row],[A_tree]]</f>
        <v>558</v>
      </c>
      <c r="J10" s="4">
        <f>IF(Table134[[#This Row],[n * A_tree ]]&gt;Table134[[#This Row],[مساحت آدرس]],1,0)</f>
        <v>0</v>
      </c>
      <c r="K10" s="8">
        <f>IF(Table134[[#This Row],[check]]=1,1,Table134[[#This Row],[A_tree]]*Table134[[#This Row],[اصله مستقل]]/Table134[[#This Row],[مساحت آدرس]])</f>
        <v>0.1514246947082768</v>
      </c>
      <c r="L10" s="14">
        <f>IF(Table134[[#This Row],[check]]=1,1,(Table134[[#This Row],[Psh]]+0.15*(1-Table134[[#This Row],[Psh]])))</f>
        <v>0.27871099050203529</v>
      </c>
      <c r="M10" s="14">
        <f>IF(Table134[[#This Row],[check]]=1,0.65,1)</f>
        <v>1</v>
      </c>
      <c r="N10" s="4">
        <v>1</v>
      </c>
      <c r="O10" s="4">
        <f>IF(Table134[[#This Row],[check]]=1,Table134[[#This Row],[مساحت آدرس]]*Table134[[#This Row],[A0 Inc]],Table134[[#This Row],[A_tree]]*Table134[[#This Row],[اصله مستقل]])</f>
        <v>558</v>
      </c>
      <c r="P10" s="11">
        <f>IF(Table134[[#This Row],[check]]=1,Table134[[#This Row],[A0]]/Table134[[#This Row],[اصله مستقل]],Table134[[#This Row],[A_tree]])</f>
        <v>9</v>
      </c>
    </row>
    <row r="11" spans="2:16" ht="18.600000000000001" x14ac:dyDescent="0.3">
      <c r="B11" s="4" t="s">
        <v>27</v>
      </c>
      <c r="C11" s="4">
        <v>353</v>
      </c>
      <c r="D11" s="4">
        <v>16</v>
      </c>
      <c r="E11" s="4">
        <v>20</v>
      </c>
      <c r="F11" s="4">
        <v>1720</v>
      </c>
      <c r="G11" s="2" t="s">
        <v>21</v>
      </c>
      <c r="H11" s="4">
        <v>9</v>
      </c>
      <c r="I11" s="4">
        <f>Table134[[#This Row],[اصله مستقل]]*Table134[[#This Row],[A_tree]]</f>
        <v>144</v>
      </c>
      <c r="J11" s="4">
        <f>IF(Table134[[#This Row],[n * A_tree ]]&gt;Table134[[#This Row],[مساحت آدرس]],1,0)</f>
        <v>0</v>
      </c>
      <c r="K11" s="8">
        <f>IF(Table134[[#This Row],[check]]=1,1,Table134[[#This Row],[A_tree]]*Table134[[#This Row],[اصله مستقل]]/Table134[[#This Row],[مساحت آدرس]])</f>
        <v>8.3720930232558138E-2</v>
      </c>
      <c r="L11" s="14">
        <f>IF(Table134[[#This Row],[check]]=1,1,(Table134[[#This Row],[Psh]]+0.15*(1-Table134[[#This Row],[Psh]])))</f>
        <v>0.22116279069767442</v>
      </c>
      <c r="M11" s="14">
        <f>IF(Table134[[#This Row],[check]]=1,0.65,1)</f>
        <v>1</v>
      </c>
      <c r="N11" s="4">
        <v>1</v>
      </c>
      <c r="O11" s="4">
        <f>IF(Table134[[#This Row],[check]]=1,Table134[[#This Row],[مساحت آدرس]]*Table134[[#This Row],[A0 Inc]],Table134[[#This Row],[A_tree]]*Table134[[#This Row],[اصله مستقل]])</f>
        <v>144</v>
      </c>
      <c r="P11" s="11">
        <f>IF(Table134[[#This Row],[check]]=1,Table134[[#This Row],[A0]]/Table134[[#This Row],[اصله مستقل]],Table134[[#This Row],[A_tree]])</f>
        <v>9</v>
      </c>
    </row>
    <row r="12" spans="2:16" ht="18.600000000000001" x14ac:dyDescent="0.3">
      <c r="B12" s="4" t="s">
        <v>28</v>
      </c>
      <c r="C12" s="4">
        <v>806</v>
      </c>
      <c r="D12" s="4">
        <v>170</v>
      </c>
      <c r="E12" s="4">
        <v>290</v>
      </c>
      <c r="F12" s="4">
        <v>1491</v>
      </c>
      <c r="G12" s="2" t="s">
        <v>21</v>
      </c>
      <c r="H12" s="4">
        <v>9</v>
      </c>
      <c r="I12" s="4">
        <f>Table134[[#This Row],[اصله مستقل]]*Table134[[#This Row],[A_tree]]</f>
        <v>1530</v>
      </c>
      <c r="J12" s="4">
        <f>IF(Table134[[#This Row],[n * A_tree ]]&gt;Table134[[#This Row],[مساحت آدرس]],1,0)</f>
        <v>1</v>
      </c>
      <c r="K12" s="8">
        <f>IF(Table134[[#This Row],[check]]=1,1,Table134[[#This Row],[A_tree]]*Table134[[#This Row],[اصله مستقل]]/Table134[[#This Row],[مساحت آدرس]])</f>
        <v>1</v>
      </c>
      <c r="L12" s="14">
        <f>IF(Table134[[#This Row],[check]]=1,1,(Table134[[#This Row],[Psh]]+0.15*(1-Table134[[#This Row],[Psh]])))</f>
        <v>1</v>
      </c>
      <c r="M12" s="14">
        <f>IF(Table134[[#This Row],[check]]=1,0.65,1)</f>
        <v>0.65</v>
      </c>
      <c r="N12" s="4">
        <v>1</v>
      </c>
      <c r="O12" s="4">
        <f>IF(Table134[[#This Row],[check]]=1,Table134[[#This Row],[مساحت آدرس]]*Table134[[#This Row],[A0 Inc]],Table134[[#This Row],[A_tree]]*Table134[[#This Row],[اصله مستقل]])</f>
        <v>1491</v>
      </c>
      <c r="P12" s="11">
        <f>IF(Table134[[#This Row],[check]]=1,Table134[[#This Row],[A0]]/Table134[[#This Row],[اصله مستقل]],Table134[[#This Row],[A_tree]])</f>
        <v>8.7705882352941185</v>
      </c>
    </row>
    <row r="13" spans="2:16" ht="18.600000000000001" x14ac:dyDescent="0.3">
      <c r="B13" s="4" t="s">
        <v>29</v>
      </c>
      <c r="C13" s="4">
        <v>367</v>
      </c>
      <c r="D13" s="4">
        <v>14</v>
      </c>
      <c r="E13" s="4">
        <v>30</v>
      </c>
      <c r="F13" s="4">
        <v>1941</v>
      </c>
      <c r="G13" s="2" t="s">
        <v>21</v>
      </c>
      <c r="H13" s="4">
        <v>9</v>
      </c>
      <c r="I13" s="4">
        <f>Table134[[#This Row],[اصله مستقل]]*Table134[[#This Row],[A_tree]]</f>
        <v>126</v>
      </c>
      <c r="J13" s="4">
        <f>IF(Table134[[#This Row],[n * A_tree ]]&gt;Table134[[#This Row],[مساحت آدرس]],1,0)</f>
        <v>0</v>
      </c>
      <c r="K13" s="8">
        <f>IF(Table134[[#This Row],[check]]=1,1,Table134[[#This Row],[A_tree]]*Table134[[#This Row],[اصله مستقل]]/Table134[[#This Row],[مساحت آدرس]])</f>
        <v>6.4914992272024727E-2</v>
      </c>
      <c r="L13" s="14">
        <f>IF(Table134[[#This Row],[check]]=1,1,(Table134[[#This Row],[Psh]]+0.15*(1-Table134[[#This Row],[Psh]])))</f>
        <v>0.20517774343122103</v>
      </c>
      <c r="M13" s="14">
        <f>IF(Table134[[#This Row],[check]]=1,0.65,1)</f>
        <v>1</v>
      </c>
      <c r="N13" s="4">
        <v>1</v>
      </c>
      <c r="O13" s="4">
        <f>IF(Table134[[#This Row],[check]]=1,Table134[[#This Row],[مساحت آدرس]]*Table134[[#This Row],[A0 Inc]],Table134[[#This Row],[A_tree]]*Table134[[#This Row],[اصله مستقل]])</f>
        <v>126</v>
      </c>
      <c r="P13" s="11">
        <f>IF(Table134[[#This Row],[check]]=1,Table134[[#This Row],[A0]]/Table134[[#This Row],[اصله مستقل]],Table134[[#This Row],[A_tree]])</f>
        <v>9</v>
      </c>
    </row>
    <row r="14" spans="2:16" ht="18.600000000000001" x14ac:dyDescent="0.3">
      <c r="B14" s="4" t="s">
        <v>30</v>
      </c>
      <c r="C14" s="4">
        <v>426</v>
      </c>
      <c r="D14" s="4">
        <v>125</v>
      </c>
      <c r="E14" s="4">
        <v>187</v>
      </c>
      <c r="F14" s="4">
        <v>354</v>
      </c>
      <c r="G14" s="2" t="s">
        <v>21</v>
      </c>
      <c r="H14" s="4">
        <v>9</v>
      </c>
      <c r="I14" s="4">
        <f>Table134[[#This Row],[اصله مستقل]]*Table134[[#This Row],[A_tree]]</f>
        <v>1125</v>
      </c>
      <c r="J14" s="4">
        <f>IF(Table134[[#This Row],[n * A_tree ]]&gt;Table134[[#This Row],[مساحت آدرس]],1,0)</f>
        <v>1</v>
      </c>
      <c r="K14" s="8">
        <f>IF(Table134[[#This Row],[check]]=1,1,Table134[[#This Row],[A_tree]]*Table134[[#This Row],[اصله مستقل]]/Table134[[#This Row],[مساحت آدرس]])</f>
        <v>1</v>
      </c>
      <c r="L14" s="14">
        <f>IF(Table134[[#This Row],[check]]=1,1,(Table134[[#This Row],[Psh]]+0.15*(1-Table134[[#This Row],[Psh]])))</f>
        <v>1</v>
      </c>
      <c r="M14" s="14">
        <f>IF(Table134[[#This Row],[check]]=1,0.65,1)</f>
        <v>0.65</v>
      </c>
      <c r="N14" s="4">
        <v>1</v>
      </c>
      <c r="O14" s="4">
        <f>IF(Table134[[#This Row],[check]]=1,Table134[[#This Row],[مساحت آدرس]]*Table134[[#This Row],[A0 Inc]],Table134[[#This Row],[A_tree]]*Table134[[#This Row],[اصله مستقل]])</f>
        <v>354</v>
      </c>
      <c r="P14" s="11">
        <f>IF(Table134[[#This Row],[check]]=1,Table134[[#This Row],[A0]]/Table134[[#This Row],[اصله مستقل]],Table134[[#This Row],[A_tree]])</f>
        <v>2.8319999999999999</v>
      </c>
    </row>
    <row r="15" spans="2:16" ht="18.600000000000001" x14ac:dyDescent="0.3">
      <c r="B15" s="4" t="s">
        <v>31</v>
      </c>
      <c r="C15" s="4">
        <v>137</v>
      </c>
      <c r="D15" s="4">
        <v>74</v>
      </c>
      <c r="E15" s="4">
        <v>120</v>
      </c>
      <c r="F15" s="4">
        <v>184</v>
      </c>
      <c r="G15" s="2" t="s">
        <v>21</v>
      </c>
      <c r="H15" s="4">
        <v>9</v>
      </c>
      <c r="I15" s="4">
        <f>Table134[[#This Row],[اصله مستقل]]*Table134[[#This Row],[A_tree]]</f>
        <v>666</v>
      </c>
      <c r="J15" s="4">
        <f>IF(Table134[[#This Row],[n * A_tree ]]&gt;Table134[[#This Row],[مساحت آدرس]],1,0)</f>
        <v>1</v>
      </c>
      <c r="K15" s="8">
        <f>IF(Table134[[#This Row],[check]]=1,1,Table134[[#This Row],[A_tree]]*Table134[[#This Row],[اصله مستقل]]/Table134[[#This Row],[مساحت آدرس]])</f>
        <v>1</v>
      </c>
      <c r="L15" s="14">
        <f>IF(Table134[[#This Row],[check]]=1,1,(Table134[[#This Row],[Psh]]+0.15*(1-Table134[[#This Row],[Psh]])))</f>
        <v>1</v>
      </c>
      <c r="M15" s="14">
        <f>IF(Table134[[#This Row],[check]]=1,0.65,1)</f>
        <v>0.65</v>
      </c>
      <c r="N15" s="4">
        <v>1</v>
      </c>
      <c r="O15" s="4">
        <f>IF(Table134[[#This Row],[check]]=1,Table134[[#This Row],[مساحت آدرس]]*Table134[[#This Row],[A0 Inc]],Table134[[#This Row],[A_tree]]*Table134[[#This Row],[اصله مستقل]])</f>
        <v>184</v>
      </c>
      <c r="P15" s="11">
        <f>IF(Table134[[#This Row],[check]]=1,Table134[[#This Row],[A0]]/Table134[[#This Row],[اصله مستقل]],Table134[[#This Row],[A_tree]])</f>
        <v>2.4864864864864864</v>
      </c>
    </row>
    <row r="16" spans="2:16" ht="18.600000000000001" x14ac:dyDescent="0.3">
      <c r="B16" s="4" t="s">
        <v>32</v>
      </c>
      <c r="C16" s="4">
        <v>262</v>
      </c>
      <c r="D16" s="4">
        <v>62</v>
      </c>
      <c r="E16" s="4">
        <v>95</v>
      </c>
      <c r="F16" s="4">
        <v>1254</v>
      </c>
      <c r="G16" s="2" t="s">
        <v>21</v>
      </c>
      <c r="H16" s="4">
        <v>9</v>
      </c>
      <c r="I16" s="4">
        <f>Table134[[#This Row],[اصله مستقل]]*Table134[[#This Row],[A_tree]]</f>
        <v>558</v>
      </c>
      <c r="J16" s="4">
        <f>IF(Table134[[#This Row],[n * A_tree ]]&gt;Table134[[#This Row],[مساحت آدرس]],1,0)</f>
        <v>0</v>
      </c>
      <c r="K16" s="8">
        <f>IF(Table134[[#This Row],[check]]=1,1,Table134[[#This Row],[A_tree]]*Table134[[#This Row],[اصله مستقل]]/Table134[[#This Row],[مساحت آدرس]])</f>
        <v>0.44497607655502391</v>
      </c>
      <c r="L16" s="14">
        <f>IF(Table134[[#This Row],[check]]=1,1,(Table134[[#This Row],[Psh]]+0.15*(1-Table134[[#This Row],[Psh]])))</f>
        <v>0.52822966507177038</v>
      </c>
      <c r="M16" s="14">
        <f>IF(Table134[[#This Row],[check]]=1,0.65,1)</f>
        <v>1</v>
      </c>
      <c r="N16" s="4">
        <v>1</v>
      </c>
      <c r="O16" s="4">
        <f>IF(Table134[[#This Row],[check]]=1,Table134[[#This Row],[مساحت آدرس]]*Table134[[#This Row],[A0 Inc]],Table134[[#This Row],[A_tree]]*Table134[[#This Row],[اصله مستقل]])</f>
        <v>558</v>
      </c>
      <c r="P16" s="11">
        <f>IF(Table134[[#This Row],[check]]=1,Table134[[#This Row],[A0]]/Table134[[#This Row],[اصله مستقل]],Table134[[#This Row],[A_tree]])</f>
        <v>9</v>
      </c>
    </row>
    <row r="17" spans="2:16" ht="18.600000000000001" x14ac:dyDescent="0.3">
      <c r="B17" s="4" t="s">
        <v>33</v>
      </c>
      <c r="C17" s="4">
        <v>206</v>
      </c>
      <c r="D17" s="4">
        <v>42</v>
      </c>
      <c r="E17" s="4">
        <v>63</v>
      </c>
      <c r="F17" s="4">
        <v>255</v>
      </c>
      <c r="G17" s="2" t="s">
        <v>21</v>
      </c>
      <c r="H17" s="4">
        <v>9</v>
      </c>
      <c r="I17" s="4">
        <f>Table134[[#This Row],[اصله مستقل]]*Table134[[#This Row],[A_tree]]</f>
        <v>378</v>
      </c>
      <c r="J17" s="4">
        <f>IF(Table134[[#This Row],[n * A_tree ]]&gt;Table134[[#This Row],[مساحت آدرس]],1,0)</f>
        <v>1</v>
      </c>
      <c r="K17" s="8">
        <f>IF(Table134[[#This Row],[check]]=1,1,Table134[[#This Row],[A_tree]]*Table134[[#This Row],[اصله مستقل]]/Table134[[#This Row],[مساحت آدرس]])</f>
        <v>1</v>
      </c>
      <c r="L17" s="14">
        <f>IF(Table134[[#This Row],[check]]=1,1,(Table134[[#This Row],[Psh]]+0.15*(1-Table134[[#This Row],[Psh]])))</f>
        <v>1</v>
      </c>
      <c r="M17" s="14">
        <f>IF(Table134[[#This Row],[check]]=1,0.65,1)</f>
        <v>0.65</v>
      </c>
      <c r="N17" s="4">
        <v>1</v>
      </c>
      <c r="O17" s="4">
        <f>IF(Table134[[#This Row],[check]]=1,Table134[[#This Row],[مساحت آدرس]]*Table134[[#This Row],[A0 Inc]],Table134[[#This Row],[A_tree]]*Table134[[#This Row],[اصله مستقل]])</f>
        <v>255</v>
      </c>
      <c r="P17" s="11">
        <f>IF(Table134[[#This Row],[check]]=1,Table134[[#This Row],[A0]]/Table134[[#This Row],[اصله مستقل]],Table134[[#This Row],[A_tree]])</f>
        <v>6.0714285714285712</v>
      </c>
    </row>
    <row r="18" spans="2:16" ht="18.600000000000001" x14ac:dyDescent="0.3">
      <c r="B18" s="4" t="s">
        <v>34</v>
      </c>
      <c r="C18" s="4">
        <v>271</v>
      </c>
      <c r="D18" s="4">
        <v>70</v>
      </c>
      <c r="E18" s="4">
        <v>130</v>
      </c>
      <c r="F18" s="4">
        <v>365</v>
      </c>
      <c r="G18" s="2" t="s">
        <v>21</v>
      </c>
      <c r="H18" s="4">
        <v>9</v>
      </c>
      <c r="I18" s="4">
        <f>Table134[[#This Row],[اصله مستقل]]*Table134[[#This Row],[A_tree]]</f>
        <v>630</v>
      </c>
      <c r="J18" s="4">
        <f>IF(Table134[[#This Row],[n * A_tree ]]&gt;Table134[[#This Row],[مساحت آدرس]],1,0)</f>
        <v>1</v>
      </c>
      <c r="K18" s="8">
        <f>IF(Table134[[#This Row],[check]]=1,1,Table134[[#This Row],[A_tree]]*Table134[[#This Row],[اصله مستقل]]/Table134[[#This Row],[مساحت آدرس]])</f>
        <v>1</v>
      </c>
      <c r="L18" s="14">
        <f>IF(Table134[[#This Row],[check]]=1,1,(Table134[[#This Row],[Psh]]+0.15*(1-Table134[[#This Row],[Psh]])))</f>
        <v>1</v>
      </c>
      <c r="M18" s="14">
        <f>IF(Table134[[#This Row],[check]]=1,0.65,1)</f>
        <v>0.65</v>
      </c>
      <c r="N18" s="4">
        <v>1</v>
      </c>
      <c r="O18" s="4">
        <f>IF(Table134[[#This Row],[check]]=1,Table134[[#This Row],[مساحت آدرس]]*Table134[[#This Row],[A0 Inc]],Table134[[#This Row],[A_tree]]*Table134[[#This Row],[اصله مستقل]])</f>
        <v>365</v>
      </c>
      <c r="P18" s="11">
        <f>IF(Table134[[#This Row],[check]]=1,Table134[[#This Row],[A0]]/Table134[[#This Row],[اصله مستقل]],Table134[[#This Row],[A_tree]])</f>
        <v>5.2142857142857144</v>
      </c>
    </row>
    <row r="19" spans="2:16" ht="18.600000000000001" x14ac:dyDescent="0.3">
      <c r="B19" s="4" t="s">
        <v>35</v>
      </c>
      <c r="C19" s="4">
        <v>164</v>
      </c>
      <c r="D19" s="4">
        <v>33</v>
      </c>
      <c r="E19" s="4">
        <v>60</v>
      </c>
      <c r="F19" s="4">
        <v>240</v>
      </c>
      <c r="G19" s="2" t="s">
        <v>21</v>
      </c>
      <c r="H19" s="4">
        <v>9</v>
      </c>
      <c r="I19" s="4">
        <f>Table134[[#This Row],[اصله مستقل]]*Table134[[#This Row],[A_tree]]</f>
        <v>297</v>
      </c>
      <c r="J19" s="4">
        <f>IF(Table134[[#This Row],[n * A_tree ]]&gt;Table134[[#This Row],[مساحت آدرس]],1,0)</f>
        <v>1</v>
      </c>
      <c r="K19" s="8">
        <f>IF(Table134[[#This Row],[check]]=1,1,Table134[[#This Row],[A_tree]]*Table134[[#This Row],[اصله مستقل]]/Table134[[#This Row],[مساحت آدرس]])</f>
        <v>1</v>
      </c>
      <c r="L19" s="14">
        <f>IF(Table134[[#This Row],[check]]=1,1,(Table134[[#This Row],[Psh]]+0.15*(1-Table134[[#This Row],[Psh]])))</f>
        <v>1</v>
      </c>
      <c r="M19" s="14">
        <f>IF(Table134[[#This Row],[check]]=1,0.65,1)</f>
        <v>0.65</v>
      </c>
      <c r="N19" s="4">
        <v>1</v>
      </c>
      <c r="O19" s="4">
        <f>IF(Table134[[#This Row],[check]]=1,Table134[[#This Row],[مساحت آدرس]]*Table134[[#This Row],[A0 Inc]],Table134[[#This Row],[A_tree]]*Table134[[#This Row],[اصله مستقل]])</f>
        <v>240</v>
      </c>
      <c r="P19" s="11">
        <f>IF(Table134[[#This Row],[check]]=1,Table134[[#This Row],[A0]]/Table134[[#This Row],[اصله مستقل]],Table134[[#This Row],[A_tree]])</f>
        <v>7.2727272727272725</v>
      </c>
    </row>
    <row r="20" spans="2:16" ht="18.600000000000001" x14ac:dyDescent="0.3">
      <c r="B20" s="4" t="s">
        <v>36</v>
      </c>
      <c r="C20" s="4">
        <v>342</v>
      </c>
      <c r="D20" s="4">
        <v>96</v>
      </c>
      <c r="E20" s="4">
        <v>190</v>
      </c>
      <c r="F20" s="4">
        <v>305</v>
      </c>
      <c r="G20" s="2" t="s">
        <v>21</v>
      </c>
      <c r="H20" s="4">
        <v>9</v>
      </c>
      <c r="I20" s="4">
        <f>Table134[[#This Row],[اصله مستقل]]*Table134[[#This Row],[A_tree]]</f>
        <v>864</v>
      </c>
      <c r="J20" s="4">
        <f>IF(Table134[[#This Row],[n * A_tree ]]&gt;Table134[[#This Row],[مساحت آدرس]],1,0)</f>
        <v>1</v>
      </c>
      <c r="K20" s="8">
        <f>IF(Table134[[#This Row],[check]]=1,1,Table134[[#This Row],[A_tree]]*Table134[[#This Row],[اصله مستقل]]/Table134[[#This Row],[مساحت آدرس]])</f>
        <v>1</v>
      </c>
      <c r="L20" s="14">
        <f>IF(Table134[[#This Row],[check]]=1,1,(Table134[[#This Row],[Psh]]+0.15*(1-Table134[[#This Row],[Psh]])))</f>
        <v>1</v>
      </c>
      <c r="M20" s="14">
        <f>IF(Table134[[#This Row],[check]]=1,0.65,1)</f>
        <v>0.65</v>
      </c>
      <c r="N20" s="4">
        <v>1</v>
      </c>
      <c r="O20" s="4">
        <f>IF(Table134[[#This Row],[check]]=1,Table134[[#This Row],[مساحت آدرس]]*Table134[[#This Row],[A0 Inc]],Table134[[#This Row],[A_tree]]*Table134[[#This Row],[اصله مستقل]])</f>
        <v>305</v>
      </c>
      <c r="P20" s="11">
        <f>IF(Table134[[#This Row],[check]]=1,Table134[[#This Row],[A0]]/Table134[[#This Row],[اصله مستقل]],Table134[[#This Row],[A_tree]])</f>
        <v>3.1770833333333335</v>
      </c>
    </row>
    <row r="21" spans="2:16" ht="18.600000000000001" x14ac:dyDescent="0.3">
      <c r="B21" s="4" t="s">
        <v>37</v>
      </c>
      <c r="C21" s="4">
        <v>263</v>
      </c>
      <c r="D21" s="4">
        <v>29</v>
      </c>
      <c r="E21" s="4">
        <v>55</v>
      </c>
      <c r="F21" s="4">
        <v>199</v>
      </c>
      <c r="G21" s="2" t="s">
        <v>21</v>
      </c>
      <c r="H21" s="4">
        <v>9</v>
      </c>
      <c r="I21" s="4">
        <f>Table134[[#This Row],[اصله مستقل]]*Table134[[#This Row],[A_tree]]</f>
        <v>261</v>
      </c>
      <c r="J21" s="4">
        <f>IF(Table134[[#This Row],[n * A_tree ]]&gt;Table134[[#This Row],[مساحت آدرس]],1,0)</f>
        <v>1</v>
      </c>
      <c r="K21" s="8">
        <f>IF(Table134[[#This Row],[check]]=1,1,Table134[[#This Row],[A_tree]]*Table134[[#This Row],[اصله مستقل]]/Table134[[#This Row],[مساحت آدرس]])</f>
        <v>1</v>
      </c>
      <c r="L21" s="14">
        <f>IF(Table134[[#This Row],[check]]=1,1,(Table134[[#This Row],[Psh]]+0.15*(1-Table134[[#This Row],[Psh]])))</f>
        <v>1</v>
      </c>
      <c r="M21" s="14">
        <f>IF(Table134[[#This Row],[check]]=1,0.65,1)</f>
        <v>0.65</v>
      </c>
      <c r="N21" s="4">
        <v>1</v>
      </c>
      <c r="O21" s="4">
        <f>IF(Table134[[#This Row],[check]]=1,Table134[[#This Row],[مساحت آدرس]]*Table134[[#This Row],[A0 Inc]],Table134[[#This Row],[A_tree]]*Table134[[#This Row],[اصله مستقل]])</f>
        <v>199</v>
      </c>
      <c r="P21" s="11">
        <f>IF(Table134[[#This Row],[check]]=1,Table134[[#This Row],[A0]]/Table134[[#This Row],[اصله مستقل]],Table134[[#This Row],[A_tree]])</f>
        <v>6.8620689655172411</v>
      </c>
    </row>
    <row r="22" spans="2:16" ht="18.600000000000001" x14ac:dyDescent="0.3">
      <c r="B22" s="4" t="s">
        <v>38</v>
      </c>
      <c r="C22" s="4">
        <v>383</v>
      </c>
      <c r="D22" s="4">
        <v>56</v>
      </c>
      <c r="E22" s="4">
        <v>84</v>
      </c>
      <c r="F22" s="4">
        <v>561</v>
      </c>
      <c r="G22" s="2" t="s">
        <v>21</v>
      </c>
      <c r="H22" s="4">
        <v>9</v>
      </c>
      <c r="I22" s="4">
        <f>Table134[[#This Row],[اصله مستقل]]*Table134[[#This Row],[A_tree]]</f>
        <v>504</v>
      </c>
      <c r="J22" s="4">
        <f>IF(Table134[[#This Row],[n * A_tree ]]&gt;Table134[[#This Row],[مساحت آدرس]],1,0)</f>
        <v>0</v>
      </c>
      <c r="K22" s="8">
        <f>IF(Table134[[#This Row],[check]]=1,1,Table134[[#This Row],[A_tree]]*Table134[[#This Row],[اصله مستقل]]/Table134[[#This Row],[مساحت آدرس]])</f>
        <v>0.89839572192513373</v>
      </c>
      <c r="L22" s="14">
        <f>IF(Table134[[#This Row],[check]]=1,1,(Table134[[#This Row],[Psh]]+0.15*(1-Table134[[#This Row],[Psh]])))</f>
        <v>0.91363636363636369</v>
      </c>
      <c r="M22" s="14">
        <f>IF(Table134[[#This Row],[check]]=1,0.65,1)</f>
        <v>1</v>
      </c>
      <c r="N22" s="4">
        <v>1</v>
      </c>
      <c r="O22" s="4">
        <f>IF(Table134[[#This Row],[check]]=1,Table134[[#This Row],[مساحت آدرس]]*Table134[[#This Row],[A0 Inc]],Table134[[#This Row],[A_tree]]*Table134[[#This Row],[اصله مستقل]])</f>
        <v>504</v>
      </c>
      <c r="P22" s="11">
        <f>IF(Table134[[#This Row],[check]]=1,Table134[[#This Row],[A0]]/Table134[[#This Row],[اصله مستقل]],Table134[[#This Row],[A_tree]])</f>
        <v>9</v>
      </c>
    </row>
    <row r="23" spans="2:16" ht="18.600000000000001" x14ac:dyDescent="0.3">
      <c r="B23" s="4" t="s">
        <v>39</v>
      </c>
      <c r="C23" s="4">
        <v>211</v>
      </c>
      <c r="D23" s="4">
        <v>211</v>
      </c>
      <c r="E23" s="4">
        <v>211</v>
      </c>
      <c r="F23" s="4">
        <v>261</v>
      </c>
      <c r="G23" s="2" t="s">
        <v>21</v>
      </c>
      <c r="H23" s="4">
        <v>9</v>
      </c>
      <c r="I23" s="4">
        <f>Table134[[#This Row],[اصله مستقل]]*Table134[[#This Row],[A_tree]]</f>
        <v>1899</v>
      </c>
      <c r="J23" s="4">
        <f>IF(Table134[[#This Row],[n * A_tree ]]&gt;Table134[[#This Row],[مساحت آدرس]],1,0)</f>
        <v>1</v>
      </c>
      <c r="K23" s="8">
        <f>IF(Table134[[#This Row],[check]]=1,1,Table134[[#This Row],[A_tree]]*Table134[[#This Row],[اصله مستقل]]/Table134[[#This Row],[مساحت آدرس]])</f>
        <v>1</v>
      </c>
      <c r="L23" s="14">
        <f>IF(Table134[[#This Row],[check]]=1,1,(Table134[[#This Row],[Psh]]+0.15*(1-Table134[[#This Row],[Psh]])))</f>
        <v>1</v>
      </c>
      <c r="M23" s="14">
        <f>IF(Table134[[#This Row],[check]]=1,0.65,1)</f>
        <v>0.65</v>
      </c>
      <c r="N23" s="4">
        <v>1</v>
      </c>
      <c r="O23" s="4">
        <f>IF(Table134[[#This Row],[check]]=1,Table134[[#This Row],[مساحت آدرس]]*Table134[[#This Row],[A0 Inc]],Table134[[#This Row],[A_tree]]*Table134[[#This Row],[اصله مستقل]])</f>
        <v>261</v>
      </c>
      <c r="P23" s="11">
        <f>IF(Table134[[#This Row],[check]]=1,Table134[[#This Row],[A0]]/Table134[[#This Row],[اصله مستقل]],Table134[[#This Row],[A_tree]])</f>
        <v>1.2369668246445498</v>
      </c>
    </row>
    <row r="24" spans="2:16" ht="18.600000000000001" x14ac:dyDescent="0.3">
      <c r="B24" s="4" t="s">
        <v>40</v>
      </c>
      <c r="C24" s="4">
        <v>126</v>
      </c>
      <c r="D24" s="4">
        <v>89</v>
      </c>
      <c r="E24" s="4">
        <v>150</v>
      </c>
      <c r="F24" s="4">
        <v>267</v>
      </c>
      <c r="G24" s="2" t="s">
        <v>21</v>
      </c>
      <c r="H24" s="4">
        <v>9</v>
      </c>
      <c r="I24" s="4">
        <f>Table134[[#This Row],[اصله مستقل]]*Table134[[#This Row],[A_tree]]</f>
        <v>801</v>
      </c>
      <c r="J24" s="4">
        <f>IF(Table134[[#This Row],[n * A_tree ]]&gt;Table134[[#This Row],[مساحت آدرس]],1,0)</f>
        <v>1</v>
      </c>
      <c r="K24" s="8">
        <f>IF(Table134[[#This Row],[check]]=1,1,Table134[[#This Row],[A_tree]]*Table134[[#This Row],[اصله مستقل]]/Table134[[#This Row],[مساحت آدرس]])</f>
        <v>1</v>
      </c>
      <c r="L24" s="14">
        <f>IF(Table134[[#This Row],[check]]=1,1,(Table134[[#This Row],[Psh]]+0.15*(1-Table134[[#This Row],[Psh]])))</f>
        <v>1</v>
      </c>
      <c r="M24" s="14">
        <f>IF(Table134[[#This Row],[check]]=1,0.65,1)</f>
        <v>0.65</v>
      </c>
      <c r="N24" s="4">
        <v>1</v>
      </c>
      <c r="O24" s="4">
        <f>IF(Table134[[#This Row],[check]]=1,Table134[[#This Row],[مساحت آدرس]]*Table134[[#This Row],[A0 Inc]],Table134[[#This Row],[A_tree]]*Table134[[#This Row],[اصله مستقل]])</f>
        <v>267</v>
      </c>
      <c r="P24" s="11">
        <f>IF(Table134[[#This Row],[check]]=1,Table134[[#This Row],[A0]]/Table134[[#This Row],[اصله مستقل]],Table134[[#This Row],[A_tree]])</f>
        <v>3</v>
      </c>
    </row>
    <row r="25" spans="2:16" ht="18.600000000000001" x14ac:dyDescent="0.3">
      <c r="B25" s="4" t="s">
        <v>41</v>
      </c>
      <c r="C25" s="4">
        <v>96</v>
      </c>
      <c r="D25" s="4">
        <v>43</v>
      </c>
      <c r="E25" s="4">
        <v>70</v>
      </c>
      <c r="F25" s="4">
        <v>155</v>
      </c>
      <c r="G25" s="2" t="s">
        <v>21</v>
      </c>
      <c r="H25" s="4">
        <v>9</v>
      </c>
      <c r="I25" s="4">
        <f>Table134[[#This Row],[اصله مستقل]]*Table134[[#This Row],[A_tree]]</f>
        <v>387</v>
      </c>
      <c r="J25" s="4">
        <f>IF(Table134[[#This Row],[n * A_tree ]]&gt;Table134[[#This Row],[مساحت آدرس]],1,0)</f>
        <v>1</v>
      </c>
      <c r="K25" s="8">
        <f>IF(Table134[[#This Row],[check]]=1,1,Table134[[#This Row],[A_tree]]*Table134[[#This Row],[اصله مستقل]]/Table134[[#This Row],[مساحت آدرس]])</f>
        <v>1</v>
      </c>
      <c r="L25" s="14">
        <f>IF(Table134[[#This Row],[check]]=1,1,(Table134[[#This Row],[Psh]]+0.15*(1-Table134[[#This Row],[Psh]])))</f>
        <v>1</v>
      </c>
      <c r="M25" s="14">
        <f>IF(Table134[[#This Row],[check]]=1,0.65,1)</f>
        <v>0.65</v>
      </c>
      <c r="N25" s="4">
        <v>1</v>
      </c>
      <c r="O25" s="4">
        <f>IF(Table134[[#This Row],[check]]=1,Table134[[#This Row],[مساحت آدرس]]*Table134[[#This Row],[A0 Inc]],Table134[[#This Row],[A_tree]]*Table134[[#This Row],[اصله مستقل]])</f>
        <v>155</v>
      </c>
      <c r="P25" s="11">
        <f>IF(Table134[[#This Row],[check]]=1,Table134[[#This Row],[A0]]/Table134[[#This Row],[اصله مستقل]],Table134[[#This Row],[A_tree]])</f>
        <v>3.6046511627906979</v>
      </c>
    </row>
    <row r="26" spans="2:16" ht="18.600000000000001" x14ac:dyDescent="0.3">
      <c r="B26" s="4" t="s">
        <v>42</v>
      </c>
      <c r="C26" s="4">
        <v>386</v>
      </c>
      <c r="D26" s="4">
        <v>165</v>
      </c>
      <c r="E26" s="4">
        <v>300</v>
      </c>
      <c r="F26" s="4">
        <v>530</v>
      </c>
      <c r="G26" s="2" t="s">
        <v>21</v>
      </c>
      <c r="H26" s="4">
        <v>9</v>
      </c>
      <c r="I26" s="4">
        <f>Table134[[#This Row],[اصله مستقل]]*Table134[[#This Row],[A_tree]]</f>
        <v>1485</v>
      </c>
      <c r="J26" s="4">
        <f>IF(Table134[[#This Row],[n * A_tree ]]&gt;Table134[[#This Row],[مساحت آدرس]],1,0)</f>
        <v>1</v>
      </c>
      <c r="K26" s="8">
        <f>IF(Table134[[#This Row],[check]]=1,1,Table134[[#This Row],[A_tree]]*Table134[[#This Row],[اصله مستقل]]/Table134[[#This Row],[مساحت آدرس]])</f>
        <v>1</v>
      </c>
      <c r="L26" s="14">
        <f>IF(Table134[[#This Row],[check]]=1,1,(Table134[[#This Row],[Psh]]+0.15*(1-Table134[[#This Row],[Psh]])))</f>
        <v>1</v>
      </c>
      <c r="M26" s="14">
        <f>IF(Table134[[#This Row],[check]]=1,0.65,1)</f>
        <v>0.65</v>
      </c>
      <c r="N26" s="4">
        <v>1</v>
      </c>
      <c r="O26" s="4">
        <f>IF(Table134[[#This Row],[check]]=1,Table134[[#This Row],[مساحت آدرس]]*Table134[[#This Row],[A0 Inc]],Table134[[#This Row],[A_tree]]*Table134[[#This Row],[اصله مستقل]])</f>
        <v>530</v>
      </c>
      <c r="P26" s="11">
        <f>IF(Table134[[#This Row],[check]]=1,Table134[[#This Row],[A0]]/Table134[[#This Row],[اصله مستقل]],Table134[[#This Row],[A_tree]])</f>
        <v>3.2121212121212119</v>
      </c>
    </row>
    <row r="27" spans="2:16" ht="18.600000000000001" x14ac:dyDescent="0.3">
      <c r="B27" s="4" t="s">
        <v>43</v>
      </c>
      <c r="C27" s="4">
        <v>309</v>
      </c>
      <c r="D27" s="4">
        <v>37</v>
      </c>
      <c r="E27" s="4">
        <v>70</v>
      </c>
      <c r="F27" s="4">
        <v>230</v>
      </c>
      <c r="G27" s="2" t="s">
        <v>21</v>
      </c>
      <c r="H27" s="4">
        <v>9</v>
      </c>
      <c r="I27" s="4">
        <f>Table134[[#This Row],[اصله مستقل]]*Table134[[#This Row],[A_tree]]</f>
        <v>333</v>
      </c>
      <c r="J27" s="4">
        <f>IF(Table134[[#This Row],[n * A_tree ]]&gt;Table134[[#This Row],[مساحت آدرس]],1,0)</f>
        <v>1</v>
      </c>
      <c r="K27" s="8">
        <f>IF(Table134[[#This Row],[check]]=1,1,Table134[[#This Row],[A_tree]]*Table134[[#This Row],[اصله مستقل]]/Table134[[#This Row],[مساحت آدرس]])</f>
        <v>1</v>
      </c>
      <c r="L27" s="14">
        <f>IF(Table134[[#This Row],[check]]=1,1,(Table134[[#This Row],[Psh]]+0.15*(1-Table134[[#This Row],[Psh]])))</f>
        <v>1</v>
      </c>
      <c r="M27" s="14">
        <f>IF(Table134[[#This Row],[check]]=1,0.65,1)</f>
        <v>0.65</v>
      </c>
      <c r="N27" s="4">
        <v>1</v>
      </c>
      <c r="O27" s="4">
        <f>IF(Table134[[#This Row],[check]]=1,Table134[[#This Row],[مساحت آدرس]]*Table134[[#This Row],[A0 Inc]],Table134[[#This Row],[A_tree]]*Table134[[#This Row],[اصله مستقل]])</f>
        <v>230</v>
      </c>
      <c r="P27" s="11">
        <f>IF(Table134[[#This Row],[check]]=1,Table134[[#This Row],[A0]]/Table134[[#This Row],[اصله مستقل]],Table134[[#This Row],[A_tree]])</f>
        <v>6.2162162162162158</v>
      </c>
    </row>
    <row r="28" spans="2:16" ht="18.600000000000001" x14ac:dyDescent="0.3">
      <c r="B28" s="4" t="s">
        <v>44</v>
      </c>
      <c r="C28" s="4">
        <v>602</v>
      </c>
      <c r="D28" s="4">
        <v>181</v>
      </c>
      <c r="E28" s="4">
        <v>290</v>
      </c>
      <c r="F28" s="4">
        <v>647</v>
      </c>
      <c r="G28" s="2" t="s">
        <v>21</v>
      </c>
      <c r="H28" s="4">
        <v>9</v>
      </c>
      <c r="I28" s="4">
        <f>Table134[[#This Row],[اصله مستقل]]*Table134[[#This Row],[A_tree]]</f>
        <v>1629</v>
      </c>
      <c r="J28" s="4">
        <f>IF(Table134[[#This Row],[n * A_tree ]]&gt;Table134[[#This Row],[مساحت آدرس]],1,0)</f>
        <v>1</v>
      </c>
      <c r="K28" s="8">
        <f>IF(Table134[[#This Row],[check]]=1,1,Table134[[#This Row],[A_tree]]*Table134[[#This Row],[اصله مستقل]]/Table134[[#This Row],[مساحت آدرس]])</f>
        <v>1</v>
      </c>
      <c r="L28" s="14">
        <f>IF(Table134[[#This Row],[check]]=1,1,(Table134[[#This Row],[Psh]]+0.15*(1-Table134[[#This Row],[Psh]])))</f>
        <v>1</v>
      </c>
      <c r="M28" s="14">
        <f>IF(Table134[[#This Row],[check]]=1,0.65,1)</f>
        <v>0.65</v>
      </c>
      <c r="N28" s="4">
        <v>1</v>
      </c>
      <c r="O28" s="4">
        <f>IF(Table134[[#This Row],[check]]=1,Table134[[#This Row],[مساحت آدرس]]*Table134[[#This Row],[A0 Inc]],Table134[[#This Row],[A_tree]]*Table134[[#This Row],[اصله مستقل]])</f>
        <v>647</v>
      </c>
      <c r="P28" s="11">
        <f>IF(Table134[[#This Row],[check]]=1,Table134[[#This Row],[A0]]/Table134[[#This Row],[اصله مستقل]],Table134[[#This Row],[A_tree]])</f>
        <v>3.5745856353591159</v>
      </c>
    </row>
    <row r="29" spans="2:16" ht="18.600000000000001" x14ac:dyDescent="0.3">
      <c r="B29" s="4" t="s">
        <v>45</v>
      </c>
      <c r="C29" s="4">
        <v>178</v>
      </c>
      <c r="D29" s="4">
        <v>47</v>
      </c>
      <c r="E29" s="4">
        <v>85</v>
      </c>
      <c r="F29" s="4">
        <v>240</v>
      </c>
      <c r="G29" s="2" t="s">
        <v>21</v>
      </c>
      <c r="H29" s="4">
        <v>9</v>
      </c>
      <c r="I29" s="4">
        <f>Table134[[#This Row],[اصله مستقل]]*Table134[[#This Row],[A_tree]]</f>
        <v>423</v>
      </c>
      <c r="J29" s="4">
        <f>IF(Table134[[#This Row],[n * A_tree ]]&gt;Table134[[#This Row],[مساحت آدرس]],1,0)</f>
        <v>1</v>
      </c>
      <c r="K29" s="8">
        <f>IF(Table134[[#This Row],[check]]=1,1,Table134[[#This Row],[A_tree]]*Table134[[#This Row],[اصله مستقل]]/Table134[[#This Row],[مساحت آدرس]])</f>
        <v>1</v>
      </c>
      <c r="L29" s="14">
        <f>IF(Table134[[#This Row],[check]]=1,1,(Table134[[#This Row],[Psh]]+0.15*(1-Table134[[#This Row],[Psh]])))</f>
        <v>1</v>
      </c>
      <c r="M29" s="14">
        <f>IF(Table134[[#This Row],[check]]=1,0.65,1)</f>
        <v>0.65</v>
      </c>
      <c r="N29" s="4">
        <v>1</v>
      </c>
      <c r="O29" s="4">
        <f>IF(Table134[[#This Row],[check]]=1,Table134[[#This Row],[مساحت آدرس]]*Table134[[#This Row],[A0 Inc]],Table134[[#This Row],[A_tree]]*Table134[[#This Row],[اصله مستقل]])</f>
        <v>240</v>
      </c>
      <c r="P29" s="11">
        <f>IF(Table134[[#This Row],[check]]=1,Table134[[#This Row],[A0]]/Table134[[#This Row],[اصله مستقل]],Table134[[#This Row],[A_tree]])</f>
        <v>5.1063829787234045</v>
      </c>
    </row>
    <row r="30" spans="2:16" ht="18.600000000000001" x14ac:dyDescent="0.3">
      <c r="B30" s="4" t="s">
        <v>46</v>
      </c>
      <c r="C30" s="4">
        <v>201</v>
      </c>
      <c r="D30" s="4">
        <v>101</v>
      </c>
      <c r="E30" s="4">
        <v>150</v>
      </c>
      <c r="F30" s="4">
        <v>197</v>
      </c>
      <c r="G30" s="2" t="s">
        <v>21</v>
      </c>
      <c r="H30" s="4">
        <v>9</v>
      </c>
      <c r="I30" s="4">
        <f>Table134[[#This Row],[اصله مستقل]]*Table134[[#This Row],[A_tree]]</f>
        <v>909</v>
      </c>
      <c r="J30" s="4">
        <f>IF(Table134[[#This Row],[n * A_tree ]]&gt;Table134[[#This Row],[مساحت آدرس]],1,0)</f>
        <v>1</v>
      </c>
      <c r="K30" s="8">
        <f>IF(Table134[[#This Row],[check]]=1,1,Table134[[#This Row],[A_tree]]*Table134[[#This Row],[اصله مستقل]]/Table134[[#This Row],[مساحت آدرس]])</f>
        <v>1</v>
      </c>
      <c r="L30" s="14">
        <f>IF(Table134[[#This Row],[check]]=1,1,(Table134[[#This Row],[Psh]]+0.15*(1-Table134[[#This Row],[Psh]])))</f>
        <v>1</v>
      </c>
      <c r="M30" s="14">
        <f>IF(Table134[[#This Row],[check]]=1,0.65,1)</f>
        <v>0.65</v>
      </c>
      <c r="N30" s="4">
        <v>1</v>
      </c>
      <c r="O30" s="4">
        <f>IF(Table134[[#This Row],[check]]=1,Table134[[#This Row],[مساحت آدرس]]*Table134[[#This Row],[A0 Inc]],Table134[[#This Row],[A_tree]]*Table134[[#This Row],[اصله مستقل]])</f>
        <v>197</v>
      </c>
      <c r="P30" s="11">
        <f>IF(Table134[[#This Row],[check]]=1,Table134[[#This Row],[A0]]/Table134[[#This Row],[اصله مستقل]],Table134[[#This Row],[A_tree]])</f>
        <v>1.9504950495049505</v>
      </c>
    </row>
    <row r="31" spans="2:16" ht="18.600000000000001" x14ac:dyDescent="0.3">
      <c r="B31" s="4" t="s">
        <v>47</v>
      </c>
      <c r="C31" s="4">
        <v>337</v>
      </c>
      <c r="D31" s="4">
        <v>122</v>
      </c>
      <c r="E31" s="4">
        <v>210</v>
      </c>
      <c r="F31" s="4">
        <v>788</v>
      </c>
      <c r="G31" s="2" t="s">
        <v>21</v>
      </c>
      <c r="H31" s="4">
        <v>9</v>
      </c>
      <c r="I31" s="4">
        <f>Table134[[#This Row],[اصله مستقل]]*Table134[[#This Row],[A_tree]]</f>
        <v>1098</v>
      </c>
      <c r="J31" s="4">
        <f>IF(Table134[[#This Row],[n * A_tree ]]&gt;Table134[[#This Row],[مساحت آدرس]],1,0)</f>
        <v>1</v>
      </c>
      <c r="K31" s="8">
        <f>IF(Table134[[#This Row],[check]]=1,1,Table134[[#This Row],[A_tree]]*Table134[[#This Row],[اصله مستقل]]/Table134[[#This Row],[مساحت آدرس]])</f>
        <v>1</v>
      </c>
      <c r="L31" s="14">
        <f>IF(Table134[[#This Row],[check]]=1,1,(Table134[[#This Row],[Psh]]+0.15*(1-Table134[[#This Row],[Psh]])))</f>
        <v>1</v>
      </c>
      <c r="M31" s="14">
        <f>IF(Table134[[#This Row],[check]]=1,0.65,1)</f>
        <v>0.65</v>
      </c>
      <c r="N31" s="4">
        <v>1</v>
      </c>
      <c r="O31" s="4">
        <f>IF(Table134[[#This Row],[check]]=1,Table134[[#This Row],[مساحت آدرس]]*Table134[[#This Row],[A0 Inc]],Table134[[#This Row],[A_tree]]*Table134[[#This Row],[اصله مستقل]])</f>
        <v>788</v>
      </c>
      <c r="P31" s="11">
        <f>IF(Table134[[#This Row],[check]]=1,Table134[[#This Row],[A0]]/Table134[[#This Row],[اصله مستقل]],Table134[[#This Row],[A_tree]])</f>
        <v>6.4590163934426226</v>
      </c>
    </row>
    <row r="32" spans="2:16" ht="18.600000000000001" x14ac:dyDescent="0.3">
      <c r="B32" s="4" t="s">
        <v>48</v>
      </c>
      <c r="C32" s="4">
        <v>211</v>
      </c>
      <c r="D32" s="4">
        <v>38</v>
      </c>
      <c r="E32" s="4">
        <v>80</v>
      </c>
      <c r="F32" s="4">
        <v>433</v>
      </c>
      <c r="G32" s="2" t="s">
        <v>21</v>
      </c>
      <c r="H32" s="4">
        <v>9</v>
      </c>
      <c r="I32" s="4">
        <f>Table134[[#This Row],[اصله مستقل]]*Table134[[#This Row],[A_tree]]</f>
        <v>342</v>
      </c>
      <c r="J32" s="4">
        <f>IF(Table134[[#This Row],[n * A_tree ]]&gt;Table134[[#This Row],[مساحت آدرس]],1,0)</f>
        <v>0</v>
      </c>
      <c r="K32" s="8">
        <f>IF(Table134[[#This Row],[check]]=1,1,Table134[[#This Row],[A_tree]]*Table134[[#This Row],[اصله مستقل]]/Table134[[#This Row],[مساحت آدرس]])</f>
        <v>0.789838337182448</v>
      </c>
      <c r="L32" s="14">
        <f>IF(Table134[[#This Row],[check]]=1,1,(Table134[[#This Row],[Psh]]+0.15*(1-Table134[[#This Row],[Psh]])))</f>
        <v>0.82136258660508077</v>
      </c>
      <c r="M32" s="14">
        <f>IF(Table134[[#This Row],[check]]=1,0.65,1)</f>
        <v>1</v>
      </c>
      <c r="N32" s="4">
        <v>1</v>
      </c>
      <c r="O32" s="4">
        <f>IF(Table134[[#This Row],[check]]=1,Table134[[#This Row],[مساحت آدرس]]*Table134[[#This Row],[A0 Inc]],Table134[[#This Row],[A_tree]]*Table134[[#This Row],[اصله مستقل]])</f>
        <v>342</v>
      </c>
      <c r="P32" s="11">
        <f>IF(Table134[[#This Row],[check]]=1,Table134[[#This Row],[A0]]/Table134[[#This Row],[اصله مستقل]],Table134[[#This Row],[A_tree]])</f>
        <v>9</v>
      </c>
    </row>
    <row r="33" spans="2:16" ht="18.600000000000001" x14ac:dyDescent="0.3">
      <c r="B33" s="4" t="s">
        <v>49</v>
      </c>
      <c r="C33" s="4">
        <v>160</v>
      </c>
      <c r="D33" s="4">
        <v>38</v>
      </c>
      <c r="E33" s="4">
        <v>75</v>
      </c>
      <c r="F33" s="4">
        <v>195</v>
      </c>
      <c r="G33" s="2" t="s">
        <v>21</v>
      </c>
      <c r="H33" s="4">
        <v>9</v>
      </c>
      <c r="I33" s="4">
        <f>Table134[[#This Row],[اصله مستقل]]*Table134[[#This Row],[A_tree]]</f>
        <v>342</v>
      </c>
      <c r="J33" s="4">
        <f>IF(Table134[[#This Row],[n * A_tree ]]&gt;Table134[[#This Row],[مساحت آدرس]],1,0)</f>
        <v>1</v>
      </c>
      <c r="K33" s="8">
        <f>IF(Table134[[#This Row],[check]]=1,1,Table134[[#This Row],[A_tree]]*Table134[[#This Row],[اصله مستقل]]/Table134[[#This Row],[مساحت آدرس]])</f>
        <v>1</v>
      </c>
      <c r="L33" s="14">
        <f>IF(Table134[[#This Row],[check]]=1,1,(Table134[[#This Row],[Psh]]+0.15*(1-Table134[[#This Row],[Psh]])))</f>
        <v>1</v>
      </c>
      <c r="M33" s="14">
        <f>IF(Table134[[#This Row],[check]]=1,0.65,1)</f>
        <v>0.65</v>
      </c>
      <c r="N33" s="4">
        <v>1</v>
      </c>
      <c r="O33" s="4">
        <f>IF(Table134[[#This Row],[check]]=1,Table134[[#This Row],[مساحت آدرس]]*Table134[[#This Row],[A0 Inc]],Table134[[#This Row],[A_tree]]*Table134[[#This Row],[اصله مستقل]])</f>
        <v>195</v>
      </c>
      <c r="P33" s="11">
        <f>IF(Table134[[#This Row],[check]]=1,Table134[[#This Row],[A0]]/Table134[[#This Row],[اصله مستقل]],Table134[[#This Row],[A_tree]])</f>
        <v>5.1315789473684212</v>
      </c>
    </row>
    <row r="34" spans="2:16" ht="18.600000000000001" x14ac:dyDescent="0.3">
      <c r="B34" s="4" t="s">
        <v>50</v>
      </c>
      <c r="C34" s="4">
        <v>322</v>
      </c>
      <c r="D34" s="4">
        <v>139</v>
      </c>
      <c r="E34" s="4">
        <v>190</v>
      </c>
      <c r="F34" s="4">
        <v>514</v>
      </c>
      <c r="G34" s="2" t="s">
        <v>21</v>
      </c>
      <c r="H34" s="4">
        <v>9</v>
      </c>
      <c r="I34" s="4">
        <f>Table134[[#This Row],[اصله مستقل]]*Table134[[#This Row],[A_tree]]</f>
        <v>1251</v>
      </c>
      <c r="J34" s="4">
        <f>IF(Table134[[#This Row],[n * A_tree ]]&gt;Table134[[#This Row],[مساحت آدرس]],1,0)</f>
        <v>1</v>
      </c>
      <c r="K34" s="8">
        <f>IF(Table134[[#This Row],[check]]=1,1,Table134[[#This Row],[A_tree]]*Table134[[#This Row],[اصله مستقل]]/Table134[[#This Row],[مساحت آدرس]])</f>
        <v>1</v>
      </c>
      <c r="L34" s="14">
        <f>IF(Table134[[#This Row],[check]]=1,1,(Table134[[#This Row],[Psh]]+0.15*(1-Table134[[#This Row],[Psh]])))</f>
        <v>1</v>
      </c>
      <c r="M34" s="14">
        <f>IF(Table134[[#This Row],[check]]=1,0.65,1)</f>
        <v>0.65</v>
      </c>
      <c r="N34" s="4">
        <v>1</v>
      </c>
      <c r="O34" s="4">
        <f>IF(Table134[[#This Row],[check]]=1,Table134[[#This Row],[مساحت آدرس]]*Table134[[#This Row],[A0 Inc]],Table134[[#This Row],[A_tree]]*Table134[[#This Row],[اصله مستقل]])</f>
        <v>514</v>
      </c>
      <c r="P34" s="11">
        <f>IF(Table134[[#This Row],[check]]=1,Table134[[#This Row],[A0]]/Table134[[#This Row],[اصله مستقل]],Table134[[#This Row],[A_tree]])</f>
        <v>3.6978417266187051</v>
      </c>
    </row>
    <row r="35" spans="2:16" ht="18.600000000000001" x14ac:dyDescent="0.3">
      <c r="B35" s="4" t="s">
        <v>51</v>
      </c>
      <c r="C35" s="4">
        <v>260</v>
      </c>
      <c r="D35" s="4">
        <v>56</v>
      </c>
      <c r="E35" s="4">
        <v>95</v>
      </c>
      <c r="F35" s="4">
        <v>340</v>
      </c>
      <c r="G35" s="2" t="s">
        <v>21</v>
      </c>
      <c r="H35" s="4">
        <v>9</v>
      </c>
      <c r="I35" s="4">
        <f>Table134[[#This Row],[اصله مستقل]]*Table134[[#This Row],[A_tree]]</f>
        <v>504</v>
      </c>
      <c r="J35" s="4">
        <f>IF(Table134[[#This Row],[n * A_tree ]]&gt;Table134[[#This Row],[مساحت آدرس]],1,0)</f>
        <v>1</v>
      </c>
      <c r="K35" s="8">
        <f>IF(Table134[[#This Row],[check]]=1,1,Table134[[#This Row],[A_tree]]*Table134[[#This Row],[اصله مستقل]]/Table134[[#This Row],[مساحت آدرس]])</f>
        <v>1</v>
      </c>
      <c r="L35" s="14">
        <f>IF(Table134[[#This Row],[check]]=1,1,(Table134[[#This Row],[Psh]]+0.15*(1-Table134[[#This Row],[Psh]])))</f>
        <v>1</v>
      </c>
      <c r="M35" s="14">
        <f>IF(Table134[[#This Row],[check]]=1,0.65,1)</f>
        <v>0.65</v>
      </c>
      <c r="N35" s="4">
        <v>1</v>
      </c>
      <c r="O35" s="4">
        <f>IF(Table134[[#This Row],[check]]=1,Table134[[#This Row],[مساحت آدرس]]*Table134[[#This Row],[A0 Inc]],Table134[[#This Row],[A_tree]]*Table134[[#This Row],[اصله مستقل]])</f>
        <v>340</v>
      </c>
      <c r="P35" s="11">
        <f>IF(Table134[[#This Row],[check]]=1,Table134[[#This Row],[A0]]/Table134[[#This Row],[اصله مستقل]],Table134[[#This Row],[A_tree]])</f>
        <v>6.0714285714285712</v>
      </c>
    </row>
    <row r="36" spans="2:16" ht="18.600000000000001" x14ac:dyDescent="0.3">
      <c r="B36" s="4" t="s">
        <v>52</v>
      </c>
      <c r="C36" s="4">
        <v>126</v>
      </c>
      <c r="D36" s="4">
        <v>22</v>
      </c>
      <c r="E36" s="4">
        <v>33</v>
      </c>
      <c r="F36" s="4">
        <v>135</v>
      </c>
      <c r="G36" s="2" t="s">
        <v>21</v>
      </c>
      <c r="H36" s="4">
        <v>9</v>
      </c>
      <c r="I36" s="4">
        <f>Table134[[#This Row],[اصله مستقل]]*Table134[[#This Row],[A_tree]]</f>
        <v>198</v>
      </c>
      <c r="J36" s="4">
        <f>IF(Table134[[#This Row],[n * A_tree ]]&gt;Table134[[#This Row],[مساحت آدرس]],1,0)</f>
        <v>1</v>
      </c>
      <c r="K36" s="8">
        <f>IF(Table134[[#This Row],[check]]=1,1,Table134[[#This Row],[A_tree]]*Table134[[#This Row],[اصله مستقل]]/Table134[[#This Row],[مساحت آدرس]])</f>
        <v>1</v>
      </c>
      <c r="L36" s="14">
        <f>IF(Table134[[#This Row],[check]]=1,1,(Table134[[#This Row],[Psh]]+0.15*(1-Table134[[#This Row],[Psh]])))</f>
        <v>1</v>
      </c>
      <c r="M36" s="14">
        <f>IF(Table134[[#This Row],[check]]=1,0.65,1)</f>
        <v>0.65</v>
      </c>
      <c r="N36" s="4">
        <v>1</v>
      </c>
      <c r="O36" s="4">
        <f>IF(Table134[[#This Row],[check]]=1,Table134[[#This Row],[مساحت آدرس]]*Table134[[#This Row],[A0 Inc]],Table134[[#This Row],[A_tree]]*Table134[[#This Row],[اصله مستقل]])</f>
        <v>135</v>
      </c>
      <c r="P36" s="11">
        <f>IF(Table134[[#This Row],[check]]=1,Table134[[#This Row],[A0]]/Table134[[#This Row],[اصله مستقل]],Table134[[#This Row],[A_tree]])</f>
        <v>6.1363636363636367</v>
      </c>
    </row>
    <row r="37" spans="2:16" ht="18.600000000000001" x14ac:dyDescent="0.3">
      <c r="B37" s="4" t="s">
        <v>53</v>
      </c>
      <c r="C37" s="4">
        <v>136</v>
      </c>
      <c r="D37" s="4">
        <v>38</v>
      </c>
      <c r="E37" s="4">
        <v>77</v>
      </c>
      <c r="F37" s="4">
        <v>219</v>
      </c>
      <c r="G37" s="2" t="s">
        <v>21</v>
      </c>
      <c r="H37" s="4">
        <v>9</v>
      </c>
      <c r="I37" s="4">
        <f>Table134[[#This Row],[اصله مستقل]]*Table134[[#This Row],[A_tree]]</f>
        <v>342</v>
      </c>
      <c r="J37" s="4">
        <f>IF(Table134[[#This Row],[n * A_tree ]]&gt;Table134[[#This Row],[مساحت آدرس]],1,0)</f>
        <v>1</v>
      </c>
      <c r="K37" s="8">
        <f>IF(Table134[[#This Row],[check]]=1,1,Table134[[#This Row],[A_tree]]*Table134[[#This Row],[اصله مستقل]]/Table134[[#This Row],[مساحت آدرس]])</f>
        <v>1</v>
      </c>
      <c r="L37" s="14">
        <f>IF(Table134[[#This Row],[check]]=1,1,(Table134[[#This Row],[Psh]]+0.15*(1-Table134[[#This Row],[Psh]])))</f>
        <v>1</v>
      </c>
      <c r="M37" s="14">
        <f>IF(Table134[[#This Row],[check]]=1,0.65,1)</f>
        <v>0.65</v>
      </c>
      <c r="N37" s="4">
        <v>1</v>
      </c>
      <c r="O37" s="4">
        <f>IF(Table134[[#This Row],[check]]=1,Table134[[#This Row],[مساحت آدرس]]*Table134[[#This Row],[A0 Inc]],Table134[[#This Row],[A_tree]]*Table134[[#This Row],[اصله مستقل]])</f>
        <v>219</v>
      </c>
      <c r="P37" s="11">
        <f>IF(Table134[[#This Row],[check]]=1,Table134[[#This Row],[A0]]/Table134[[#This Row],[اصله مستقل]],Table134[[#This Row],[A_tree]])</f>
        <v>5.7631578947368425</v>
      </c>
    </row>
    <row r="38" spans="2:16" ht="18.600000000000001" x14ac:dyDescent="0.3">
      <c r="B38" s="4" t="s">
        <v>54</v>
      </c>
      <c r="C38" s="4">
        <v>211</v>
      </c>
      <c r="D38" s="4">
        <v>138</v>
      </c>
      <c r="E38" s="4">
        <v>190</v>
      </c>
      <c r="F38" s="4">
        <v>358</v>
      </c>
      <c r="G38" s="2" t="s">
        <v>21</v>
      </c>
      <c r="H38" s="4">
        <v>9</v>
      </c>
      <c r="I38" s="4">
        <f>Table134[[#This Row],[اصله مستقل]]*Table134[[#This Row],[A_tree]]</f>
        <v>1242</v>
      </c>
      <c r="J38" s="4">
        <f>IF(Table134[[#This Row],[n * A_tree ]]&gt;Table134[[#This Row],[مساحت آدرس]],1,0)</f>
        <v>1</v>
      </c>
      <c r="K38" s="8">
        <f>IF(Table134[[#This Row],[check]]=1,1,Table134[[#This Row],[A_tree]]*Table134[[#This Row],[اصله مستقل]]/Table134[[#This Row],[مساحت آدرس]])</f>
        <v>1</v>
      </c>
      <c r="L38" s="14">
        <f>IF(Table134[[#This Row],[check]]=1,1,(Table134[[#This Row],[Psh]]+0.15*(1-Table134[[#This Row],[Psh]])))</f>
        <v>1</v>
      </c>
      <c r="M38" s="14">
        <f>IF(Table134[[#This Row],[check]]=1,0.65,1)</f>
        <v>0.65</v>
      </c>
      <c r="N38" s="4">
        <v>1</v>
      </c>
      <c r="O38" s="4">
        <f>IF(Table134[[#This Row],[check]]=1,Table134[[#This Row],[مساحت آدرس]]*Table134[[#This Row],[A0 Inc]],Table134[[#This Row],[A_tree]]*Table134[[#This Row],[اصله مستقل]])</f>
        <v>358</v>
      </c>
      <c r="P38" s="11">
        <f>IF(Table134[[#This Row],[check]]=1,Table134[[#This Row],[A0]]/Table134[[#This Row],[اصله مستقل]],Table134[[#This Row],[A_tree]])</f>
        <v>2.5942028985507246</v>
      </c>
    </row>
    <row r="39" spans="2:16" ht="18.600000000000001" x14ac:dyDescent="0.3">
      <c r="B39" s="4" t="s">
        <v>55</v>
      </c>
      <c r="C39" s="4">
        <v>97</v>
      </c>
      <c r="D39" s="4">
        <v>40</v>
      </c>
      <c r="E39" s="4">
        <v>60</v>
      </c>
      <c r="F39" s="4">
        <v>342</v>
      </c>
      <c r="G39" s="2" t="s">
        <v>21</v>
      </c>
      <c r="H39" s="4">
        <v>9</v>
      </c>
      <c r="I39" s="4">
        <f>Table134[[#This Row],[اصله مستقل]]*Table134[[#This Row],[A_tree]]</f>
        <v>360</v>
      </c>
      <c r="J39" s="4">
        <f>IF(Table134[[#This Row],[n * A_tree ]]&gt;Table134[[#This Row],[مساحت آدرس]],1,0)</f>
        <v>1</v>
      </c>
      <c r="K39" s="8">
        <f>IF(Table134[[#This Row],[check]]=1,1,Table134[[#This Row],[A_tree]]*Table134[[#This Row],[اصله مستقل]]/Table134[[#This Row],[مساحت آدرس]])</f>
        <v>1</v>
      </c>
      <c r="L39" s="14">
        <f>IF(Table134[[#This Row],[check]]=1,1,(Table134[[#This Row],[Psh]]+0.15*(1-Table134[[#This Row],[Psh]])))</f>
        <v>1</v>
      </c>
      <c r="M39" s="14">
        <f>IF(Table134[[#This Row],[check]]=1,0.65,1)</f>
        <v>0.65</v>
      </c>
      <c r="N39" s="4">
        <v>1</v>
      </c>
      <c r="O39" s="4">
        <f>IF(Table134[[#This Row],[check]]=1,Table134[[#This Row],[مساحت آدرس]]*Table134[[#This Row],[A0 Inc]],Table134[[#This Row],[A_tree]]*Table134[[#This Row],[اصله مستقل]])</f>
        <v>342</v>
      </c>
      <c r="P39" s="11">
        <f>IF(Table134[[#This Row],[check]]=1,Table134[[#This Row],[A0]]/Table134[[#This Row],[اصله مستقل]],Table134[[#This Row],[A_tree]])</f>
        <v>8.5500000000000007</v>
      </c>
    </row>
    <row r="40" spans="2:16" ht="18.600000000000001" x14ac:dyDescent="0.3">
      <c r="B40" s="4" t="s">
        <v>56</v>
      </c>
      <c r="C40" s="4">
        <v>204</v>
      </c>
      <c r="D40" s="4">
        <v>59</v>
      </c>
      <c r="E40" s="4">
        <v>98</v>
      </c>
      <c r="F40" s="4">
        <v>153</v>
      </c>
      <c r="G40" s="2" t="s">
        <v>21</v>
      </c>
      <c r="H40" s="4">
        <v>9</v>
      </c>
      <c r="I40" s="4">
        <f>Table134[[#This Row],[اصله مستقل]]*Table134[[#This Row],[A_tree]]</f>
        <v>531</v>
      </c>
      <c r="J40" s="4">
        <f>IF(Table134[[#This Row],[n * A_tree ]]&gt;Table134[[#This Row],[مساحت آدرس]],1,0)</f>
        <v>1</v>
      </c>
      <c r="K40" s="8">
        <f>IF(Table134[[#This Row],[check]]=1,1,Table134[[#This Row],[A_tree]]*Table134[[#This Row],[اصله مستقل]]/Table134[[#This Row],[مساحت آدرس]])</f>
        <v>1</v>
      </c>
      <c r="L40" s="14">
        <f>IF(Table134[[#This Row],[check]]=1,1,(Table134[[#This Row],[Psh]]+0.15*(1-Table134[[#This Row],[Psh]])))</f>
        <v>1</v>
      </c>
      <c r="M40" s="14">
        <f>IF(Table134[[#This Row],[check]]=1,0.65,1)</f>
        <v>0.65</v>
      </c>
      <c r="N40" s="4">
        <v>1</v>
      </c>
      <c r="O40" s="4">
        <f>IF(Table134[[#This Row],[check]]=1,Table134[[#This Row],[مساحت آدرس]]*Table134[[#This Row],[A0 Inc]],Table134[[#This Row],[A_tree]]*Table134[[#This Row],[اصله مستقل]])</f>
        <v>153</v>
      </c>
      <c r="P40" s="11">
        <f>IF(Table134[[#This Row],[check]]=1,Table134[[#This Row],[A0]]/Table134[[#This Row],[اصله مستقل]],Table134[[#This Row],[A_tree]])</f>
        <v>2.593220338983051</v>
      </c>
    </row>
    <row r="41" spans="2:16" ht="18.600000000000001" x14ac:dyDescent="0.3">
      <c r="B41" s="4" t="s">
        <v>57</v>
      </c>
      <c r="C41" s="4">
        <v>483</v>
      </c>
      <c r="D41" s="4">
        <v>277</v>
      </c>
      <c r="E41" s="4">
        <v>510</v>
      </c>
      <c r="F41" s="4">
        <v>1005</v>
      </c>
      <c r="G41" s="2" t="s">
        <v>21</v>
      </c>
      <c r="H41" s="4">
        <v>9</v>
      </c>
      <c r="I41" s="4">
        <f>Table134[[#This Row],[اصله مستقل]]*Table134[[#This Row],[A_tree]]</f>
        <v>2493</v>
      </c>
      <c r="J41" s="4">
        <f>IF(Table134[[#This Row],[n * A_tree ]]&gt;Table134[[#This Row],[مساحت آدرس]],1,0)</f>
        <v>1</v>
      </c>
      <c r="K41" s="8">
        <f>IF(Table134[[#This Row],[check]]=1,1,Table134[[#This Row],[A_tree]]*Table134[[#This Row],[اصله مستقل]]/Table134[[#This Row],[مساحت آدرس]])</f>
        <v>1</v>
      </c>
      <c r="L41" s="14">
        <f>IF(Table134[[#This Row],[check]]=1,1,(Table134[[#This Row],[Psh]]+0.15*(1-Table134[[#This Row],[Psh]])))</f>
        <v>1</v>
      </c>
      <c r="M41" s="14">
        <f>IF(Table134[[#This Row],[check]]=1,0.65,1)</f>
        <v>0.65</v>
      </c>
      <c r="N41" s="4">
        <v>1</v>
      </c>
      <c r="O41" s="4">
        <f>IF(Table134[[#This Row],[check]]=1,Table134[[#This Row],[مساحت آدرس]]*Table134[[#This Row],[A0 Inc]],Table134[[#This Row],[A_tree]]*Table134[[#This Row],[اصله مستقل]])</f>
        <v>1005</v>
      </c>
      <c r="P41" s="11">
        <f>IF(Table134[[#This Row],[check]]=1,Table134[[#This Row],[A0]]/Table134[[#This Row],[اصله مستقل]],Table134[[#This Row],[A_tree]])</f>
        <v>3.628158844765343</v>
      </c>
    </row>
    <row r="42" spans="2:16" ht="18.600000000000001" x14ac:dyDescent="0.3">
      <c r="B42" s="4" t="s">
        <v>58</v>
      </c>
      <c r="C42" s="4">
        <v>121</v>
      </c>
      <c r="D42" s="4">
        <v>9</v>
      </c>
      <c r="E42" s="4">
        <v>15</v>
      </c>
      <c r="F42" s="4">
        <v>192</v>
      </c>
      <c r="G42" s="2" t="s">
        <v>21</v>
      </c>
      <c r="H42" s="4">
        <v>9</v>
      </c>
      <c r="I42" s="4">
        <f>Table134[[#This Row],[اصله مستقل]]*Table134[[#This Row],[A_tree]]</f>
        <v>81</v>
      </c>
      <c r="J42" s="4">
        <f>IF(Table134[[#This Row],[n * A_tree ]]&gt;Table134[[#This Row],[مساحت آدرس]],1,0)</f>
        <v>0</v>
      </c>
      <c r="K42" s="8">
        <f>IF(Table134[[#This Row],[check]]=1,1,Table134[[#This Row],[A_tree]]*Table134[[#This Row],[اصله مستقل]]/Table134[[#This Row],[مساحت آدرس]])</f>
        <v>0.421875</v>
      </c>
      <c r="L42" s="14">
        <f>IF(Table134[[#This Row],[check]]=1,1,(Table134[[#This Row],[Psh]]+0.15*(1-Table134[[#This Row],[Psh]])))</f>
        <v>0.50859374999999996</v>
      </c>
      <c r="M42" s="14">
        <f>IF(Table134[[#This Row],[check]]=1,0.65,1)</f>
        <v>1</v>
      </c>
      <c r="N42" s="4">
        <v>1</v>
      </c>
      <c r="O42" s="4">
        <f>IF(Table134[[#This Row],[check]]=1,Table134[[#This Row],[مساحت آدرس]]*Table134[[#This Row],[A0 Inc]],Table134[[#This Row],[A_tree]]*Table134[[#This Row],[اصله مستقل]])</f>
        <v>81</v>
      </c>
      <c r="P42" s="11">
        <f>IF(Table134[[#This Row],[check]]=1,Table134[[#This Row],[A0]]/Table134[[#This Row],[اصله مستقل]],Table134[[#This Row],[A_tree]])</f>
        <v>9</v>
      </c>
    </row>
    <row r="43" spans="2:16" ht="18.600000000000001" x14ac:dyDescent="0.3">
      <c r="B43" s="4" t="s">
        <v>59</v>
      </c>
      <c r="C43" s="4">
        <v>97</v>
      </c>
      <c r="D43" s="4">
        <v>15</v>
      </c>
      <c r="E43" s="4">
        <v>30</v>
      </c>
      <c r="F43" s="4">
        <v>192</v>
      </c>
      <c r="G43" s="2" t="s">
        <v>21</v>
      </c>
      <c r="H43" s="4">
        <v>9</v>
      </c>
      <c r="I43" s="4">
        <f>Table134[[#This Row],[اصله مستقل]]*Table134[[#This Row],[A_tree]]</f>
        <v>135</v>
      </c>
      <c r="J43" s="4">
        <f>IF(Table134[[#This Row],[n * A_tree ]]&gt;Table134[[#This Row],[مساحت آدرس]],1,0)</f>
        <v>0</v>
      </c>
      <c r="K43" s="8">
        <f>IF(Table134[[#This Row],[check]]=1,1,Table134[[#This Row],[A_tree]]*Table134[[#This Row],[اصله مستقل]]/Table134[[#This Row],[مساحت آدرس]])</f>
        <v>0.703125</v>
      </c>
      <c r="L43" s="14">
        <f>IF(Table134[[#This Row],[check]]=1,1,(Table134[[#This Row],[Psh]]+0.15*(1-Table134[[#This Row],[Psh]])))</f>
        <v>0.74765625000000002</v>
      </c>
      <c r="M43" s="14">
        <f>IF(Table134[[#This Row],[check]]=1,0.65,1)</f>
        <v>1</v>
      </c>
      <c r="N43" s="4">
        <v>1</v>
      </c>
      <c r="O43" s="4">
        <f>IF(Table134[[#This Row],[check]]=1,Table134[[#This Row],[مساحت آدرس]]*Table134[[#This Row],[A0 Inc]],Table134[[#This Row],[A_tree]]*Table134[[#This Row],[اصله مستقل]])</f>
        <v>135</v>
      </c>
      <c r="P43" s="11">
        <f>IF(Table134[[#This Row],[check]]=1,Table134[[#This Row],[A0]]/Table134[[#This Row],[اصله مستقل]],Table134[[#This Row],[A_tree]])</f>
        <v>9</v>
      </c>
    </row>
    <row r="44" spans="2:16" ht="18.600000000000001" x14ac:dyDescent="0.3">
      <c r="B44" s="4" t="s">
        <v>60</v>
      </c>
      <c r="C44" s="4">
        <v>350</v>
      </c>
      <c r="D44" s="4">
        <v>45</v>
      </c>
      <c r="E44" s="4">
        <v>90</v>
      </c>
      <c r="F44" s="4">
        <v>210</v>
      </c>
      <c r="G44" s="2" t="s">
        <v>21</v>
      </c>
      <c r="H44" s="4">
        <v>9</v>
      </c>
      <c r="I44" s="4">
        <f>Table134[[#This Row],[اصله مستقل]]*Table134[[#This Row],[A_tree]]</f>
        <v>405</v>
      </c>
      <c r="J44" s="4">
        <f>IF(Table134[[#This Row],[n * A_tree ]]&gt;Table134[[#This Row],[مساحت آدرس]],1,0)</f>
        <v>1</v>
      </c>
      <c r="K44" s="8">
        <f>IF(Table134[[#This Row],[check]]=1,1,Table134[[#This Row],[A_tree]]*Table134[[#This Row],[اصله مستقل]]/Table134[[#This Row],[مساحت آدرس]])</f>
        <v>1</v>
      </c>
      <c r="L44" s="14">
        <f>IF(Table134[[#This Row],[check]]=1,1,(Table134[[#This Row],[Psh]]+0.15*(1-Table134[[#This Row],[Psh]])))</f>
        <v>1</v>
      </c>
      <c r="M44" s="14">
        <f>IF(Table134[[#This Row],[check]]=1,0.65,1)</f>
        <v>0.65</v>
      </c>
      <c r="N44" s="4">
        <v>1</v>
      </c>
      <c r="O44" s="4">
        <f>IF(Table134[[#This Row],[check]]=1,Table134[[#This Row],[مساحت آدرس]]*Table134[[#This Row],[A0 Inc]],Table134[[#This Row],[A_tree]]*Table134[[#This Row],[اصله مستقل]])</f>
        <v>210</v>
      </c>
      <c r="P44" s="11">
        <f>IF(Table134[[#This Row],[check]]=1,Table134[[#This Row],[A0]]/Table134[[#This Row],[اصله مستقل]],Table134[[#This Row],[A_tree]])</f>
        <v>4.666666666666667</v>
      </c>
    </row>
    <row r="45" spans="2:16" ht="18.600000000000001" x14ac:dyDescent="0.3">
      <c r="B45" s="4" t="s">
        <v>61</v>
      </c>
      <c r="C45" s="4">
        <v>37</v>
      </c>
      <c r="D45" s="4">
        <v>37</v>
      </c>
      <c r="E45" s="4">
        <v>80</v>
      </c>
      <c r="F45" s="4">
        <v>280</v>
      </c>
      <c r="G45" s="2" t="s">
        <v>62</v>
      </c>
      <c r="H45" s="4">
        <v>9</v>
      </c>
      <c r="I45" s="4">
        <f>Table134[[#This Row],[اصله مستقل]]*Table134[[#This Row],[A_tree]]</f>
        <v>333</v>
      </c>
      <c r="J45" s="4">
        <f>IF(Table134[[#This Row],[n * A_tree ]]&gt;Table134[[#This Row],[مساحت آدرس]],1,0)</f>
        <v>1</v>
      </c>
      <c r="K45" s="8">
        <f>IF(Table134[[#This Row],[check]]=1,1,Table134[[#This Row],[A_tree]]*Table134[[#This Row],[اصله مستقل]]/Table134[[#This Row],[مساحت آدرس]])</f>
        <v>1</v>
      </c>
      <c r="L45" s="14">
        <f>IF(Table134[[#This Row],[check]]=1,1,(Table134[[#This Row],[Psh]]+0.15*(1-Table134[[#This Row],[Psh]])))</f>
        <v>1</v>
      </c>
      <c r="M45" s="14">
        <f>IF(Table134[[#This Row],[check]]=1,0.65,1)</f>
        <v>0.65</v>
      </c>
      <c r="N45" s="4">
        <v>1</v>
      </c>
      <c r="O45" s="4">
        <f>IF(Table134[[#This Row],[check]]=1,Table134[[#This Row],[مساحت آدرس]]*Table134[[#This Row],[A0 Inc]],Table134[[#This Row],[A_tree]]*Table134[[#This Row],[اصله مستقل]])</f>
        <v>280</v>
      </c>
      <c r="P45" s="11">
        <f>IF(Table134[[#This Row],[check]]=1,Table134[[#This Row],[A0]]/Table134[[#This Row],[اصله مستقل]],Table134[[#This Row],[A_tree]])</f>
        <v>7.5675675675675675</v>
      </c>
    </row>
    <row r="46" spans="2:16" ht="18.600000000000001" x14ac:dyDescent="0.3">
      <c r="B46" s="4" t="s">
        <v>63</v>
      </c>
      <c r="C46" s="4">
        <v>133</v>
      </c>
      <c r="D46" s="4">
        <v>133</v>
      </c>
      <c r="E46" s="4">
        <v>200</v>
      </c>
      <c r="F46" s="4">
        <v>1258</v>
      </c>
      <c r="G46" s="2" t="s">
        <v>62</v>
      </c>
      <c r="H46" s="4">
        <v>9</v>
      </c>
      <c r="I46" s="4">
        <f>Table134[[#This Row],[اصله مستقل]]*Table134[[#This Row],[A_tree]]</f>
        <v>1197</v>
      </c>
      <c r="J46" s="4">
        <f>IF(Table134[[#This Row],[n * A_tree ]]&gt;Table134[[#This Row],[مساحت آدرس]],1,0)</f>
        <v>0</v>
      </c>
      <c r="K46" s="8">
        <f>IF(Table134[[#This Row],[check]]=1,1,Table134[[#This Row],[A_tree]]*Table134[[#This Row],[اصله مستقل]]/Table134[[#This Row],[مساحت آدرس]])</f>
        <v>0.95151033386327499</v>
      </c>
      <c r="L46" s="14">
        <f>IF(Table134[[#This Row],[check]]=1,1,(Table134[[#This Row],[Psh]]+0.15*(1-Table134[[#This Row],[Psh]])))</f>
        <v>0.95878378378378371</v>
      </c>
      <c r="M46" s="14">
        <f>IF(Table134[[#This Row],[check]]=1,0.65,1)</f>
        <v>1</v>
      </c>
      <c r="N46" s="4">
        <v>1</v>
      </c>
      <c r="O46" s="4">
        <f>IF(Table134[[#This Row],[check]]=1,Table134[[#This Row],[مساحت آدرس]]*Table134[[#This Row],[A0 Inc]],Table134[[#This Row],[A_tree]]*Table134[[#This Row],[اصله مستقل]])</f>
        <v>1197</v>
      </c>
      <c r="P46" s="11">
        <f>IF(Table134[[#This Row],[check]]=1,Table134[[#This Row],[A0]]/Table134[[#This Row],[اصله مستقل]],Table134[[#This Row],[A_tree]])</f>
        <v>9</v>
      </c>
    </row>
    <row r="47" spans="2:16" ht="18.600000000000001" x14ac:dyDescent="0.3">
      <c r="B47" s="4" t="s">
        <v>64</v>
      </c>
      <c r="C47" s="4">
        <v>39</v>
      </c>
      <c r="D47" s="4">
        <v>39</v>
      </c>
      <c r="E47" s="4">
        <v>60</v>
      </c>
      <c r="F47" s="4">
        <v>200</v>
      </c>
      <c r="G47" s="2" t="s">
        <v>62</v>
      </c>
      <c r="H47" s="4">
        <v>9</v>
      </c>
      <c r="I47" s="4">
        <f>Table134[[#This Row],[اصله مستقل]]*Table134[[#This Row],[A_tree]]</f>
        <v>351</v>
      </c>
      <c r="J47" s="4">
        <f>IF(Table134[[#This Row],[n * A_tree ]]&gt;Table134[[#This Row],[مساحت آدرس]],1,0)</f>
        <v>1</v>
      </c>
      <c r="K47" s="8">
        <f>IF(Table134[[#This Row],[check]]=1,1,Table134[[#This Row],[A_tree]]*Table134[[#This Row],[اصله مستقل]]/Table134[[#This Row],[مساحت آدرس]])</f>
        <v>1</v>
      </c>
      <c r="L47" s="14">
        <f>IF(Table134[[#This Row],[check]]=1,1,(Table134[[#This Row],[Psh]]+0.15*(1-Table134[[#This Row],[Psh]])))</f>
        <v>1</v>
      </c>
      <c r="M47" s="14">
        <f>IF(Table134[[#This Row],[check]]=1,0.65,1)</f>
        <v>0.65</v>
      </c>
      <c r="N47" s="4">
        <v>1</v>
      </c>
      <c r="O47" s="4">
        <f>IF(Table134[[#This Row],[check]]=1,Table134[[#This Row],[مساحت آدرس]]*Table134[[#This Row],[A0 Inc]],Table134[[#This Row],[A_tree]]*Table134[[#This Row],[اصله مستقل]])</f>
        <v>200</v>
      </c>
      <c r="P47" s="11">
        <f>IF(Table134[[#This Row],[check]]=1,Table134[[#This Row],[A0]]/Table134[[#This Row],[اصله مستقل]],Table134[[#This Row],[A_tree]])</f>
        <v>5.1282051282051286</v>
      </c>
    </row>
    <row r="48" spans="2:16" ht="18.600000000000001" x14ac:dyDescent="0.3">
      <c r="B48" s="4" t="s">
        <v>65</v>
      </c>
      <c r="C48" s="4">
        <v>28</v>
      </c>
      <c r="D48" s="4">
        <v>28</v>
      </c>
      <c r="E48" s="4">
        <v>35</v>
      </c>
      <c r="F48" s="4">
        <v>1665</v>
      </c>
      <c r="G48" s="2" t="s">
        <v>66</v>
      </c>
      <c r="H48" s="4">
        <v>9</v>
      </c>
      <c r="I48" s="4">
        <f>Table134[[#This Row],[اصله مستقل]]*Table134[[#This Row],[A_tree]]</f>
        <v>252</v>
      </c>
      <c r="J48" s="4">
        <f>IF(Table134[[#This Row],[n * A_tree ]]&gt;Table134[[#This Row],[مساحت آدرس]],1,0)</f>
        <v>0</v>
      </c>
      <c r="K48" s="8">
        <f>IF(Table134[[#This Row],[check]]=1,1,Table134[[#This Row],[A_tree]]*Table134[[#This Row],[اصله مستقل]]/Table134[[#This Row],[مساحت آدرس]])</f>
        <v>0.15135135135135136</v>
      </c>
      <c r="L48" s="14">
        <f>IF(Table134[[#This Row],[check]]=1,1,(Table134[[#This Row],[Psh]]+0.15*(1-Table134[[#This Row],[Psh]])))</f>
        <v>0.27864864864864869</v>
      </c>
      <c r="M48" s="14">
        <f>IF(Table134[[#This Row],[check]]=1,0.65,1)</f>
        <v>1</v>
      </c>
      <c r="N48" s="4">
        <v>1</v>
      </c>
      <c r="O48" s="4">
        <f>IF(Table134[[#This Row],[check]]=1,Table134[[#This Row],[مساحت آدرس]]*Table134[[#This Row],[A0 Inc]],Table134[[#This Row],[A_tree]]*Table134[[#This Row],[اصله مستقل]])</f>
        <v>252</v>
      </c>
      <c r="P48" s="11">
        <f>IF(Table134[[#This Row],[check]]=1,Table134[[#This Row],[A0]]/Table134[[#This Row],[اصله مستقل]],Table134[[#This Row],[A_tree]])</f>
        <v>9</v>
      </c>
    </row>
    <row r="49" spans="2:16" ht="18.600000000000001" x14ac:dyDescent="0.3">
      <c r="B49" s="4" t="s">
        <v>67</v>
      </c>
      <c r="C49" s="4">
        <v>417</v>
      </c>
      <c r="D49" s="4">
        <v>147</v>
      </c>
      <c r="E49" s="4">
        <v>147</v>
      </c>
      <c r="F49" s="4">
        <v>1113</v>
      </c>
      <c r="G49" s="2" t="s">
        <v>21</v>
      </c>
      <c r="H49" s="4">
        <v>9</v>
      </c>
      <c r="I49" s="4">
        <f>Table134[[#This Row],[اصله مستقل]]*Table134[[#This Row],[A_tree]]</f>
        <v>1323</v>
      </c>
      <c r="J49" s="4">
        <f>IF(Table134[[#This Row],[n * A_tree ]]&gt;Table134[[#This Row],[مساحت آدرس]],1,0)</f>
        <v>1</v>
      </c>
      <c r="K49" s="8">
        <f>IF(Table134[[#This Row],[check]]=1,1,Table134[[#This Row],[A_tree]]*Table134[[#This Row],[اصله مستقل]]/Table134[[#This Row],[مساحت آدرس]])</f>
        <v>1</v>
      </c>
      <c r="L49" s="14">
        <f>IF(Table134[[#This Row],[check]]=1,1,(Table134[[#This Row],[Psh]]+0.15*(1-Table134[[#This Row],[Psh]])))</f>
        <v>1</v>
      </c>
      <c r="M49" s="14">
        <f>IF(Table134[[#This Row],[check]]=1,0.65,1)</f>
        <v>0.65</v>
      </c>
      <c r="N49" s="4">
        <v>1</v>
      </c>
      <c r="O49" s="4">
        <f>IF(Table134[[#This Row],[check]]=1,Table134[[#This Row],[مساحت آدرس]]*Table134[[#This Row],[A0 Inc]],Table134[[#This Row],[A_tree]]*Table134[[#This Row],[اصله مستقل]])</f>
        <v>1113</v>
      </c>
      <c r="P49" s="11">
        <f>IF(Table134[[#This Row],[check]]=1,Table134[[#This Row],[A0]]/Table134[[#This Row],[اصله مستقل]],Table134[[#This Row],[A_tree]])</f>
        <v>7.5714285714285712</v>
      </c>
    </row>
    <row r="50" spans="2:16" ht="18.600000000000001" x14ac:dyDescent="0.3">
      <c r="B50" s="4" t="s">
        <v>68</v>
      </c>
      <c r="C50" s="4">
        <v>555</v>
      </c>
      <c r="D50" s="4">
        <v>421</v>
      </c>
      <c r="E50" s="4">
        <v>421</v>
      </c>
      <c r="F50" s="4">
        <v>679</v>
      </c>
      <c r="G50" s="2" t="s">
        <v>21</v>
      </c>
      <c r="H50" s="4">
        <v>9</v>
      </c>
      <c r="I50" s="4">
        <f>Table134[[#This Row],[اصله مستقل]]*Table134[[#This Row],[A_tree]]</f>
        <v>3789</v>
      </c>
      <c r="J50" s="4">
        <f>IF(Table134[[#This Row],[n * A_tree ]]&gt;Table134[[#This Row],[مساحت آدرس]],1,0)</f>
        <v>1</v>
      </c>
      <c r="K50" s="8">
        <f>IF(Table134[[#This Row],[check]]=1,1,Table134[[#This Row],[A_tree]]*Table134[[#This Row],[اصله مستقل]]/Table134[[#This Row],[مساحت آدرس]])</f>
        <v>1</v>
      </c>
      <c r="L50" s="14">
        <f>IF(Table134[[#This Row],[check]]=1,1,(Table134[[#This Row],[Psh]]+0.15*(1-Table134[[#This Row],[Psh]])))</f>
        <v>1</v>
      </c>
      <c r="M50" s="14">
        <f>IF(Table134[[#This Row],[check]]=1,0.65,1)</f>
        <v>0.65</v>
      </c>
      <c r="N50" s="4">
        <v>1</v>
      </c>
      <c r="O50" s="4">
        <f>IF(Table134[[#This Row],[check]]=1,Table134[[#This Row],[مساحت آدرس]]*Table134[[#This Row],[A0 Inc]],Table134[[#This Row],[A_tree]]*Table134[[#This Row],[اصله مستقل]])</f>
        <v>679</v>
      </c>
      <c r="P50" s="11">
        <f>IF(Table134[[#This Row],[check]]=1,Table134[[#This Row],[A0]]/Table134[[#This Row],[اصله مستقل]],Table134[[#This Row],[A_tree]])</f>
        <v>1.6128266033254157</v>
      </c>
    </row>
    <row r="51" spans="2:16" ht="18.600000000000001" x14ac:dyDescent="0.3">
      <c r="B51" s="4" t="s">
        <v>69</v>
      </c>
      <c r="C51" s="4">
        <v>699</v>
      </c>
      <c r="D51" s="4">
        <v>142</v>
      </c>
      <c r="E51" s="4">
        <v>142</v>
      </c>
      <c r="F51" s="4">
        <v>2985</v>
      </c>
      <c r="G51" s="2" t="s">
        <v>21</v>
      </c>
      <c r="H51" s="4">
        <v>9</v>
      </c>
      <c r="I51" s="4">
        <f>Table134[[#This Row],[اصله مستقل]]*Table134[[#This Row],[A_tree]]</f>
        <v>1278</v>
      </c>
      <c r="J51" s="4">
        <f>IF(Table134[[#This Row],[n * A_tree ]]&gt;Table134[[#This Row],[مساحت آدرس]],1,0)</f>
        <v>0</v>
      </c>
      <c r="K51" s="8">
        <f>IF(Table134[[#This Row],[check]]=1,1,Table134[[#This Row],[A_tree]]*Table134[[#This Row],[اصله مستقل]]/Table134[[#This Row],[مساحت آدرس]])</f>
        <v>0.42814070351758793</v>
      </c>
      <c r="L51" s="14">
        <f>IF(Table134[[#This Row],[check]]=1,1,(Table134[[#This Row],[Psh]]+0.15*(1-Table134[[#This Row],[Psh]])))</f>
        <v>0.51391959798994979</v>
      </c>
      <c r="M51" s="14">
        <f>IF(Table134[[#This Row],[check]]=1,0.65,1)</f>
        <v>1</v>
      </c>
      <c r="N51" s="4">
        <v>1</v>
      </c>
      <c r="O51" s="4">
        <f>IF(Table134[[#This Row],[check]]=1,Table134[[#This Row],[مساحت آدرس]]*Table134[[#This Row],[A0 Inc]],Table134[[#This Row],[A_tree]]*Table134[[#This Row],[اصله مستقل]])</f>
        <v>1278</v>
      </c>
      <c r="P51" s="11">
        <f>IF(Table134[[#This Row],[check]]=1,Table134[[#This Row],[A0]]/Table134[[#This Row],[اصله مستقل]],Table134[[#This Row],[A_tree]])</f>
        <v>9</v>
      </c>
    </row>
    <row r="52" spans="2:16" ht="18.600000000000001" x14ac:dyDescent="0.3">
      <c r="B52" s="4" t="s">
        <v>70</v>
      </c>
      <c r="C52" s="4">
        <v>360</v>
      </c>
      <c r="D52" s="4">
        <v>48</v>
      </c>
      <c r="E52" s="4">
        <v>48</v>
      </c>
      <c r="F52" s="4">
        <v>1760</v>
      </c>
      <c r="G52" s="2" t="s">
        <v>21</v>
      </c>
      <c r="H52" s="4">
        <v>9</v>
      </c>
      <c r="I52" s="4">
        <f>Table134[[#This Row],[اصله مستقل]]*Table134[[#This Row],[A_tree]]</f>
        <v>432</v>
      </c>
      <c r="J52" s="4">
        <f>IF(Table134[[#This Row],[n * A_tree ]]&gt;Table134[[#This Row],[مساحت آدرس]],1,0)</f>
        <v>0</v>
      </c>
      <c r="K52" s="8">
        <f>IF(Table134[[#This Row],[check]]=1,1,Table134[[#This Row],[A_tree]]*Table134[[#This Row],[اصله مستقل]]/Table134[[#This Row],[مساحت آدرس]])</f>
        <v>0.24545454545454545</v>
      </c>
      <c r="L52" s="14">
        <f>IF(Table134[[#This Row],[check]]=1,1,(Table134[[#This Row],[Psh]]+0.15*(1-Table134[[#This Row],[Psh]])))</f>
        <v>0.35863636363636364</v>
      </c>
      <c r="M52" s="14">
        <f>IF(Table134[[#This Row],[check]]=1,0.65,1)</f>
        <v>1</v>
      </c>
      <c r="N52" s="4">
        <v>1</v>
      </c>
      <c r="O52" s="4">
        <f>IF(Table134[[#This Row],[check]]=1,Table134[[#This Row],[مساحت آدرس]]*Table134[[#This Row],[A0 Inc]],Table134[[#This Row],[A_tree]]*Table134[[#This Row],[اصله مستقل]])</f>
        <v>432</v>
      </c>
      <c r="P52" s="11">
        <f>IF(Table134[[#This Row],[check]]=1,Table134[[#This Row],[A0]]/Table134[[#This Row],[اصله مستقل]],Table134[[#This Row],[A_tree]])</f>
        <v>9</v>
      </c>
    </row>
    <row r="53" spans="2:16" ht="18.600000000000001" x14ac:dyDescent="0.3">
      <c r="B53" s="4" t="s">
        <v>71</v>
      </c>
      <c r="C53" s="4">
        <v>70</v>
      </c>
      <c r="D53" s="4">
        <v>10</v>
      </c>
      <c r="E53" s="4">
        <v>10</v>
      </c>
      <c r="F53" s="4">
        <v>163</v>
      </c>
      <c r="G53" s="2" t="s">
        <v>21</v>
      </c>
      <c r="H53" s="4">
        <v>9</v>
      </c>
      <c r="I53" s="4">
        <f>Table134[[#This Row],[اصله مستقل]]*Table134[[#This Row],[A_tree]]</f>
        <v>90</v>
      </c>
      <c r="J53" s="4">
        <f>IF(Table134[[#This Row],[n * A_tree ]]&gt;Table134[[#This Row],[مساحت آدرس]],1,0)</f>
        <v>0</v>
      </c>
      <c r="K53" s="8">
        <f>IF(Table134[[#This Row],[check]]=1,1,Table134[[#This Row],[A_tree]]*Table134[[#This Row],[اصله مستقل]]/Table134[[#This Row],[مساحت آدرس]])</f>
        <v>0.55214723926380371</v>
      </c>
      <c r="L53" s="14">
        <f>IF(Table134[[#This Row],[check]]=1,1,(Table134[[#This Row],[Psh]]+0.15*(1-Table134[[#This Row],[Psh]])))</f>
        <v>0.61932515337423311</v>
      </c>
      <c r="M53" s="14">
        <f>IF(Table134[[#This Row],[check]]=1,0.65,1)</f>
        <v>1</v>
      </c>
      <c r="N53" s="4">
        <v>1</v>
      </c>
      <c r="O53" s="4">
        <f>IF(Table134[[#This Row],[check]]=1,Table134[[#This Row],[مساحت آدرس]]*Table134[[#This Row],[A0 Inc]],Table134[[#This Row],[A_tree]]*Table134[[#This Row],[اصله مستقل]])</f>
        <v>90</v>
      </c>
      <c r="P53" s="11">
        <f>IF(Table134[[#This Row],[check]]=1,Table134[[#This Row],[A0]]/Table134[[#This Row],[اصله مستقل]],Table134[[#This Row],[A_tree]])</f>
        <v>9</v>
      </c>
    </row>
    <row r="54" spans="2:16" ht="18.600000000000001" x14ac:dyDescent="0.3">
      <c r="B54" s="4" t="s">
        <v>83</v>
      </c>
      <c r="C54" s="4">
        <v>77</v>
      </c>
      <c r="D54" s="4">
        <v>13</v>
      </c>
      <c r="E54" s="4">
        <v>22</v>
      </c>
      <c r="F54" s="4">
        <v>376</v>
      </c>
      <c r="G54" s="2" t="s">
        <v>21</v>
      </c>
      <c r="H54" s="4">
        <v>9</v>
      </c>
      <c r="I54" s="4">
        <f>Table134[[#This Row],[اصله مستقل]]*Table134[[#This Row],[A_tree]]</f>
        <v>117</v>
      </c>
      <c r="J54" s="4">
        <f>IF(Table134[[#This Row],[n * A_tree ]]&gt;Table134[[#This Row],[مساحت آدرس]],1,0)</f>
        <v>0</v>
      </c>
      <c r="K54" s="8">
        <f>IF(Table134[[#This Row],[check]]=1,1,Table134[[#This Row],[A_tree]]*Table134[[#This Row],[اصله مستقل]]/Table134[[#This Row],[مساحت آدرس]])</f>
        <v>0.31117021276595747</v>
      </c>
      <c r="L54" s="14">
        <f>IF(Table134[[#This Row],[check]]=1,1,(Table134[[#This Row],[Psh]]+0.15*(1-Table134[[#This Row],[Psh]])))</f>
        <v>0.41449468085106383</v>
      </c>
      <c r="M54" s="14">
        <f>IF(Table134[[#This Row],[check]]=1,0.65,1)</f>
        <v>1</v>
      </c>
      <c r="N54" s="4">
        <v>1</v>
      </c>
      <c r="O54" s="4">
        <f>IF(Table134[[#This Row],[check]]=1,Table134[[#This Row],[مساحت آدرس]]*Table134[[#This Row],[A0 Inc]],Table134[[#This Row],[A_tree]]*Table134[[#This Row],[اصله مستقل]])</f>
        <v>117</v>
      </c>
      <c r="P54" s="11">
        <f>IF(Table134[[#This Row],[check]]=1,Table134[[#This Row],[A0]]/Table134[[#This Row],[اصله مستقل]],Table134[[#This Row],[A_tree]])</f>
        <v>9</v>
      </c>
    </row>
    <row r="55" spans="2:16" ht="18.600000000000001" x14ac:dyDescent="0.3">
      <c r="B55" s="4" t="s">
        <v>84</v>
      </c>
      <c r="C55" s="4">
        <v>35</v>
      </c>
      <c r="D55" s="4">
        <v>1</v>
      </c>
      <c r="E55" s="4">
        <v>1</v>
      </c>
      <c r="F55" s="4">
        <v>117</v>
      </c>
      <c r="G55" s="2" t="s">
        <v>21</v>
      </c>
      <c r="H55" s="4">
        <v>9</v>
      </c>
      <c r="I55" s="4">
        <f>Table134[[#This Row],[اصله مستقل]]*Table134[[#This Row],[A_tree]]</f>
        <v>9</v>
      </c>
      <c r="J55" s="4">
        <f>IF(Table134[[#This Row],[n * A_tree ]]&gt;Table134[[#This Row],[مساحت آدرس]],1,0)</f>
        <v>0</v>
      </c>
      <c r="K55" s="8">
        <f>IF(Table134[[#This Row],[check]]=1,1,Table134[[#This Row],[A_tree]]*Table134[[#This Row],[اصله مستقل]]/Table134[[#This Row],[مساحت آدرس]])</f>
        <v>7.6923076923076927E-2</v>
      </c>
      <c r="L55" s="14">
        <f>IF(Table134[[#This Row],[check]]=1,1,(Table134[[#This Row],[Psh]]+0.15*(1-Table134[[#This Row],[Psh]])))</f>
        <v>0.2153846153846154</v>
      </c>
      <c r="M55" s="14">
        <f>IF(Table134[[#This Row],[check]]=1,0.65,1)</f>
        <v>1</v>
      </c>
      <c r="N55" s="4">
        <v>1</v>
      </c>
      <c r="O55" s="4">
        <f>IF(Table134[[#This Row],[check]]=1,Table134[[#This Row],[مساحت آدرس]]*Table134[[#This Row],[A0 Inc]],Table134[[#This Row],[A_tree]]*Table134[[#This Row],[اصله مستقل]])</f>
        <v>9</v>
      </c>
      <c r="P55" s="11">
        <f>IF(Table134[[#This Row],[check]]=1,Table134[[#This Row],[A0]]/Table134[[#This Row],[اصله مستقل]],Table134[[#This Row],[A_tree]])</f>
        <v>9</v>
      </c>
    </row>
    <row r="56" spans="2:16" ht="18.600000000000001" x14ac:dyDescent="0.3">
      <c r="B56" s="4" t="s">
        <v>85</v>
      </c>
      <c r="C56" s="4">
        <v>107</v>
      </c>
      <c r="D56" s="4">
        <v>46</v>
      </c>
      <c r="E56" s="4">
        <v>46</v>
      </c>
      <c r="F56" s="4">
        <v>268</v>
      </c>
      <c r="G56" s="2" t="s">
        <v>21</v>
      </c>
      <c r="H56" s="4">
        <v>9</v>
      </c>
      <c r="I56" s="4">
        <f>Table134[[#This Row],[اصله مستقل]]*Table134[[#This Row],[A_tree]]</f>
        <v>414</v>
      </c>
      <c r="J56" s="4">
        <f>IF(Table134[[#This Row],[n * A_tree ]]&gt;Table134[[#This Row],[مساحت آدرس]],1,0)</f>
        <v>1</v>
      </c>
      <c r="K56" s="8">
        <f>IF(Table134[[#This Row],[check]]=1,1,Table134[[#This Row],[A_tree]]*Table134[[#This Row],[اصله مستقل]]/Table134[[#This Row],[مساحت آدرس]])</f>
        <v>1</v>
      </c>
      <c r="L56" s="14">
        <f>IF(Table134[[#This Row],[check]]=1,1,(Table134[[#This Row],[Psh]]+0.15*(1-Table134[[#This Row],[Psh]])))</f>
        <v>1</v>
      </c>
      <c r="M56" s="14">
        <f>IF(Table134[[#This Row],[check]]=1,0.65,1)</f>
        <v>0.65</v>
      </c>
      <c r="N56" s="4">
        <v>1</v>
      </c>
      <c r="O56" s="4">
        <f>IF(Table134[[#This Row],[check]]=1,Table134[[#This Row],[مساحت آدرس]]*Table134[[#This Row],[A0 Inc]],Table134[[#This Row],[A_tree]]*Table134[[#This Row],[اصله مستقل]])</f>
        <v>268</v>
      </c>
      <c r="P56" s="11">
        <f>IF(Table134[[#This Row],[check]]=1,Table134[[#This Row],[A0]]/Table134[[#This Row],[اصله مستقل]],Table134[[#This Row],[A_tree]])</f>
        <v>5.8260869565217392</v>
      </c>
    </row>
    <row r="57" spans="2:16" ht="18.600000000000001" x14ac:dyDescent="0.3">
      <c r="B57" s="4" t="s">
        <v>86</v>
      </c>
      <c r="C57" s="4">
        <v>195</v>
      </c>
      <c r="D57" s="4">
        <v>60</v>
      </c>
      <c r="E57" s="4">
        <v>95</v>
      </c>
      <c r="F57" s="4">
        <v>1050</v>
      </c>
      <c r="G57" s="2" t="s">
        <v>21</v>
      </c>
      <c r="H57" s="4">
        <v>9</v>
      </c>
      <c r="I57" s="4">
        <f>Table134[[#This Row],[اصله مستقل]]*Table134[[#This Row],[A_tree]]</f>
        <v>540</v>
      </c>
      <c r="J57" s="4">
        <f>IF(Table134[[#This Row],[n * A_tree ]]&gt;Table134[[#This Row],[مساحت آدرس]],1,0)</f>
        <v>0</v>
      </c>
      <c r="K57" s="8">
        <f>IF(Table134[[#This Row],[check]]=1,1,Table134[[#This Row],[A_tree]]*Table134[[#This Row],[اصله مستقل]]/Table134[[#This Row],[مساحت آدرس]])</f>
        <v>0.51428571428571423</v>
      </c>
      <c r="L57" s="14">
        <f>IF(Table134[[#This Row],[check]]=1,1,(Table134[[#This Row],[Psh]]+0.15*(1-Table134[[#This Row],[Psh]])))</f>
        <v>0.58714285714285708</v>
      </c>
      <c r="M57" s="14">
        <f>IF(Table134[[#This Row],[check]]=1,0.65,1)</f>
        <v>1</v>
      </c>
      <c r="N57" s="4">
        <v>1</v>
      </c>
      <c r="O57" s="4">
        <f>IF(Table134[[#This Row],[check]]=1,Table134[[#This Row],[مساحت آدرس]]*Table134[[#This Row],[A0 Inc]],Table134[[#This Row],[A_tree]]*Table134[[#This Row],[اصله مستقل]])</f>
        <v>540</v>
      </c>
      <c r="P57" s="11">
        <f>IF(Table134[[#This Row],[check]]=1,Table134[[#This Row],[A0]]/Table134[[#This Row],[اصله مستقل]],Table134[[#This Row],[A_tree]])</f>
        <v>9</v>
      </c>
    </row>
    <row r="58" spans="2:16" ht="18.600000000000001" x14ac:dyDescent="0.3">
      <c r="B58" s="4" t="s">
        <v>87</v>
      </c>
      <c r="C58" s="4">
        <v>221</v>
      </c>
      <c r="D58" s="4">
        <v>137</v>
      </c>
      <c r="E58" s="4">
        <v>137</v>
      </c>
      <c r="F58" s="4">
        <v>712</v>
      </c>
      <c r="G58" s="2" t="s">
        <v>21</v>
      </c>
      <c r="H58" s="4">
        <v>9</v>
      </c>
      <c r="I58" s="4">
        <f>Table134[[#This Row],[اصله مستقل]]*Table134[[#This Row],[A_tree]]</f>
        <v>1233</v>
      </c>
      <c r="J58" s="4">
        <f>IF(Table134[[#This Row],[n * A_tree ]]&gt;Table134[[#This Row],[مساحت آدرس]],1,0)</f>
        <v>1</v>
      </c>
      <c r="K58" s="8">
        <f>IF(Table134[[#This Row],[check]]=1,1,Table134[[#This Row],[A_tree]]*Table134[[#This Row],[اصله مستقل]]/Table134[[#This Row],[مساحت آدرس]])</f>
        <v>1</v>
      </c>
      <c r="L58" s="14">
        <f>IF(Table134[[#This Row],[check]]=1,1,(Table134[[#This Row],[Psh]]+0.15*(1-Table134[[#This Row],[Psh]])))</f>
        <v>1</v>
      </c>
      <c r="M58" s="14">
        <f>IF(Table134[[#This Row],[check]]=1,0.65,1)</f>
        <v>0.65</v>
      </c>
      <c r="N58" s="4">
        <v>1</v>
      </c>
      <c r="O58" s="4">
        <f>IF(Table134[[#This Row],[check]]=1,Table134[[#This Row],[مساحت آدرس]]*Table134[[#This Row],[A0 Inc]],Table134[[#This Row],[A_tree]]*Table134[[#This Row],[اصله مستقل]])</f>
        <v>712</v>
      </c>
      <c r="P58" s="11">
        <f>IF(Table134[[#This Row],[check]]=1,Table134[[#This Row],[A0]]/Table134[[#This Row],[اصله مستقل]],Table134[[#This Row],[A_tree]])</f>
        <v>5.1970802919708028</v>
      </c>
    </row>
    <row r="59" spans="2:16" ht="18.600000000000001" x14ac:dyDescent="0.3">
      <c r="B59" s="4" t="s">
        <v>88</v>
      </c>
      <c r="C59" s="4">
        <v>157</v>
      </c>
      <c r="D59" s="4">
        <v>149</v>
      </c>
      <c r="E59" s="4">
        <v>185</v>
      </c>
      <c r="F59" s="4">
        <v>220</v>
      </c>
      <c r="G59" s="2" t="s">
        <v>21</v>
      </c>
      <c r="H59" s="4">
        <v>9</v>
      </c>
      <c r="I59" s="4">
        <f>Table134[[#This Row],[اصله مستقل]]*Table134[[#This Row],[A_tree]]</f>
        <v>1341</v>
      </c>
      <c r="J59" s="4">
        <f>IF(Table134[[#This Row],[n * A_tree ]]&gt;Table134[[#This Row],[مساحت آدرس]],1,0)</f>
        <v>1</v>
      </c>
      <c r="K59" s="8">
        <f>IF(Table134[[#This Row],[check]]=1,1,Table134[[#This Row],[A_tree]]*Table134[[#This Row],[اصله مستقل]]/Table134[[#This Row],[مساحت آدرس]])</f>
        <v>1</v>
      </c>
      <c r="L59" s="14">
        <f>IF(Table134[[#This Row],[check]]=1,1,(Table134[[#This Row],[Psh]]+0.15*(1-Table134[[#This Row],[Psh]])))</f>
        <v>1</v>
      </c>
      <c r="M59" s="14">
        <f>IF(Table134[[#This Row],[check]]=1,0.65,1)</f>
        <v>0.65</v>
      </c>
      <c r="N59" s="4">
        <v>1</v>
      </c>
      <c r="O59" s="4">
        <f>IF(Table134[[#This Row],[check]]=1,Table134[[#This Row],[مساحت آدرس]]*Table134[[#This Row],[A0 Inc]],Table134[[#This Row],[A_tree]]*Table134[[#This Row],[اصله مستقل]])</f>
        <v>220</v>
      </c>
      <c r="P59" s="11">
        <f>IF(Table134[[#This Row],[check]]=1,Table134[[#This Row],[A0]]/Table134[[#This Row],[اصله مستقل]],Table134[[#This Row],[A_tree]])</f>
        <v>1.476510067114094</v>
      </c>
    </row>
    <row r="60" spans="2:16" ht="18.600000000000001" x14ac:dyDescent="0.3">
      <c r="B60" s="4" t="s">
        <v>89</v>
      </c>
      <c r="C60" s="4">
        <v>155</v>
      </c>
      <c r="D60" s="4">
        <v>8</v>
      </c>
      <c r="E60" s="4">
        <v>24</v>
      </c>
      <c r="F60" s="4">
        <v>505</v>
      </c>
      <c r="G60" s="2" t="s">
        <v>21</v>
      </c>
      <c r="H60" s="4">
        <v>9</v>
      </c>
      <c r="I60" s="4">
        <f>Table134[[#This Row],[اصله مستقل]]*Table134[[#This Row],[A_tree]]</f>
        <v>72</v>
      </c>
      <c r="J60" s="4">
        <f>IF(Table134[[#This Row],[n * A_tree ]]&gt;Table134[[#This Row],[مساحت آدرس]],1,0)</f>
        <v>0</v>
      </c>
      <c r="K60" s="8">
        <f>IF(Table134[[#This Row],[check]]=1,1,Table134[[#This Row],[A_tree]]*Table134[[#This Row],[اصله مستقل]]/Table134[[#This Row],[مساحت آدرس]])</f>
        <v>0.14257425742574256</v>
      </c>
      <c r="L60" s="14">
        <f>IF(Table134[[#This Row],[check]]=1,1,(Table134[[#This Row],[Psh]]+0.15*(1-Table134[[#This Row],[Psh]])))</f>
        <v>0.27118811881188121</v>
      </c>
      <c r="M60" s="14">
        <f>IF(Table134[[#This Row],[check]]=1,0.65,1)</f>
        <v>1</v>
      </c>
      <c r="N60" s="4">
        <v>1</v>
      </c>
      <c r="O60" s="4">
        <f>IF(Table134[[#This Row],[check]]=1,Table134[[#This Row],[مساحت آدرس]]*Table134[[#This Row],[A0 Inc]],Table134[[#This Row],[A_tree]]*Table134[[#This Row],[اصله مستقل]])</f>
        <v>72</v>
      </c>
      <c r="P60" s="11">
        <f>IF(Table134[[#This Row],[check]]=1,Table134[[#This Row],[A0]]/Table134[[#This Row],[اصله مستقل]],Table134[[#This Row],[A_tree]])</f>
        <v>9</v>
      </c>
    </row>
    <row r="61" spans="2:16" ht="18.600000000000001" x14ac:dyDescent="0.3">
      <c r="B61" s="4" t="s">
        <v>90</v>
      </c>
      <c r="C61" s="4">
        <v>232</v>
      </c>
      <c r="D61" s="4">
        <v>67</v>
      </c>
      <c r="E61" s="4">
        <v>67</v>
      </c>
      <c r="F61" s="4">
        <v>796</v>
      </c>
      <c r="G61" s="2" t="s">
        <v>21</v>
      </c>
      <c r="H61" s="4">
        <v>9</v>
      </c>
      <c r="I61" s="4">
        <f>Table134[[#This Row],[اصله مستقل]]*Table134[[#This Row],[A_tree]]</f>
        <v>603</v>
      </c>
      <c r="J61" s="4">
        <f>IF(Table134[[#This Row],[n * A_tree ]]&gt;Table134[[#This Row],[مساحت آدرس]],1,0)</f>
        <v>0</v>
      </c>
      <c r="K61" s="8">
        <f>IF(Table134[[#This Row],[check]]=1,1,Table134[[#This Row],[A_tree]]*Table134[[#This Row],[اصله مستقل]]/Table134[[#This Row],[مساحت آدرس]])</f>
        <v>0.75753768844221103</v>
      </c>
      <c r="L61" s="14">
        <f>IF(Table134[[#This Row],[check]]=1,1,(Table134[[#This Row],[Psh]]+0.15*(1-Table134[[#This Row],[Psh]])))</f>
        <v>0.79390703517587935</v>
      </c>
      <c r="M61" s="14">
        <f>IF(Table134[[#This Row],[check]]=1,0.65,1)</f>
        <v>1</v>
      </c>
      <c r="N61" s="4">
        <v>1</v>
      </c>
      <c r="O61" s="4">
        <f>IF(Table134[[#This Row],[check]]=1,Table134[[#This Row],[مساحت آدرس]]*Table134[[#This Row],[A0 Inc]],Table134[[#This Row],[A_tree]]*Table134[[#This Row],[اصله مستقل]])</f>
        <v>603</v>
      </c>
      <c r="P61" s="11">
        <f>IF(Table134[[#This Row],[check]]=1,Table134[[#This Row],[A0]]/Table134[[#This Row],[اصله مستقل]],Table134[[#This Row],[A_tree]])</f>
        <v>9</v>
      </c>
    </row>
    <row r="62" spans="2:16" ht="18.600000000000001" x14ac:dyDescent="0.3">
      <c r="B62" s="4" t="s">
        <v>91</v>
      </c>
      <c r="C62" s="4">
        <v>165</v>
      </c>
      <c r="D62" s="4">
        <v>128</v>
      </c>
      <c r="E62" s="4">
        <v>128</v>
      </c>
      <c r="F62" s="4">
        <v>257</v>
      </c>
      <c r="G62" s="2" t="s">
        <v>21</v>
      </c>
      <c r="H62" s="4">
        <v>9</v>
      </c>
      <c r="I62" s="4">
        <f>Table134[[#This Row],[اصله مستقل]]*Table134[[#This Row],[A_tree]]</f>
        <v>1152</v>
      </c>
      <c r="J62" s="4">
        <f>IF(Table134[[#This Row],[n * A_tree ]]&gt;Table134[[#This Row],[مساحت آدرس]],1,0)</f>
        <v>1</v>
      </c>
      <c r="K62" s="8">
        <f>IF(Table134[[#This Row],[check]]=1,1,Table134[[#This Row],[A_tree]]*Table134[[#This Row],[اصله مستقل]]/Table134[[#This Row],[مساحت آدرس]])</f>
        <v>1</v>
      </c>
      <c r="L62" s="14">
        <f>IF(Table134[[#This Row],[check]]=1,1,(Table134[[#This Row],[Psh]]+0.15*(1-Table134[[#This Row],[Psh]])))</f>
        <v>1</v>
      </c>
      <c r="M62" s="14">
        <f>IF(Table134[[#This Row],[check]]=1,0.65,1)</f>
        <v>0.65</v>
      </c>
      <c r="N62" s="4">
        <v>1</v>
      </c>
      <c r="O62" s="4">
        <f>IF(Table134[[#This Row],[check]]=1,Table134[[#This Row],[مساحت آدرس]]*Table134[[#This Row],[A0 Inc]],Table134[[#This Row],[A_tree]]*Table134[[#This Row],[اصله مستقل]])</f>
        <v>257</v>
      </c>
      <c r="P62" s="11">
        <f>IF(Table134[[#This Row],[check]]=1,Table134[[#This Row],[A0]]/Table134[[#This Row],[اصله مستقل]],Table134[[#This Row],[A_tree]])</f>
        <v>2.0078125</v>
      </c>
    </row>
    <row r="63" spans="2:16" ht="18.600000000000001" x14ac:dyDescent="0.3">
      <c r="B63" s="4" t="s">
        <v>92</v>
      </c>
      <c r="C63" s="4">
        <v>234</v>
      </c>
      <c r="D63" s="4">
        <v>145</v>
      </c>
      <c r="E63" s="4">
        <v>145</v>
      </c>
      <c r="F63" s="4">
        <v>263</v>
      </c>
      <c r="G63" s="2" t="s">
        <v>21</v>
      </c>
      <c r="H63" s="4">
        <v>9</v>
      </c>
      <c r="I63" s="4">
        <f>Table134[[#This Row],[اصله مستقل]]*Table134[[#This Row],[A_tree]]</f>
        <v>1305</v>
      </c>
      <c r="J63" s="4">
        <f>IF(Table134[[#This Row],[n * A_tree ]]&gt;Table134[[#This Row],[مساحت آدرس]],1,0)</f>
        <v>1</v>
      </c>
      <c r="K63" s="8">
        <f>IF(Table134[[#This Row],[check]]=1,1,Table134[[#This Row],[A_tree]]*Table134[[#This Row],[اصله مستقل]]/Table134[[#This Row],[مساحت آدرس]])</f>
        <v>1</v>
      </c>
      <c r="L63" s="14">
        <f>IF(Table134[[#This Row],[check]]=1,1,(Table134[[#This Row],[Psh]]+0.15*(1-Table134[[#This Row],[Psh]])))</f>
        <v>1</v>
      </c>
      <c r="M63" s="14">
        <f>IF(Table134[[#This Row],[check]]=1,0.65,1)</f>
        <v>0.65</v>
      </c>
      <c r="N63" s="4">
        <v>1</v>
      </c>
      <c r="O63" s="4">
        <f>IF(Table134[[#This Row],[check]]=1,Table134[[#This Row],[مساحت آدرس]]*Table134[[#This Row],[A0 Inc]],Table134[[#This Row],[A_tree]]*Table134[[#This Row],[اصله مستقل]])</f>
        <v>263</v>
      </c>
      <c r="P63" s="11">
        <f>IF(Table134[[#This Row],[check]]=1,Table134[[#This Row],[A0]]/Table134[[#This Row],[اصله مستقل]],Table134[[#This Row],[A_tree]])</f>
        <v>1.8137931034482759</v>
      </c>
    </row>
    <row r="64" spans="2:16" ht="18.600000000000001" x14ac:dyDescent="0.3">
      <c r="B64" s="4" t="s">
        <v>93</v>
      </c>
      <c r="C64" s="4">
        <v>76</v>
      </c>
      <c r="D64" s="4">
        <v>61</v>
      </c>
      <c r="E64" s="4">
        <v>61</v>
      </c>
      <c r="F64" s="4">
        <v>211</v>
      </c>
      <c r="G64" s="2" t="s">
        <v>21</v>
      </c>
      <c r="H64" s="4">
        <v>9</v>
      </c>
      <c r="I64" s="4">
        <f>Table134[[#This Row],[اصله مستقل]]*Table134[[#This Row],[A_tree]]</f>
        <v>549</v>
      </c>
      <c r="J64" s="4">
        <f>IF(Table134[[#This Row],[n * A_tree ]]&gt;Table134[[#This Row],[مساحت آدرس]],1,0)</f>
        <v>1</v>
      </c>
      <c r="K64" s="8">
        <f>IF(Table134[[#This Row],[check]]=1,1,Table134[[#This Row],[A_tree]]*Table134[[#This Row],[اصله مستقل]]/Table134[[#This Row],[مساحت آدرس]])</f>
        <v>1</v>
      </c>
      <c r="L64" s="14">
        <f>IF(Table134[[#This Row],[check]]=1,1,(Table134[[#This Row],[Psh]]+0.15*(1-Table134[[#This Row],[Psh]])))</f>
        <v>1</v>
      </c>
      <c r="M64" s="14">
        <f>IF(Table134[[#This Row],[check]]=1,0.65,1)</f>
        <v>0.65</v>
      </c>
      <c r="N64" s="4">
        <v>1</v>
      </c>
      <c r="O64" s="4">
        <f>IF(Table134[[#This Row],[check]]=1,Table134[[#This Row],[مساحت آدرس]]*Table134[[#This Row],[A0 Inc]],Table134[[#This Row],[A_tree]]*Table134[[#This Row],[اصله مستقل]])</f>
        <v>211</v>
      </c>
      <c r="P64" s="11">
        <f>IF(Table134[[#This Row],[check]]=1,Table134[[#This Row],[A0]]/Table134[[#This Row],[اصله مستقل]],Table134[[#This Row],[A_tree]])</f>
        <v>3.459016393442623</v>
      </c>
    </row>
    <row r="65" spans="2:16" ht="18.600000000000001" x14ac:dyDescent="0.3">
      <c r="B65" s="4" t="s">
        <v>94</v>
      </c>
      <c r="C65" s="4">
        <v>120</v>
      </c>
      <c r="D65" s="4">
        <v>98</v>
      </c>
      <c r="E65" s="4">
        <v>98</v>
      </c>
      <c r="F65" s="4">
        <v>130</v>
      </c>
      <c r="G65" s="2" t="s">
        <v>21</v>
      </c>
      <c r="H65" s="4">
        <v>9</v>
      </c>
      <c r="I65" s="4">
        <f>Table134[[#This Row],[اصله مستقل]]*Table134[[#This Row],[A_tree]]</f>
        <v>882</v>
      </c>
      <c r="J65" s="4">
        <f>IF(Table134[[#This Row],[n * A_tree ]]&gt;Table134[[#This Row],[مساحت آدرس]],1,0)</f>
        <v>1</v>
      </c>
      <c r="K65" s="8">
        <f>IF(Table134[[#This Row],[check]]=1,1,Table134[[#This Row],[A_tree]]*Table134[[#This Row],[اصله مستقل]]/Table134[[#This Row],[مساحت آدرس]])</f>
        <v>1</v>
      </c>
      <c r="L65" s="14">
        <f>IF(Table134[[#This Row],[check]]=1,1,(Table134[[#This Row],[Psh]]+0.15*(1-Table134[[#This Row],[Psh]])))</f>
        <v>1</v>
      </c>
      <c r="M65" s="14">
        <f>IF(Table134[[#This Row],[check]]=1,0.65,1)</f>
        <v>0.65</v>
      </c>
      <c r="N65" s="4">
        <v>1</v>
      </c>
      <c r="O65" s="4">
        <f>IF(Table134[[#This Row],[check]]=1,Table134[[#This Row],[مساحت آدرس]]*Table134[[#This Row],[A0 Inc]],Table134[[#This Row],[A_tree]]*Table134[[#This Row],[اصله مستقل]])</f>
        <v>130</v>
      </c>
      <c r="P65" s="11">
        <f>IF(Table134[[#This Row],[check]]=1,Table134[[#This Row],[A0]]/Table134[[#This Row],[اصله مستقل]],Table134[[#This Row],[A_tree]])</f>
        <v>1.3265306122448979</v>
      </c>
    </row>
    <row r="66" spans="2:16" ht="18.600000000000001" x14ac:dyDescent="0.3">
      <c r="B66" s="4" t="s">
        <v>95</v>
      </c>
      <c r="C66" s="4">
        <v>206</v>
      </c>
      <c r="D66" s="4">
        <v>132</v>
      </c>
      <c r="E66" s="4">
        <v>132</v>
      </c>
      <c r="F66" s="4">
        <v>267</v>
      </c>
      <c r="G66" s="2" t="s">
        <v>21</v>
      </c>
      <c r="H66" s="4">
        <v>9</v>
      </c>
      <c r="I66" s="4">
        <f>Table134[[#This Row],[اصله مستقل]]*Table134[[#This Row],[A_tree]]</f>
        <v>1188</v>
      </c>
      <c r="J66" s="4">
        <f>IF(Table134[[#This Row],[n * A_tree ]]&gt;Table134[[#This Row],[مساحت آدرس]],1,0)</f>
        <v>1</v>
      </c>
      <c r="K66" s="8">
        <f>IF(Table134[[#This Row],[check]]=1,1,Table134[[#This Row],[A_tree]]*Table134[[#This Row],[اصله مستقل]]/Table134[[#This Row],[مساحت آدرس]])</f>
        <v>1</v>
      </c>
      <c r="L66" s="14">
        <f>IF(Table134[[#This Row],[check]]=1,1,(Table134[[#This Row],[Psh]]+0.15*(1-Table134[[#This Row],[Psh]])))</f>
        <v>1</v>
      </c>
      <c r="M66" s="14">
        <f>IF(Table134[[#This Row],[check]]=1,0.65,1)</f>
        <v>0.65</v>
      </c>
      <c r="N66" s="4">
        <v>1</v>
      </c>
      <c r="O66" s="4">
        <f>IF(Table134[[#This Row],[check]]=1,Table134[[#This Row],[مساحت آدرس]]*Table134[[#This Row],[A0 Inc]],Table134[[#This Row],[A_tree]]*Table134[[#This Row],[اصله مستقل]])</f>
        <v>267</v>
      </c>
      <c r="P66" s="11">
        <f>IF(Table134[[#This Row],[check]]=1,Table134[[#This Row],[A0]]/Table134[[#This Row],[اصله مستقل]],Table134[[#This Row],[A_tree]])</f>
        <v>2.0227272727272729</v>
      </c>
    </row>
    <row r="67" spans="2:16" ht="18.600000000000001" x14ac:dyDescent="0.3">
      <c r="B67" s="4" t="s">
        <v>96</v>
      </c>
      <c r="C67" s="4">
        <v>147</v>
      </c>
      <c r="D67" s="4">
        <v>135</v>
      </c>
      <c r="E67" s="4">
        <v>135</v>
      </c>
      <c r="F67" s="4">
        <v>177</v>
      </c>
      <c r="G67" s="2" t="s">
        <v>21</v>
      </c>
      <c r="H67" s="4">
        <v>9</v>
      </c>
      <c r="I67" s="4">
        <f>Table134[[#This Row],[اصله مستقل]]*Table134[[#This Row],[A_tree]]</f>
        <v>1215</v>
      </c>
      <c r="J67" s="4">
        <f>IF(Table134[[#This Row],[n * A_tree ]]&gt;Table134[[#This Row],[مساحت آدرس]],1,0)</f>
        <v>1</v>
      </c>
      <c r="K67" s="8">
        <f>IF(Table134[[#This Row],[check]]=1,1,Table134[[#This Row],[A_tree]]*Table134[[#This Row],[اصله مستقل]]/Table134[[#This Row],[مساحت آدرس]])</f>
        <v>1</v>
      </c>
      <c r="L67" s="14">
        <f>IF(Table134[[#This Row],[check]]=1,1,(Table134[[#This Row],[Psh]]+0.15*(1-Table134[[#This Row],[Psh]])))</f>
        <v>1</v>
      </c>
      <c r="M67" s="14">
        <f>IF(Table134[[#This Row],[check]]=1,0.65,1)</f>
        <v>0.65</v>
      </c>
      <c r="N67" s="4">
        <v>1</v>
      </c>
      <c r="O67" s="4">
        <f>IF(Table134[[#This Row],[check]]=1,Table134[[#This Row],[مساحت آدرس]]*Table134[[#This Row],[A0 Inc]],Table134[[#This Row],[A_tree]]*Table134[[#This Row],[اصله مستقل]])</f>
        <v>177</v>
      </c>
      <c r="P67" s="11">
        <f>IF(Table134[[#This Row],[check]]=1,Table134[[#This Row],[A0]]/Table134[[#This Row],[اصله مستقل]],Table134[[#This Row],[A_tree]])</f>
        <v>1.3111111111111111</v>
      </c>
    </row>
    <row r="68" spans="2:16" ht="18.600000000000001" x14ac:dyDescent="0.3">
      <c r="B68" s="4" t="s">
        <v>97</v>
      </c>
      <c r="C68" s="4">
        <v>243</v>
      </c>
      <c r="D68" s="4">
        <v>168</v>
      </c>
      <c r="E68" s="4">
        <v>264</v>
      </c>
      <c r="F68" s="4">
        <v>423</v>
      </c>
      <c r="G68" s="2" t="s">
        <v>21</v>
      </c>
      <c r="H68" s="4">
        <v>9</v>
      </c>
      <c r="I68" s="4">
        <f>Table134[[#This Row],[اصله مستقل]]*Table134[[#This Row],[A_tree]]</f>
        <v>1512</v>
      </c>
      <c r="J68" s="4">
        <f>IF(Table134[[#This Row],[n * A_tree ]]&gt;Table134[[#This Row],[مساحت آدرس]],1,0)</f>
        <v>1</v>
      </c>
      <c r="K68" s="8">
        <f>IF(Table134[[#This Row],[check]]=1,1,Table134[[#This Row],[A_tree]]*Table134[[#This Row],[اصله مستقل]]/Table134[[#This Row],[مساحت آدرس]])</f>
        <v>1</v>
      </c>
      <c r="L68" s="14">
        <f>IF(Table134[[#This Row],[check]]=1,1,(Table134[[#This Row],[Psh]]+0.15*(1-Table134[[#This Row],[Psh]])))</f>
        <v>1</v>
      </c>
      <c r="M68" s="14">
        <f>IF(Table134[[#This Row],[check]]=1,0.65,1)</f>
        <v>0.65</v>
      </c>
      <c r="N68" s="4">
        <v>1</v>
      </c>
      <c r="O68" s="4">
        <f>IF(Table134[[#This Row],[check]]=1,Table134[[#This Row],[مساحت آدرس]]*Table134[[#This Row],[A0 Inc]],Table134[[#This Row],[A_tree]]*Table134[[#This Row],[اصله مستقل]])</f>
        <v>423</v>
      </c>
      <c r="P68" s="11">
        <f>IF(Table134[[#This Row],[check]]=1,Table134[[#This Row],[A0]]/Table134[[#This Row],[اصله مستقل]],Table134[[#This Row],[A_tree]])</f>
        <v>2.5178571428571428</v>
      </c>
    </row>
    <row r="69" spans="2:16" ht="18.600000000000001" x14ac:dyDescent="0.3">
      <c r="B69" s="4" t="s">
        <v>98</v>
      </c>
      <c r="C69" s="4">
        <v>145</v>
      </c>
      <c r="D69" s="4">
        <v>86</v>
      </c>
      <c r="E69" s="4">
        <v>112</v>
      </c>
      <c r="F69" s="4">
        <v>215</v>
      </c>
      <c r="G69" s="2" t="s">
        <v>21</v>
      </c>
      <c r="H69" s="4">
        <v>9</v>
      </c>
      <c r="I69" s="4">
        <f>Table134[[#This Row],[اصله مستقل]]*Table134[[#This Row],[A_tree]]</f>
        <v>774</v>
      </c>
      <c r="J69" s="4">
        <f>IF(Table134[[#This Row],[n * A_tree ]]&gt;Table134[[#This Row],[مساحت آدرس]],1,0)</f>
        <v>1</v>
      </c>
      <c r="K69" s="8">
        <f>IF(Table134[[#This Row],[check]]=1,1,Table134[[#This Row],[A_tree]]*Table134[[#This Row],[اصله مستقل]]/Table134[[#This Row],[مساحت آدرس]])</f>
        <v>1</v>
      </c>
      <c r="L69" s="14">
        <f>IF(Table134[[#This Row],[check]]=1,1,(Table134[[#This Row],[Psh]]+0.15*(1-Table134[[#This Row],[Psh]])))</f>
        <v>1</v>
      </c>
      <c r="M69" s="14">
        <f>IF(Table134[[#This Row],[check]]=1,0.65,1)</f>
        <v>0.65</v>
      </c>
      <c r="N69" s="4">
        <v>1</v>
      </c>
      <c r="O69" s="4">
        <f>IF(Table134[[#This Row],[check]]=1,Table134[[#This Row],[مساحت آدرس]]*Table134[[#This Row],[A0 Inc]],Table134[[#This Row],[A_tree]]*Table134[[#This Row],[اصله مستقل]])</f>
        <v>215</v>
      </c>
      <c r="P69" s="11">
        <f>IF(Table134[[#This Row],[check]]=1,Table134[[#This Row],[A0]]/Table134[[#This Row],[اصله مستقل]],Table134[[#This Row],[A_tree]])</f>
        <v>2.5</v>
      </c>
    </row>
    <row r="70" spans="2:16" ht="18.600000000000001" x14ac:dyDescent="0.3">
      <c r="B70" s="4" t="s">
        <v>99</v>
      </c>
      <c r="C70" s="4">
        <v>78</v>
      </c>
      <c r="D70" s="4">
        <v>61</v>
      </c>
      <c r="E70" s="4">
        <v>80</v>
      </c>
      <c r="F70" s="4">
        <v>109</v>
      </c>
      <c r="G70" s="2" t="s">
        <v>21</v>
      </c>
      <c r="H70" s="4">
        <v>9</v>
      </c>
      <c r="I70" s="4">
        <f>Table134[[#This Row],[اصله مستقل]]*Table134[[#This Row],[A_tree]]</f>
        <v>549</v>
      </c>
      <c r="J70" s="4">
        <f>IF(Table134[[#This Row],[n * A_tree ]]&gt;Table134[[#This Row],[مساحت آدرس]],1,0)</f>
        <v>1</v>
      </c>
      <c r="K70" s="8">
        <f>IF(Table134[[#This Row],[check]]=1,1,Table134[[#This Row],[A_tree]]*Table134[[#This Row],[اصله مستقل]]/Table134[[#This Row],[مساحت آدرس]])</f>
        <v>1</v>
      </c>
      <c r="L70" s="14">
        <f>IF(Table134[[#This Row],[check]]=1,1,(Table134[[#This Row],[Psh]]+0.15*(1-Table134[[#This Row],[Psh]])))</f>
        <v>1</v>
      </c>
      <c r="M70" s="14">
        <f>IF(Table134[[#This Row],[check]]=1,0.65,1)</f>
        <v>0.65</v>
      </c>
      <c r="N70" s="4">
        <v>1</v>
      </c>
      <c r="O70" s="4">
        <f>IF(Table134[[#This Row],[check]]=1,Table134[[#This Row],[مساحت آدرس]]*Table134[[#This Row],[A0 Inc]],Table134[[#This Row],[A_tree]]*Table134[[#This Row],[اصله مستقل]])</f>
        <v>109</v>
      </c>
      <c r="P70" s="11">
        <f>IF(Table134[[#This Row],[check]]=1,Table134[[#This Row],[A0]]/Table134[[#This Row],[اصله مستقل]],Table134[[#This Row],[A_tree]])</f>
        <v>1.7868852459016393</v>
      </c>
    </row>
    <row r="71" spans="2:16" ht="18.600000000000001" x14ac:dyDescent="0.3">
      <c r="B71" s="4" t="s">
        <v>100</v>
      </c>
      <c r="C71" s="4">
        <v>145</v>
      </c>
      <c r="D71" s="4">
        <v>109</v>
      </c>
      <c r="E71" s="4">
        <v>132</v>
      </c>
      <c r="F71" s="4">
        <v>215</v>
      </c>
      <c r="G71" s="2" t="s">
        <v>21</v>
      </c>
      <c r="H71" s="4">
        <v>9</v>
      </c>
      <c r="I71" s="4">
        <f>Table134[[#This Row],[اصله مستقل]]*Table134[[#This Row],[A_tree]]</f>
        <v>981</v>
      </c>
      <c r="J71" s="4">
        <f>IF(Table134[[#This Row],[n * A_tree ]]&gt;Table134[[#This Row],[مساحت آدرس]],1,0)</f>
        <v>1</v>
      </c>
      <c r="K71" s="8">
        <f>IF(Table134[[#This Row],[check]]=1,1,Table134[[#This Row],[A_tree]]*Table134[[#This Row],[اصله مستقل]]/Table134[[#This Row],[مساحت آدرس]])</f>
        <v>1</v>
      </c>
      <c r="L71" s="14">
        <f>IF(Table134[[#This Row],[check]]=1,1,(Table134[[#This Row],[Psh]]+0.15*(1-Table134[[#This Row],[Psh]])))</f>
        <v>1</v>
      </c>
      <c r="M71" s="14">
        <f>IF(Table134[[#This Row],[check]]=1,0.65,1)</f>
        <v>0.65</v>
      </c>
      <c r="N71" s="4">
        <v>1</v>
      </c>
      <c r="O71" s="4">
        <f>IF(Table134[[#This Row],[check]]=1,Table134[[#This Row],[مساحت آدرس]]*Table134[[#This Row],[A0 Inc]],Table134[[#This Row],[A_tree]]*Table134[[#This Row],[اصله مستقل]])</f>
        <v>215</v>
      </c>
      <c r="P71" s="11">
        <f>IF(Table134[[#This Row],[check]]=1,Table134[[#This Row],[A0]]/Table134[[#This Row],[اصله مستقل]],Table134[[#This Row],[A_tree]])</f>
        <v>1.9724770642201834</v>
      </c>
    </row>
    <row r="72" spans="2:16" ht="18.600000000000001" x14ac:dyDescent="0.3">
      <c r="B72" s="4" t="s">
        <v>101</v>
      </c>
      <c r="C72" s="4">
        <v>104</v>
      </c>
      <c r="D72" s="4">
        <v>89</v>
      </c>
      <c r="E72" s="4">
        <v>135</v>
      </c>
      <c r="F72" s="4">
        <v>162</v>
      </c>
      <c r="G72" s="2" t="s">
        <v>21</v>
      </c>
      <c r="H72" s="4">
        <v>9</v>
      </c>
      <c r="I72" s="4">
        <f>Table134[[#This Row],[اصله مستقل]]*Table134[[#This Row],[A_tree]]</f>
        <v>801</v>
      </c>
      <c r="J72" s="4">
        <f>IF(Table134[[#This Row],[n * A_tree ]]&gt;Table134[[#This Row],[مساحت آدرس]],1,0)</f>
        <v>1</v>
      </c>
      <c r="K72" s="8">
        <f>IF(Table134[[#This Row],[check]]=1,1,Table134[[#This Row],[A_tree]]*Table134[[#This Row],[اصله مستقل]]/Table134[[#This Row],[مساحت آدرس]])</f>
        <v>1</v>
      </c>
      <c r="L72" s="14">
        <f>IF(Table134[[#This Row],[check]]=1,1,(Table134[[#This Row],[Psh]]+0.15*(1-Table134[[#This Row],[Psh]])))</f>
        <v>1</v>
      </c>
      <c r="M72" s="14">
        <f>IF(Table134[[#This Row],[check]]=1,0.65,1)</f>
        <v>0.65</v>
      </c>
      <c r="N72" s="4">
        <v>1</v>
      </c>
      <c r="O72" s="4">
        <f>IF(Table134[[#This Row],[check]]=1,Table134[[#This Row],[مساحت آدرس]]*Table134[[#This Row],[A0 Inc]],Table134[[#This Row],[A_tree]]*Table134[[#This Row],[اصله مستقل]])</f>
        <v>162</v>
      </c>
      <c r="P72" s="11">
        <f>IF(Table134[[#This Row],[check]]=1,Table134[[#This Row],[A0]]/Table134[[#This Row],[اصله مستقل]],Table134[[#This Row],[A_tree]])</f>
        <v>1.8202247191011236</v>
      </c>
    </row>
    <row r="73" spans="2:16" ht="18.600000000000001" x14ac:dyDescent="0.3">
      <c r="B73" s="4" t="s">
        <v>102</v>
      </c>
      <c r="C73" s="4">
        <v>264</v>
      </c>
      <c r="D73" s="4">
        <v>216</v>
      </c>
      <c r="E73" s="4">
        <v>216</v>
      </c>
      <c r="F73" s="4">
        <v>337</v>
      </c>
      <c r="G73" s="2" t="s">
        <v>21</v>
      </c>
      <c r="H73" s="4">
        <v>9</v>
      </c>
      <c r="I73" s="4">
        <f>Table134[[#This Row],[اصله مستقل]]*Table134[[#This Row],[A_tree]]</f>
        <v>1944</v>
      </c>
      <c r="J73" s="4">
        <f>IF(Table134[[#This Row],[n * A_tree ]]&gt;Table134[[#This Row],[مساحت آدرس]],1,0)</f>
        <v>1</v>
      </c>
      <c r="K73" s="8">
        <f>IF(Table134[[#This Row],[check]]=1,1,Table134[[#This Row],[A_tree]]*Table134[[#This Row],[اصله مستقل]]/Table134[[#This Row],[مساحت آدرس]])</f>
        <v>1</v>
      </c>
      <c r="L73" s="14">
        <f>IF(Table134[[#This Row],[check]]=1,1,(Table134[[#This Row],[Psh]]+0.15*(1-Table134[[#This Row],[Psh]])))</f>
        <v>1</v>
      </c>
      <c r="M73" s="14">
        <f>IF(Table134[[#This Row],[check]]=1,0.65,1)</f>
        <v>0.65</v>
      </c>
      <c r="N73" s="4">
        <v>1</v>
      </c>
      <c r="O73" s="4">
        <f>IF(Table134[[#This Row],[check]]=1,Table134[[#This Row],[مساحت آدرس]]*Table134[[#This Row],[A0 Inc]],Table134[[#This Row],[A_tree]]*Table134[[#This Row],[اصله مستقل]])</f>
        <v>337</v>
      </c>
      <c r="P73" s="11">
        <f>IF(Table134[[#This Row],[check]]=1,Table134[[#This Row],[A0]]/Table134[[#This Row],[اصله مستقل]],Table134[[#This Row],[A_tree]])</f>
        <v>1.5601851851851851</v>
      </c>
    </row>
    <row r="74" spans="2:16" ht="18.600000000000001" x14ac:dyDescent="0.3">
      <c r="B74" s="4" t="s">
        <v>103</v>
      </c>
      <c r="C74" s="4">
        <v>318</v>
      </c>
      <c r="D74" s="4">
        <v>201</v>
      </c>
      <c r="E74" s="4">
        <v>201</v>
      </c>
      <c r="F74" s="4">
        <v>438</v>
      </c>
      <c r="G74" s="2" t="s">
        <v>21</v>
      </c>
      <c r="H74" s="4">
        <v>9</v>
      </c>
      <c r="I74" s="4">
        <f>Table134[[#This Row],[اصله مستقل]]*Table134[[#This Row],[A_tree]]</f>
        <v>1809</v>
      </c>
      <c r="J74" s="4">
        <f>IF(Table134[[#This Row],[n * A_tree ]]&gt;Table134[[#This Row],[مساحت آدرس]],1,0)</f>
        <v>1</v>
      </c>
      <c r="K74" s="8">
        <f>IF(Table134[[#This Row],[check]]=1,1,Table134[[#This Row],[A_tree]]*Table134[[#This Row],[اصله مستقل]]/Table134[[#This Row],[مساحت آدرس]])</f>
        <v>1</v>
      </c>
      <c r="L74" s="14">
        <f>IF(Table134[[#This Row],[check]]=1,1,(Table134[[#This Row],[Psh]]+0.15*(1-Table134[[#This Row],[Psh]])))</f>
        <v>1</v>
      </c>
      <c r="M74" s="14">
        <f>IF(Table134[[#This Row],[check]]=1,0.65,1)</f>
        <v>0.65</v>
      </c>
      <c r="N74" s="4">
        <v>1</v>
      </c>
      <c r="O74" s="4">
        <f>IF(Table134[[#This Row],[check]]=1,Table134[[#This Row],[مساحت آدرس]]*Table134[[#This Row],[A0 Inc]],Table134[[#This Row],[A_tree]]*Table134[[#This Row],[اصله مستقل]])</f>
        <v>438</v>
      </c>
      <c r="P74" s="11">
        <f>IF(Table134[[#This Row],[check]]=1,Table134[[#This Row],[A0]]/Table134[[#This Row],[اصله مستقل]],Table134[[#This Row],[A_tree]])</f>
        <v>2.1791044776119404</v>
      </c>
    </row>
    <row r="75" spans="2:16" ht="18.600000000000001" x14ac:dyDescent="0.3">
      <c r="B75" s="4" t="s">
        <v>104</v>
      </c>
      <c r="C75" s="4">
        <v>365</v>
      </c>
      <c r="D75" s="4">
        <v>145</v>
      </c>
      <c r="E75" s="4">
        <v>145</v>
      </c>
      <c r="F75" s="4">
        <v>1110</v>
      </c>
      <c r="G75" s="2" t="s">
        <v>21</v>
      </c>
      <c r="H75" s="4">
        <v>9</v>
      </c>
      <c r="I75" s="4">
        <f>Table134[[#This Row],[اصله مستقل]]*Table134[[#This Row],[A_tree]]</f>
        <v>1305</v>
      </c>
      <c r="J75" s="4">
        <f>IF(Table134[[#This Row],[n * A_tree ]]&gt;Table134[[#This Row],[مساحت آدرس]],1,0)</f>
        <v>1</v>
      </c>
      <c r="K75" s="8">
        <f>IF(Table134[[#This Row],[check]]=1,1,Table134[[#This Row],[A_tree]]*Table134[[#This Row],[اصله مستقل]]/Table134[[#This Row],[مساحت آدرس]])</f>
        <v>1</v>
      </c>
      <c r="L75" s="14">
        <f>IF(Table134[[#This Row],[check]]=1,1,(Table134[[#This Row],[Psh]]+0.15*(1-Table134[[#This Row],[Psh]])))</f>
        <v>1</v>
      </c>
      <c r="M75" s="14">
        <f>IF(Table134[[#This Row],[check]]=1,0.65,1)</f>
        <v>0.65</v>
      </c>
      <c r="N75" s="4">
        <v>1</v>
      </c>
      <c r="O75" s="4">
        <f>IF(Table134[[#This Row],[check]]=1,Table134[[#This Row],[مساحت آدرس]]*Table134[[#This Row],[A0 Inc]],Table134[[#This Row],[A_tree]]*Table134[[#This Row],[اصله مستقل]])</f>
        <v>1110</v>
      </c>
      <c r="P75" s="11">
        <f>IF(Table134[[#This Row],[check]]=1,Table134[[#This Row],[A0]]/Table134[[#This Row],[اصله مستقل]],Table134[[#This Row],[A_tree]])</f>
        <v>7.6551724137931032</v>
      </c>
    </row>
    <row r="76" spans="2:16" ht="18.600000000000001" x14ac:dyDescent="0.3">
      <c r="B76" s="4" t="s">
        <v>105</v>
      </c>
      <c r="C76" s="4">
        <v>273</v>
      </c>
      <c r="D76" s="4">
        <v>142</v>
      </c>
      <c r="E76" s="4">
        <v>142</v>
      </c>
      <c r="F76" s="4">
        <v>426</v>
      </c>
      <c r="G76" s="2" t="s">
        <v>21</v>
      </c>
      <c r="H76" s="4">
        <v>9</v>
      </c>
      <c r="I76" s="4">
        <f>Table134[[#This Row],[اصله مستقل]]*Table134[[#This Row],[A_tree]]</f>
        <v>1278</v>
      </c>
      <c r="J76" s="4">
        <f>IF(Table134[[#This Row],[n * A_tree ]]&gt;Table134[[#This Row],[مساحت آدرس]],1,0)</f>
        <v>1</v>
      </c>
      <c r="K76" s="8">
        <f>IF(Table134[[#This Row],[check]]=1,1,Table134[[#This Row],[A_tree]]*Table134[[#This Row],[اصله مستقل]]/Table134[[#This Row],[مساحت آدرس]])</f>
        <v>1</v>
      </c>
      <c r="L76" s="14">
        <f>IF(Table134[[#This Row],[check]]=1,1,(Table134[[#This Row],[Psh]]+0.15*(1-Table134[[#This Row],[Psh]])))</f>
        <v>1</v>
      </c>
      <c r="M76" s="14">
        <f>IF(Table134[[#This Row],[check]]=1,0.65,1)</f>
        <v>0.65</v>
      </c>
      <c r="N76" s="4">
        <v>1</v>
      </c>
      <c r="O76" s="4">
        <f>IF(Table134[[#This Row],[check]]=1,Table134[[#This Row],[مساحت آدرس]]*Table134[[#This Row],[A0 Inc]],Table134[[#This Row],[A_tree]]*Table134[[#This Row],[اصله مستقل]])</f>
        <v>426</v>
      </c>
      <c r="P76" s="11">
        <f>IF(Table134[[#This Row],[check]]=1,Table134[[#This Row],[A0]]/Table134[[#This Row],[اصله مستقل]],Table134[[#This Row],[A_tree]])</f>
        <v>3</v>
      </c>
    </row>
    <row r="77" spans="2:16" ht="18.600000000000001" x14ac:dyDescent="0.3">
      <c r="B77" s="4" t="s">
        <v>106</v>
      </c>
      <c r="C77" s="4">
        <v>112</v>
      </c>
      <c r="D77" s="4">
        <v>30</v>
      </c>
      <c r="E77" s="4">
        <v>30</v>
      </c>
      <c r="F77" s="4">
        <v>118</v>
      </c>
      <c r="G77" s="2" t="s">
        <v>21</v>
      </c>
      <c r="H77" s="4">
        <v>9</v>
      </c>
      <c r="I77" s="4">
        <f>Table134[[#This Row],[اصله مستقل]]*Table134[[#This Row],[A_tree]]</f>
        <v>270</v>
      </c>
      <c r="J77" s="4">
        <f>IF(Table134[[#This Row],[n * A_tree ]]&gt;Table134[[#This Row],[مساحت آدرس]],1,0)</f>
        <v>1</v>
      </c>
      <c r="K77" s="8">
        <f>IF(Table134[[#This Row],[check]]=1,1,Table134[[#This Row],[A_tree]]*Table134[[#This Row],[اصله مستقل]]/Table134[[#This Row],[مساحت آدرس]])</f>
        <v>1</v>
      </c>
      <c r="L77" s="14">
        <f>IF(Table134[[#This Row],[check]]=1,1,(Table134[[#This Row],[Psh]]+0.15*(1-Table134[[#This Row],[Psh]])))</f>
        <v>1</v>
      </c>
      <c r="M77" s="14">
        <f>IF(Table134[[#This Row],[check]]=1,0.65,1)</f>
        <v>0.65</v>
      </c>
      <c r="N77" s="4">
        <v>1</v>
      </c>
      <c r="O77" s="4">
        <f>IF(Table134[[#This Row],[check]]=1,Table134[[#This Row],[مساحت آدرس]]*Table134[[#This Row],[A0 Inc]],Table134[[#This Row],[A_tree]]*Table134[[#This Row],[اصله مستقل]])</f>
        <v>118</v>
      </c>
      <c r="P77" s="11">
        <f>IF(Table134[[#This Row],[check]]=1,Table134[[#This Row],[A0]]/Table134[[#This Row],[اصله مستقل]],Table134[[#This Row],[A_tree]])</f>
        <v>3.9333333333333331</v>
      </c>
    </row>
    <row r="78" spans="2:16" ht="18.600000000000001" x14ac:dyDescent="0.3">
      <c r="B78" s="4" t="s">
        <v>107</v>
      </c>
      <c r="C78" s="4">
        <v>53</v>
      </c>
      <c r="D78" s="4">
        <v>1</v>
      </c>
      <c r="E78" s="4">
        <v>1</v>
      </c>
      <c r="F78" s="4">
        <v>155</v>
      </c>
      <c r="G78" s="2" t="s">
        <v>21</v>
      </c>
      <c r="H78" s="4">
        <v>9</v>
      </c>
      <c r="I78" s="4">
        <f>Table134[[#This Row],[اصله مستقل]]*Table134[[#This Row],[A_tree]]</f>
        <v>9</v>
      </c>
      <c r="J78" s="4">
        <f>IF(Table134[[#This Row],[n * A_tree ]]&gt;Table134[[#This Row],[مساحت آدرس]],1,0)</f>
        <v>0</v>
      </c>
      <c r="K78" s="8">
        <f>IF(Table134[[#This Row],[check]]=1,1,Table134[[#This Row],[A_tree]]*Table134[[#This Row],[اصله مستقل]]/Table134[[#This Row],[مساحت آدرس]])</f>
        <v>5.8064516129032261E-2</v>
      </c>
      <c r="L78" s="14">
        <f>IF(Table134[[#This Row],[check]]=1,1,(Table134[[#This Row],[Psh]]+0.15*(1-Table134[[#This Row],[Psh]])))</f>
        <v>0.19935483870967741</v>
      </c>
      <c r="M78" s="14">
        <f>IF(Table134[[#This Row],[check]]=1,0.65,1)</f>
        <v>1</v>
      </c>
      <c r="N78" s="4">
        <v>1</v>
      </c>
      <c r="O78" s="4">
        <f>IF(Table134[[#This Row],[check]]=1,Table134[[#This Row],[مساحت آدرس]]*Table134[[#This Row],[A0 Inc]],Table134[[#This Row],[A_tree]]*Table134[[#This Row],[اصله مستقل]])</f>
        <v>9</v>
      </c>
      <c r="P78" s="11">
        <f>IF(Table134[[#This Row],[check]]=1,Table134[[#This Row],[A0]]/Table134[[#This Row],[اصله مستقل]],Table134[[#This Row],[A_tree]])</f>
        <v>9</v>
      </c>
    </row>
    <row r="79" spans="2:16" ht="18.600000000000001" x14ac:dyDescent="0.3">
      <c r="B79" s="4" t="s">
        <v>108</v>
      </c>
      <c r="C79" s="4">
        <v>48</v>
      </c>
      <c r="D79" s="4">
        <v>35</v>
      </c>
      <c r="E79" s="4">
        <v>35</v>
      </c>
      <c r="F79" s="4">
        <v>75</v>
      </c>
      <c r="G79" s="2" t="s">
        <v>21</v>
      </c>
      <c r="H79" s="4">
        <v>9</v>
      </c>
      <c r="I79" s="4">
        <f>Table134[[#This Row],[اصله مستقل]]*Table134[[#This Row],[A_tree]]</f>
        <v>315</v>
      </c>
      <c r="J79" s="4">
        <f>IF(Table134[[#This Row],[n * A_tree ]]&gt;Table134[[#This Row],[مساحت آدرس]],1,0)</f>
        <v>1</v>
      </c>
      <c r="K79" s="8">
        <f>IF(Table134[[#This Row],[check]]=1,1,Table134[[#This Row],[A_tree]]*Table134[[#This Row],[اصله مستقل]]/Table134[[#This Row],[مساحت آدرس]])</f>
        <v>1</v>
      </c>
      <c r="L79" s="14">
        <f>IF(Table134[[#This Row],[check]]=1,1,(Table134[[#This Row],[Psh]]+0.15*(1-Table134[[#This Row],[Psh]])))</f>
        <v>1</v>
      </c>
      <c r="M79" s="14">
        <f>IF(Table134[[#This Row],[check]]=1,0.65,1)</f>
        <v>0.65</v>
      </c>
      <c r="N79" s="4">
        <v>1</v>
      </c>
      <c r="O79" s="4">
        <f>IF(Table134[[#This Row],[check]]=1,Table134[[#This Row],[مساحت آدرس]]*Table134[[#This Row],[A0 Inc]],Table134[[#This Row],[A_tree]]*Table134[[#This Row],[اصله مستقل]])</f>
        <v>75</v>
      </c>
      <c r="P79" s="11">
        <f>IF(Table134[[#This Row],[check]]=1,Table134[[#This Row],[A0]]/Table134[[#This Row],[اصله مستقل]],Table134[[#This Row],[A_tree]])</f>
        <v>2.1428571428571428</v>
      </c>
    </row>
    <row r="80" spans="2:16" ht="18.600000000000001" x14ac:dyDescent="0.3">
      <c r="B80" s="4" t="s">
        <v>109</v>
      </c>
      <c r="C80" s="4">
        <v>265</v>
      </c>
      <c r="D80" s="4">
        <v>168</v>
      </c>
      <c r="E80" s="4">
        <v>225</v>
      </c>
      <c r="F80" s="4">
        <v>486</v>
      </c>
      <c r="G80" s="2" t="s">
        <v>21</v>
      </c>
      <c r="H80" s="4">
        <v>9</v>
      </c>
      <c r="I80" s="4">
        <f>Table134[[#This Row],[اصله مستقل]]*Table134[[#This Row],[A_tree]]</f>
        <v>1512</v>
      </c>
      <c r="J80" s="4">
        <f>IF(Table134[[#This Row],[n * A_tree ]]&gt;Table134[[#This Row],[مساحت آدرس]],1,0)</f>
        <v>1</v>
      </c>
      <c r="K80" s="8">
        <f>IF(Table134[[#This Row],[check]]=1,1,Table134[[#This Row],[A_tree]]*Table134[[#This Row],[اصله مستقل]]/Table134[[#This Row],[مساحت آدرس]])</f>
        <v>1</v>
      </c>
      <c r="L80" s="14">
        <f>IF(Table134[[#This Row],[check]]=1,1,(Table134[[#This Row],[Psh]]+0.15*(1-Table134[[#This Row],[Psh]])))</f>
        <v>1</v>
      </c>
      <c r="M80" s="14">
        <f>IF(Table134[[#This Row],[check]]=1,0.65,1)</f>
        <v>0.65</v>
      </c>
      <c r="N80" s="4">
        <v>1</v>
      </c>
      <c r="O80" s="4">
        <f>IF(Table134[[#This Row],[check]]=1,Table134[[#This Row],[مساحت آدرس]]*Table134[[#This Row],[A0 Inc]],Table134[[#This Row],[A_tree]]*Table134[[#This Row],[اصله مستقل]])</f>
        <v>486</v>
      </c>
      <c r="P80" s="11">
        <f>IF(Table134[[#This Row],[check]]=1,Table134[[#This Row],[A0]]/Table134[[#This Row],[اصله مستقل]],Table134[[#This Row],[A_tree]])</f>
        <v>2.8928571428571428</v>
      </c>
    </row>
    <row r="81" spans="2:16" ht="18.600000000000001" x14ac:dyDescent="0.3">
      <c r="B81" s="4" t="s">
        <v>110</v>
      </c>
      <c r="C81" s="4">
        <v>146</v>
      </c>
      <c r="D81" s="4">
        <v>99</v>
      </c>
      <c r="E81" s="4">
        <v>99</v>
      </c>
      <c r="F81" s="4">
        <v>263</v>
      </c>
      <c r="G81" s="2" t="s">
        <v>21</v>
      </c>
      <c r="H81" s="4">
        <v>9</v>
      </c>
      <c r="I81" s="4">
        <f>Table134[[#This Row],[اصله مستقل]]*Table134[[#This Row],[A_tree]]</f>
        <v>891</v>
      </c>
      <c r="J81" s="4">
        <f>IF(Table134[[#This Row],[n * A_tree ]]&gt;Table134[[#This Row],[مساحت آدرس]],1,0)</f>
        <v>1</v>
      </c>
      <c r="K81" s="8">
        <f>IF(Table134[[#This Row],[check]]=1,1,Table134[[#This Row],[A_tree]]*Table134[[#This Row],[اصله مستقل]]/Table134[[#This Row],[مساحت آدرس]])</f>
        <v>1</v>
      </c>
      <c r="L81" s="14">
        <f>IF(Table134[[#This Row],[check]]=1,1,(Table134[[#This Row],[Psh]]+0.15*(1-Table134[[#This Row],[Psh]])))</f>
        <v>1</v>
      </c>
      <c r="M81" s="14">
        <f>IF(Table134[[#This Row],[check]]=1,0.65,1)</f>
        <v>0.65</v>
      </c>
      <c r="N81" s="4">
        <v>1</v>
      </c>
      <c r="O81" s="4">
        <f>IF(Table134[[#This Row],[check]]=1,Table134[[#This Row],[مساحت آدرس]]*Table134[[#This Row],[A0 Inc]],Table134[[#This Row],[A_tree]]*Table134[[#This Row],[اصله مستقل]])</f>
        <v>263</v>
      </c>
      <c r="P81" s="11">
        <f>IF(Table134[[#This Row],[check]]=1,Table134[[#This Row],[A0]]/Table134[[#This Row],[اصله مستقل]],Table134[[#This Row],[A_tree]])</f>
        <v>2.6565656565656566</v>
      </c>
    </row>
    <row r="82" spans="2:16" ht="18.600000000000001" x14ac:dyDescent="0.3">
      <c r="B82" s="4" t="s">
        <v>111</v>
      </c>
      <c r="C82" s="4">
        <v>22</v>
      </c>
      <c r="D82" s="4">
        <v>32</v>
      </c>
      <c r="E82" s="4">
        <v>32</v>
      </c>
      <c r="F82" s="4">
        <v>36</v>
      </c>
      <c r="G82" s="2" t="s">
        <v>21</v>
      </c>
      <c r="H82" s="4">
        <v>9</v>
      </c>
      <c r="I82" s="4">
        <f>Table134[[#This Row],[اصله مستقل]]*Table134[[#This Row],[A_tree]]</f>
        <v>288</v>
      </c>
      <c r="J82" s="4">
        <f>IF(Table134[[#This Row],[n * A_tree ]]&gt;Table134[[#This Row],[مساحت آدرس]],1,0)</f>
        <v>1</v>
      </c>
      <c r="K82" s="8">
        <f>IF(Table134[[#This Row],[check]]=1,1,Table134[[#This Row],[A_tree]]*Table134[[#This Row],[اصله مستقل]]/Table134[[#This Row],[مساحت آدرس]])</f>
        <v>1</v>
      </c>
      <c r="L82" s="14">
        <f>IF(Table134[[#This Row],[check]]=1,1,(Table134[[#This Row],[Psh]]+0.15*(1-Table134[[#This Row],[Psh]])))</f>
        <v>1</v>
      </c>
      <c r="M82" s="14">
        <f>IF(Table134[[#This Row],[check]]=1,0.65,1)</f>
        <v>0.65</v>
      </c>
      <c r="N82" s="4">
        <v>1</v>
      </c>
      <c r="O82" s="4">
        <f>IF(Table134[[#This Row],[check]]=1,Table134[[#This Row],[مساحت آدرس]]*Table134[[#This Row],[A0 Inc]],Table134[[#This Row],[A_tree]]*Table134[[#This Row],[اصله مستقل]])</f>
        <v>36</v>
      </c>
      <c r="P82" s="11">
        <f>IF(Table134[[#This Row],[check]]=1,Table134[[#This Row],[A0]]/Table134[[#This Row],[اصله مستقل]],Table134[[#This Row],[A_tree]])</f>
        <v>1.125</v>
      </c>
    </row>
    <row r="83" spans="2:16" ht="18.600000000000001" x14ac:dyDescent="0.3">
      <c r="B83" s="4" t="s">
        <v>112</v>
      </c>
      <c r="C83" s="4">
        <v>285</v>
      </c>
      <c r="D83" s="4">
        <v>213</v>
      </c>
      <c r="E83" s="4">
        <v>213</v>
      </c>
      <c r="F83" s="4">
        <v>331</v>
      </c>
      <c r="G83" s="2" t="s">
        <v>21</v>
      </c>
      <c r="H83" s="4">
        <v>9</v>
      </c>
      <c r="I83" s="4">
        <f>Table134[[#This Row],[اصله مستقل]]*Table134[[#This Row],[A_tree]]</f>
        <v>1917</v>
      </c>
      <c r="J83" s="4">
        <f>IF(Table134[[#This Row],[n * A_tree ]]&gt;Table134[[#This Row],[مساحت آدرس]],1,0)</f>
        <v>1</v>
      </c>
      <c r="K83" s="8">
        <f>IF(Table134[[#This Row],[check]]=1,1,Table134[[#This Row],[A_tree]]*Table134[[#This Row],[اصله مستقل]]/Table134[[#This Row],[مساحت آدرس]])</f>
        <v>1</v>
      </c>
      <c r="L83" s="14">
        <f>IF(Table134[[#This Row],[check]]=1,1,(Table134[[#This Row],[Psh]]+0.15*(1-Table134[[#This Row],[Psh]])))</f>
        <v>1</v>
      </c>
      <c r="M83" s="14">
        <f>IF(Table134[[#This Row],[check]]=1,0.65,1)</f>
        <v>0.65</v>
      </c>
      <c r="N83" s="4">
        <v>1</v>
      </c>
      <c r="O83" s="4">
        <f>IF(Table134[[#This Row],[check]]=1,Table134[[#This Row],[مساحت آدرس]]*Table134[[#This Row],[A0 Inc]],Table134[[#This Row],[A_tree]]*Table134[[#This Row],[اصله مستقل]])</f>
        <v>331</v>
      </c>
      <c r="P83" s="11">
        <f>IF(Table134[[#This Row],[check]]=1,Table134[[#This Row],[A0]]/Table134[[#This Row],[اصله مستقل]],Table134[[#This Row],[A_tree]])</f>
        <v>1.5539906103286385</v>
      </c>
    </row>
    <row r="84" spans="2:16" ht="18.600000000000001" x14ac:dyDescent="0.3">
      <c r="B84" s="4" t="s">
        <v>113</v>
      </c>
      <c r="C84" s="4">
        <v>136</v>
      </c>
      <c r="D84" s="4">
        <v>115</v>
      </c>
      <c r="E84" s="4">
        <v>115</v>
      </c>
      <c r="F84" s="4">
        <v>153</v>
      </c>
      <c r="G84" s="2" t="s">
        <v>21</v>
      </c>
      <c r="H84" s="4">
        <v>9</v>
      </c>
      <c r="I84" s="4">
        <f>Table134[[#This Row],[اصله مستقل]]*Table134[[#This Row],[A_tree]]</f>
        <v>1035</v>
      </c>
      <c r="J84" s="4">
        <f>IF(Table134[[#This Row],[n * A_tree ]]&gt;Table134[[#This Row],[مساحت آدرس]],1,0)</f>
        <v>1</v>
      </c>
      <c r="K84" s="8">
        <f>IF(Table134[[#This Row],[check]]=1,1,Table134[[#This Row],[A_tree]]*Table134[[#This Row],[اصله مستقل]]/Table134[[#This Row],[مساحت آدرس]])</f>
        <v>1</v>
      </c>
      <c r="L84" s="14">
        <f>IF(Table134[[#This Row],[check]]=1,1,(Table134[[#This Row],[Psh]]+0.15*(1-Table134[[#This Row],[Psh]])))</f>
        <v>1</v>
      </c>
      <c r="M84" s="14">
        <f>IF(Table134[[#This Row],[check]]=1,0.65,1)</f>
        <v>0.65</v>
      </c>
      <c r="N84" s="4">
        <v>1</v>
      </c>
      <c r="O84" s="4">
        <f>IF(Table134[[#This Row],[check]]=1,Table134[[#This Row],[مساحت آدرس]]*Table134[[#This Row],[A0 Inc]],Table134[[#This Row],[A_tree]]*Table134[[#This Row],[اصله مستقل]])</f>
        <v>153</v>
      </c>
      <c r="P84" s="11">
        <f>IF(Table134[[#This Row],[check]]=1,Table134[[#This Row],[A0]]/Table134[[#This Row],[اصله مستقل]],Table134[[#This Row],[A_tree]])</f>
        <v>1.3304347826086957</v>
      </c>
    </row>
    <row r="85" spans="2:16" ht="18.600000000000001" x14ac:dyDescent="0.3">
      <c r="B85" s="4" t="s">
        <v>114</v>
      </c>
      <c r="C85" s="4">
        <v>142</v>
      </c>
      <c r="D85" s="4">
        <v>49</v>
      </c>
      <c r="E85" s="4">
        <v>49</v>
      </c>
      <c r="F85" s="4">
        <v>245</v>
      </c>
      <c r="G85" s="2" t="s">
        <v>21</v>
      </c>
      <c r="H85" s="4">
        <v>9</v>
      </c>
      <c r="I85" s="4">
        <f>Table134[[#This Row],[اصله مستقل]]*Table134[[#This Row],[A_tree]]</f>
        <v>441</v>
      </c>
      <c r="J85" s="4">
        <f>IF(Table134[[#This Row],[n * A_tree ]]&gt;Table134[[#This Row],[مساحت آدرس]],1,0)</f>
        <v>1</v>
      </c>
      <c r="K85" s="8">
        <f>IF(Table134[[#This Row],[check]]=1,1,Table134[[#This Row],[A_tree]]*Table134[[#This Row],[اصله مستقل]]/Table134[[#This Row],[مساحت آدرس]])</f>
        <v>1</v>
      </c>
      <c r="L85" s="14">
        <f>IF(Table134[[#This Row],[check]]=1,1,(Table134[[#This Row],[Psh]]+0.15*(1-Table134[[#This Row],[Psh]])))</f>
        <v>1</v>
      </c>
      <c r="M85" s="14">
        <f>IF(Table134[[#This Row],[check]]=1,0.65,1)</f>
        <v>0.65</v>
      </c>
      <c r="N85" s="4">
        <v>1</v>
      </c>
      <c r="O85" s="4">
        <f>IF(Table134[[#This Row],[check]]=1,Table134[[#This Row],[مساحت آدرس]]*Table134[[#This Row],[A0 Inc]],Table134[[#This Row],[A_tree]]*Table134[[#This Row],[اصله مستقل]])</f>
        <v>245</v>
      </c>
      <c r="P85" s="11">
        <f>IF(Table134[[#This Row],[check]]=1,Table134[[#This Row],[A0]]/Table134[[#This Row],[اصله مستقل]],Table134[[#This Row],[A_tree]])</f>
        <v>5</v>
      </c>
    </row>
    <row r="86" spans="2:16" ht="18.600000000000001" x14ac:dyDescent="0.3">
      <c r="B86" s="4" t="s">
        <v>115</v>
      </c>
      <c r="C86" s="4">
        <v>178</v>
      </c>
      <c r="D86" s="4">
        <v>144</v>
      </c>
      <c r="E86" s="4">
        <v>144</v>
      </c>
      <c r="F86" s="4">
        <v>219</v>
      </c>
      <c r="G86" s="2" t="s">
        <v>21</v>
      </c>
      <c r="H86" s="4">
        <v>9</v>
      </c>
      <c r="I86" s="4">
        <f>Table134[[#This Row],[اصله مستقل]]*Table134[[#This Row],[A_tree]]</f>
        <v>1296</v>
      </c>
      <c r="J86" s="4">
        <f>IF(Table134[[#This Row],[n * A_tree ]]&gt;Table134[[#This Row],[مساحت آدرس]],1,0)</f>
        <v>1</v>
      </c>
      <c r="K86" s="8">
        <f>IF(Table134[[#This Row],[check]]=1,1,Table134[[#This Row],[A_tree]]*Table134[[#This Row],[اصله مستقل]]/Table134[[#This Row],[مساحت آدرس]])</f>
        <v>1</v>
      </c>
      <c r="L86" s="14">
        <f>IF(Table134[[#This Row],[check]]=1,1,(Table134[[#This Row],[Psh]]+0.15*(1-Table134[[#This Row],[Psh]])))</f>
        <v>1</v>
      </c>
      <c r="M86" s="14">
        <f>IF(Table134[[#This Row],[check]]=1,0.65,1)</f>
        <v>0.65</v>
      </c>
      <c r="N86" s="4">
        <v>1</v>
      </c>
      <c r="O86" s="4">
        <f>IF(Table134[[#This Row],[check]]=1,Table134[[#This Row],[مساحت آدرس]]*Table134[[#This Row],[A0 Inc]],Table134[[#This Row],[A_tree]]*Table134[[#This Row],[اصله مستقل]])</f>
        <v>219</v>
      </c>
      <c r="P86" s="11">
        <f>IF(Table134[[#This Row],[check]]=1,Table134[[#This Row],[A0]]/Table134[[#This Row],[اصله مستقل]],Table134[[#This Row],[A_tree]])</f>
        <v>1.5208333333333333</v>
      </c>
    </row>
    <row r="87" spans="2:16" ht="18.600000000000001" x14ac:dyDescent="0.3">
      <c r="B87" s="4" t="s">
        <v>116</v>
      </c>
      <c r="C87" s="4">
        <v>177</v>
      </c>
      <c r="D87" s="4">
        <v>44</v>
      </c>
      <c r="E87" s="4">
        <v>44</v>
      </c>
      <c r="F87" s="4">
        <v>272</v>
      </c>
      <c r="G87" s="2" t="s">
        <v>21</v>
      </c>
      <c r="H87" s="4">
        <v>9</v>
      </c>
      <c r="I87" s="4">
        <f>Table134[[#This Row],[اصله مستقل]]*Table134[[#This Row],[A_tree]]</f>
        <v>396</v>
      </c>
      <c r="J87" s="4">
        <f>IF(Table134[[#This Row],[n * A_tree ]]&gt;Table134[[#This Row],[مساحت آدرس]],1,0)</f>
        <v>1</v>
      </c>
      <c r="K87" s="8">
        <f>IF(Table134[[#This Row],[check]]=1,1,Table134[[#This Row],[A_tree]]*Table134[[#This Row],[اصله مستقل]]/Table134[[#This Row],[مساحت آدرس]])</f>
        <v>1</v>
      </c>
      <c r="L87" s="14">
        <f>IF(Table134[[#This Row],[check]]=1,1,(Table134[[#This Row],[Psh]]+0.15*(1-Table134[[#This Row],[Psh]])))</f>
        <v>1</v>
      </c>
      <c r="M87" s="14">
        <f>IF(Table134[[#This Row],[check]]=1,0.65,1)</f>
        <v>0.65</v>
      </c>
      <c r="N87" s="4">
        <v>1</v>
      </c>
      <c r="O87" s="4">
        <f>IF(Table134[[#This Row],[check]]=1,Table134[[#This Row],[مساحت آدرس]]*Table134[[#This Row],[A0 Inc]],Table134[[#This Row],[A_tree]]*Table134[[#This Row],[اصله مستقل]])</f>
        <v>272</v>
      </c>
      <c r="P87" s="11">
        <f>IF(Table134[[#This Row],[check]]=1,Table134[[#This Row],[A0]]/Table134[[#This Row],[اصله مستقل]],Table134[[#This Row],[A_tree]])</f>
        <v>6.1818181818181817</v>
      </c>
    </row>
    <row r="88" spans="2:16" ht="18.600000000000001" x14ac:dyDescent="0.3">
      <c r="B88" s="4" t="s">
        <v>117</v>
      </c>
      <c r="C88" s="4">
        <v>351</v>
      </c>
      <c r="D88" s="4">
        <v>262</v>
      </c>
      <c r="E88" s="4">
        <v>262</v>
      </c>
      <c r="F88" s="4">
        <v>457</v>
      </c>
      <c r="G88" s="2" t="s">
        <v>21</v>
      </c>
      <c r="H88" s="4">
        <v>9</v>
      </c>
      <c r="I88" s="4">
        <f>Table134[[#This Row],[اصله مستقل]]*Table134[[#This Row],[A_tree]]</f>
        <v>2358</v>
      </c>
      <c r="J88" s="4">
        <f>IF(Table134[[#This Row],[n * A_tree ]]&gt;Table134[[#This Row],[مساحت آدرس]],1,0)</f>
        <v>1</v>
      </c>
      <c r="K88" s="8">
        <f>IF(Table134[[#This Row],[check]]=1,1,Table134[[#This Row],[A_tree]]*Table134[[#This Row],[اصله مستقل]]/Table134[[#This Row],[مساحت آدرس]])</f>
        <v>1</v>
      </c>
      <c r="L88" s="14">
        <f>IF(Table134[[#This Row],[check]]=1,1,(Table134[[#This Row],[Psh]]+0.15*(1-Table134[[#This Row],[Psh]])))</f>
        <v>1</v>
      </c>
      <c r="M88" s="14">
        <f>IF(Table134[[#This Row],[check]]=1,0.65,1)</f>
        <v>0.65</v>
      </c>
      <c r="N88" s="4">
        <v>1</v>
      </c>
      <c r="O88" s="4">
        <f>IF(Table134[[#This Row],[check]]=1,Table134[[#This Row],[مساحت آدرس]]*Table134[[#This Row],[A0 Inc]],Table134[[#This Row],[A_tree]]*Table134[[#This Row],[اصله مستقل]])</f>
        <v>457</v>
      </c>
      <c r="P88" s="11">
        <f>IF(Table134[[#This Row],[check]]=1,Table134[[#This Row],[A0]]/Table134[[#This Row],[اصله مستقل]],Table134[[#This Row],[A_tree]])</f>
        <v>1.7442748091603053</v>
      </c>
    </row>
    <row r="89" spans="2:16" ht="18.600000000000001" x14ac:dyDescent="0.3">
      <c r="B89" s="4" t="s">
        <v>118</v>
      </c>
      <c r="C89" s="4">
        <v>292</v>
      </c>
      <c r="D89" s="4">
        <v>188</v>
      </c>
      <c r="E89" s="4">
        <v>188</v>
      </c>
      <c r="F89" s="4">
        <v>410</v>
      </c>
      <c r="G89" s="2" t="s">
        <v>21</v>
      </c>
      <c r="H89" s="4">
        <v>9</v>
      </c>
      <c r="I89" s="4">
        <f>Table134[[#This Row],[اصله مستقل]]*Table134[[#This Row],[A_tree]]</f>
        <v>1692</v>
      </c>
      <c r="J89" s="4">
        <f>IF(Table134[[#This Row],[n * A_tree ]]&gt;Table134[[#This Row],[مساحت آدرس]],1,0)</f>
        <v>1</v>
      </c>
      <c r="K89" s="8">
        <f>IF(Table134[[#This Row],[check]]=1,1,Table134[[#This Row],[A_tree]]*Table134[[#This Row],[اصله مستقل]]/Table134[[#This Row],[مساحت آدرس]])</f>
        <v>1</v>
      </c>
      <c r="L89" s="14">
        <f>IF(Table134[[#This Row],[check]]=1,1,(Table134[[#This Row],[Psh]]+0.15*(1-Table134[[#This Row],[Psh]])))</f>
        <v>1</v>
      </c>
      <c r="M89" s="14">
        <f>IF(Table134[[#This Row],[check]]=1,0.65,1)</f>
        <v>0.65</v>
      </c>
      <c r="N89" s="4">
        <v>1</v>
      </c>
      <c r="O89" s="4">
        <f>IF(Table134[[#This Row],[check]]=1,Table134[[#This Row],[مساحت آدرس]]*Table134[[#This Row],[A0 Inc]],Table134[[#This Row],[A_tree]]*Table134[[#This Row],[اصله مستقل]])</f>
        <v>410</v>
      </c>
      <c r="P89" s="11">
        <f>IF(Table134[[#This Row],[check]]=1,Table134[[#This Row],[A0]]/Table134[[#This Row],[اصله مستقل]],Table134[[#This Row],[A_tree]])</f>
        <v>2.1808510638297873</v>
      </c>
    </row>
    <row r="90" spans="2:16" ht="18.600000000000001" x14ac:dyDescent="0.3">
      <c r="B90" s="4" t="s">
        <v>119</v>
      </c>
      <c r="C90" s="4">
        <v>12</v>
      </c>
      <c r="D90" s="4">
        <v>12</v>
      </c>
      <c r="E90" s="4">
        <v>123</v>
      </c>
      <c r="F90" s="4">
        <v>123</v>
      </c>
      <c r="G90" s="2" t="s">
        <v>62</v>
      </c>
      <c r="H90" s="4">
        <v>9</v>
      </c>
      <c r="I90" s="4">
        <f>Table134[[#This Row],[اصله مستقل]]*Table134[[#This Row],[A_tree]]</f>
        <v>108</v>
      </c>
      <c r="J90" s="4">
        <f>IF(Table134[[#This Row],[n * A_tree ]]&gt;Table134[[#This Row],[مساحت آدرس]],1,0)</f>
        <v>0</v>
      </c>
      <c r="K90" s="8">
        <f>IF(Table134[[#This Row],[check]]=1,1,Table134[[#This Row],[A_tree]]*Table134[[#This Row],[اصله مستقل]]/Table134[[#This Row],[مساحت آدرس]])</f>
        <v>0.87804878048780488</v>
      </c>
      <c r="L90" s="14">
        <f>IF(Table134[[#This Row],[check]]=1,1,(Table134[[#This Row],[Psh]]+0.15*(1-Table134[[#This Row],[Psh]])))</f>
        <v>0.89634146341463417</v>
      </c>
      <c r="M90" s="14">
        <f>IF(Table134[[#This Row],[check]]=1,0.65,1)</f>
        <v>1</v>
      </c>
      <c r="N90" s="4">
        <v>1</v>
      </c>
      <c r="O90" s="4">
        <f>IF(Table134[[#This Row],[check]]=1,Table134[[#This Row],[مساحت آدرس]]*Table134[[#This Row],[A0 Inc]],Table134[[#This Row],[A_tree]]*Table134[[#This Row],[اصله مستقل]])</f>
        <v>108</v>
      </c>
      <c r="P90" s="11">
        <f>IF(Table134[[#This Row],[check]]=1,Table134[[#This Row],[A0]]/Table134[[#This Row],[اصله مستقل]],Table134[[#This Row],[A_tree]])</f>
        <v>9</v>
      </c>
    </row>
    <row r="91" spans="2:16" ht="18.600000000000001" x14ac:dyDescent="0.3">
      <c r="B91" s="4" t="s">
        <v>120</v>
      </c>
      <c r="C91" s="4">
        <v>56</v>
      </c>
      <c r="D91" s="4">
        <v>40</v>
      </c>
      <c r="E91" s="4">
        <v>40</v>
      </c>
      <c r="F91" s="4">
        <v>117</v>
      </c>
      <c r="G91" s="2" t="s">
        <v>62</v>
      </c>
      <c r="H91" s="4">
        <v>9</v>
      </c>
      <c r="I91" s="4">
        <f>Table134[[#This Row],[اصله مستقل]]*Table134[[#This Row],[A_tree]]</f>
        <v>360</v>
      </c>
      <c r="J91" s="4">
        <f>IF(Table134[[#This Row],[n * A_tree ]]&gt;Table134[[#This Row],[مساحت آدرس]],1,0)</f>
        <v>1</v>
      </c>
      <c r="K91" s="8">
        <f>IF(Table134[[#This Row],[check]]=1,1,Table134[[#This Row],[A_tree]]*Table134[[#This Row],[اصله مستقل]]/Table134[[#This Row],[مساحت آدرس]])</f>
        <v>1</v>
      </c>
      <c r="L91" s="14">
        <f>IF(Table134[[#This Row],[check]]=1,1,(Table134[[#This Row],[Psh]]+0.15*(1-Table134[[#This Row],[Psh]])))</f>
        <v>1</v>
      </c>
      <c r="M91" s="14">
        <f>IF(Table134[[#This Row],[check]]=1,0.65,1)</f>
        <v>0.65</v>
      </c>
      <c r="N91" s="4">
        <v>1</v>
      </c>
      <c r="O91" s="4">
        <f>IF(Table134[[#This Row],[check]]=1,Table134[[#This Row],[مساحت آدرس]]*Table134[[#This Row],[A0 Inc]],Table134[[#This Row],[A_tree]]*Table134[[#This Row],[اصله مستقل]])</f>
        <v>117</v>
      </c>
      <c r="P91" s="11">
        <f>IF(Table134[[#This Row],[check]]=1,Table134[[#This Row],[A0]]/Table134[[#This Row],[اصله مستقل]],Table134[[#This Row],[A_tree]])</f>
        <v>2.9249999999999998</v>
      </c>
    </row>
    <row r="92" spans="2:16" ht="18.600000000000001" x14ac:dyDescent="0.3">
      <c r="B92" s="4" t="s">
        <v>121</v>
      </c>
      <c r="C92" s="4">
        <v>39</v>
      </c>
      <c r="D92" s="4">
        <v>39</v>
      </c>
      <c r="E92" s="4">
        <v>89</v>
      </c>
      <c r="F92" s="4">
        <v>103</v>
      </c>
      <c r="G92" s="2" t="s">
        <v>62</v>
      </c>
      <c r="H92" s="4">
        <v>9</v>
      </c>
      <c r="I92" s="4">
        <f>Table134[[#This Row],[اصله مستقل]]*Table134[[#This Row],[A_tree]]</f>
        <v>351</v>
      </c>
      <c r="J92" s="4">
        <f>IF(Table134[[#This Row],[n * A_tree ]]&gt;Table134[[#This Row],[مساحت آدرس]],1,0)</f>
        <v>1</v>
      </c>
      <c r="K92" s="8">
        <f>IF(Table134[[#This Row],[check]]=1,1,Table134[[#This Row],[A_tree]]*Table134[[#This Row],[اصله مستقل]]/Table134[[#This Row],[مساحت آدرس]])</f>
        <v>1</v>
      </c>
      <c r="L92" s="14">
        <f>IF(Table134[[#This Row],[check]]=1,1,(Table134[[#This Row],[Psh]]+0.15*(1-Table134[[#This Row],[Psh]])))</f>
        <v>1</v>
      </c>
      <c r="M92" s="14">
        <f>IF(Table134[[#This Row],[check]]=1,0.65,1)</f>
        <v>0.65</v>
      </c>
      <c r="N92" s="4">
        <v>1</v>
      </c>
      <c r="O92" s="4">
        <f>IF(Table134[[#This Row],[check]]=1,Table134[[#This Row],[مساحت آدرس]]*Table134[[#This Row],[A0 Inc]],Table134[[#This Row],[A_tree]]*Table134[[#This Row],[اصله مستقل]])</f>
        <v>103</v>
      </c>
      <c r="P92" s="11">
        <f>IF(Table134[[#This Row],[check]]=1,Table134[[#This Row],[A0]]/Table134[[#This Row],[اصله مستقل]],Table134[[#This Row],[A_tree]])</f>
        <v>2.641025641025641</v>
      </c>
    </row>
    <row r="93" spans="2:16" ht="18.600000000000001" x14ac:dyDescent="0.3">
      <c r="B93" s="4" t="s">
        <v>122</v>
      </c>
      <c r="C93" s="4">
        <v>51</v>
      </c>
      <c r="D93" s="4">
        <v>31</v>
      </c>
      <c r="E93" s="4">
        <v>31</v>
      </c>
      <c r="F93" s="4">
        <v>1290</v>
      </c>
      <c r="G93" s="2" t="s">
        <v>62</v>
      </c>
      <c r="H93" s="4">
        <v>9</v>
      </c>
      <c r="I93" s="4">
        <f>Table134[[#This Row],[اصله مستقل]]*Table134[[#This Row],[A_tree]]</f>
        <v>279</v>
      </c>
      <c r="J93" s="4">
        <f>IF(Table134[[#This Row],[n * A_tree ]]&gt;Table134[[#This Row],[مساحت آدرس]],1,0)</f>
        <v>0</v>
      </c>
      <c r="K93" s="8">
        <f>IF(Table134[[#This Row],[check]]=1,1,Table134[[#This Row],[A_tree]]*Table134[[#This Row],[اصله مستقل]]/Table134[[#This Row],[مساحت آدرس]])</f>
        <v>0.21627906976744185</v>
      </c>
      <c r="L93" s="14">
        <f>IF(Table134[[#This Row],[check]]=1,1,(Table134[[#This Row],[Psh]]+0.15*(1-Table134[[#This Row],[Psh]])))</f>
        <v>0.33383720930232558</v>
      </c>
      <c r="M93" s="14">
        <f>IF(Table134[[#This Row],[check]]=1,0.65,1)</f>
        <v>1</v>
      </c>
      <c r="N93" s="4">
        <v>1</v>
      </c>
      <c r="O93" s="4">
        <f>IF(Table134[[#This Row],[check]]=1,Table134[[#This Row],[مساحت آدرس]]*Table134[[#This Row],[A0 Inc]],Table134[[#This Row],[A_tree]]*Table134[[#This Row],[اصله مستقل]])</f>
        <v>279</v>
      </c>
      <c r="P93" s="11">
        <f>IF(Table134[[#This Row],[check]]=1,Table134[[#This Row],[A0]]/Table134[[#This Row],[اصله مستقل]],Table134[[#This Row],[A_tree]])</f>
        <v>9</v>
      </c>
    </row>
    <row r="94" spans="2:16" ht="18.600000000000001" x14ac:dyDescent="0.3">
      <c r="B94" s="4" t="s">
        <v>123</v>
      </c>
      <c r="C94" s="4">
        <v>15</v>
      </c>
      <c r="D94" s="4">
        <v>3</v>
      </c>
      <c r="E94" s="4">
        <v>3</v>
      </c>
      <c r="F94" s="4">
        <v>347</v>
      </c>
      <c r="G94" s="2" t="s">
        <v>62</v>
      </c>
      <c r="H94" s="4">
        <v>9</v>
      </c>
      <c r="I94" s="4">
        <f>Table134[[#This Row],[اصله مستقل]]*Table134[[#This Row],[A_tree]]</f>
        <v>27</v>
      </c>
      <c r="J94" s="4">
        <f>IF(Table134[[#This Row],[n * A_tree ]]&gt;Table134[[#This Row],[مساحت آدرس]],1,0)</f>
        <v>0</v>
      </c>
      <c r="K94" s="8">
        <f>IF(Table134[[#This Row],[check]]=1,1,Table134[[#This Row],[A_tree]]*Table134[[#This Row],[اصله مستقل]]/Table134[[#This Row],[مساحت آدرس]])</f>
        <v>7.7809798270893377E-2</v>
      </c>
      <c r="L94" s="14">
        <f>IF(Table134[[#This Row],[check]]=1,1,(Table134[[#This Row],[Psh]]+0.15*(1-Table134[[#This Row],[Psh]])))</f>
        <v>0.21613832853025935</v>
      </c>
      <c r="M94" s="14">
        <f>IF(Table134[[#This Row],[check]]=1,0.65,1)</f>
        <v>1</v>
      </c>
      <c r="N94" s="4">
        <v>1</v>
      </c>
      <c r="O94" s="4">
        <f>IF(Table134[[#This Row],[check]]=1,Table134[[#This Row],[مساحت آدرس]]*Table134[[#This Row],[A0 Inc]],Table134[[#This Row],[A_tree]]*Table134[[#This Row],[اصله مستقل]])</f>
        <v>27</v>
      </c>
      <c r="P94" s="11">
        <f>IF(Table134[[#This Row],[check]]=1,Table134[[#This Row],[A0]]/Table134[[#This Row],[اصله مستقل]],Table134[[#This Row],[A_tree]])</f>
        <v>9</v>
      </c>
    </row>
    <row r="95" spans="2:16" ht="18.600000000000001" x14ac:dyDescent="0.3">
      <c r="B95" s="4" t="s">
        <v>124</v>
      </c>
      <c r="C95" s="4">
        <v>34</v>
      </c>
      <c r="D95" s="4">
        <v>6</v>
      </c>
      <c r="E95" s="4">
        <v>25</v>
      </c>
      <c r="F95" s="4">
        <v>1072</v>
      </c>
      <c r="G95" s="2" t="s">
        <v>66</v>
      </c>
      <c r="H95" s="4">
        <v>9</v>
      </c>
      <c r="I95" s="4">
        <f>Table134[[#This Row],[اصله مستقل]]*Table134[[#This Row],[A_tree]]</f>
        <v>54</v>
      </c>
      <c r="J95" s="4">
        <f>IF(Table134[[#This Row],[n * A_tree ]]&gt;Table134[[#This Row],[مساحت آدرس]],1,0)</f>
        <v>0</v>
      </c>
      <c r="K95" s="8">
        <f>IF(Table134[[#This Row],[check]]=1,1,Table134[[#This Row],[A_tree]]*Table134[[#This Row],[اصله مستقل]]/Table134[[#This Row],[مساحت آدرس]])</f>
        <v>5.0373134328358209E-2</v>
      </c>
      <c r="L95" s="14">
        <f>IF(Table134[[#This Row],[check]]=1,1,(Table134[[#This Row],[Psh]]+0.15*(1-Table134[[#This Row],[Psh]])))</f>
        <v>0.19281716417910447</v>
      </c>
      <c r="M95" s="14">
        <f>IF(Table134[[#This Row],[check]]=1,0.65,1)</f>
        <v>1</v>
      </c>
      <c r="N95" s="4">
        <v>1</v>
      </c>
      <c r="O95" s="4">
        <f>IF(Table134[[#This Row],[check]]=1,Table134[[#This Row],[مساحت آدرس]]*Table134[[#This Row],[A0 Inc]],Table134[[#This Row],[A_tree]]*Table134[[#This Row],[اصله مستقل]])</f>
        <v>54</v>
      </c>
      <c r="P95" s="11">
        <f>IF(Table134[[#This Row],[check]]=1,Table134[[#This Row],[A0]]/Table134[[#This Row],[اصله مستقل]],Table134[[#This Row],[A_tree]])</f>
        <v>9</v>
      </c>
    </row>
    <row r="96" spans="2:16" ht="18.600000000000001" x14ac:dyDescent="0.3">
      <c r="B96" s="4" t="s">
        <v>125</v>
      </c>
      <c r="C96" s="4">
        <v>194</v>
      </c>
      <c r="D96" s="4">
        <v>1</v>
      </c>
      <c r="E96" s="4">
        <v>1</v>
      </c>
      <c r="F96" s="4">
        <v>3716</v>
      </c>
      <c r="G96" s="2" t="s">
        <v>3</v>
      </c>
      <c r="H96" s="4">
        <v>9</v>
      </c>
      <c r="I96" s="4">
        <f>Table134[[#This Row],[اصله مستقل]]*Table134[[#This Row],[A_tree]]</f>
        <v>9</v>
      </c>
      <c r="J96" s="4">
        <f>IF(Table134[[#This Row],[n * A_tree ]]&gt;Table134[[#This Row],[مساحت آدرس]],1,0)</f>
        <v>0</v>
      </c>
      <c r="K96" s="8">
        <f>IF(Table134[[#This Row],[check]]=1,1,Table134[[#This Row],[A_tree]]*Table134[[#This Row],[اصله مستقل]]/Table134[[#This Row],[مساحت آدرس]])</f>
        <v>2.4219590958019376E-3</v>
      </c>
      <c r="L96" s="14">
        <f>IF(Table134[[#This Row],[check]]=1,1,(Table134[[#This Row],[Psh]]+0.15*(1-Table134[[#This Row],[Psh]])))</f>
        <v>0.15205866523143166</v>
      </c>
      <c r="M96" s="14">
        <f>IF(Table134[[#This Row],[check]]=1,0.65,1)</f>
        <v>1</v>
      </c>
      <c r="N96" s="4">
        <v>1</v>
      </c>
      <c r="O96" s="4">
        <f>IF(Table134[[#This Row],[check]]=1,Table134[[#This Row],[مساحت آدرس]]*Table134[[#This Row],[A0 Inc]],Table134[[#This Row],[A_tree]]*Table134[[#This Row],[اصله مستقل]])</f>
        <v>9</v>
      </c>
      <c r="P96" s="11">
        <f>IF(Table134[[#This Row],[check]]=1,Table134[[#This Row],[A0]]/Table134[[#This Row],[اصله مستقل]],Table134[[#This Row],[A_tree]])</f>
        <v>9</v>
      </c>
    </row>
    <row r="97" spans="2:16" ht="18.600000000000001" x14ac:dyDescent="0.3">
      <c r="B97" s="4" t="s">
        <v>126</v>
      </c>
      <c r="C97" s="4">
        <v>442</v>
      </c>
      <c r="D97" s="4">
        <v>12</v>
      </c>
      <c r="E97" s="4">
        <v>12</v>
      </c>
      <c r="F97" s="4">
        <v>3072</v>
      </c>
      <c r="G97" s="2" t="s">
        <v>21</v>
      </c>
      <c r="H97" s="4">
        <v>9</v>
      </c>
      <c r="I97" s="4">
        <f>Table134[[#This Row],[اصله مستقل]]*Table134[[#This Row],[A_tree]]</f>
        <v>108</v>
      </c>
      <c r="J97" s="4">
        <f>IF(Table134[[#This Row],[n * A_tree ]]&gt;Table134[[#This Row],[مساحت آدرس]],1,0)</f>
        <v>0</v>
      </c>
      <c r="K97" s="8">
        <f>IF(Table134[[#This Row],[check]]=1,1,Table134[[#This Row],[A_tree]]*Table134[[#This Row],[اصله مستقل]]/Table134[[#This Row],[مساحت آدرس]])</f>
        <v>3.515625E-2</v>
      </c>
      <c r="L97" s="14">
        <f>IF(Table134[[#This Row],[check]]=1,1,(Table134[[#This Row],[Psh]]+0.15*(1-Table134[[#This Row],[Psh]])))</f>
        <v>0.17988281249999999</v>
      </c>
      <c r="M97" s="14">
        <f>IF(Table134[[#This Row],[check]]=1,0.65,1)</f>
        <v>1</v>
      </c>
      <c r="N97" s="4">
        <v>1</v>
      </c>
      <c r="O97" s="4">
        <f>IF(Table134[[#This Row],[check]]=1,Table134[[#This Row],[مساحت آدرس]]*Table134[[#This Row],[A0 Inc]],Table134[[#This Row],[A_tree]]*Table134[[#This Row],[اصله مستقل]])</f>
        <v>108</v>
      </c>
      <c r="P97" s="11">
        <f>IF(Table134[[#This Row],[check]]=1,Table134[[#This Row],[A0]]/Table134[[#This Row],[اصله مستقل]],Table134[[#This Row],[A_tree]])</f>
        <v>9</v>
      </c>
    </row>
    <row r="98" spans="2:16" ht="18.600000000000001" x14ac:dyDescent="0.3">
      <c r="B98" s="4" t="s">
        <v>127</v>
      </c>
      <c r="C98" s="4">
        <v>1641</v>
      </c>
      <c r="D98" s="4">
        <v>26</v>
      </c>
      <c r="E98" s="4">
        <v>26</v>
      </c>
      <c r="F98" s="4">
        <v>10544</v>
      </c>
      <c r="G98" s="2" t="s">
        <v>21</v>
      </c>
      <c r="H98" s="4">
        <v>9</v>
      </c>
      <c r="I98" s="4">
        <f>Table134[[#This Row],[اصله مستقل]]*Table134[[#This Row],[A_tree]]</f>
        <v>234</v>
      </c>
      <c r="J98" s="4">
        <f>IF(Table134[[#This Row],[n * A_tree ]]&gt;Table134[[#This Row],[مساحت آدرس]],1,0)</f>
        <v>0</v>
      </c>
      <c r="K98" s="8">
        <f>IF(Table134[[#This Row],[check]]=1,1,Table134[[#This Row],[A_tree]]*Table134[[#This Row],[اصله مستقل]]/Table134[[#This Row],[مساحت آدرس]])</f>
        <v>2.2192716236722306E-2</v>
      </c>
      <c r="L98" s="14">
        <f>IF(Table134[[#This Row],[check]]=1,1,(Table134[[#This Row],[Psh]]+0.15*(1-Table134[[#This Row],[Psh]])))</f>
        <v>0.16886380880121396</v>
      </c>
      <c r="M98" s="14">
        <f>IF(Table134[[#This Row],[check]]=1,0.65,1)</f>
        <v>1</v>
      </c>
      <c r="N98" s="4">
        <v>1</v>
      </c>
      <c r="O98" s="4">
        <f>IF(Table134[[#This Row],[check]]=1,Table134[[#This Row],[مساحت آدرس]]*Table134[[#This Row],[A0 Inc]],Table134[[#This Row],[A_tree]]*Table134[[#This Row],[اصله مستقل]])</f>
        <v>234</v>
      </c>
      <c r="P98" s="11">
        <f>IF(Table134[[#This Row],[check]]=1,Table134[[#This Row],[A0]]/Table134[[#This Row],[اصله مستقل]],Table134[[#This Row],[A_tree]])</f>
        <v>9</v>
      </c>
    </row>
    <row r="99" spans="2:16" ht="18.600000000000001" x14ac:dyDescent="0.3">
      <c r="B99" s="4" t="s">
        <v>135</v>
      </c>
      <c r="C99" s="4">
        <v>208</v>
      </c>
      <c r="D99" s="4">
        <v>15</v>
      </c>
      <c r="E99" s="4">
        <v>15</v>
      </c>
      <c r="F99" s="4">
        <v>430</v>
      </c>
      <c r="G99" s="2" t="s">
        <v>21</v>
      </c>
      <c r="H99" s="4">
        <v>9</v>
      </c>
      <c r="I99" s="4">
        <f>Table134[[#This Row],[اصله مستقل]]*Table134[[#This Row],[A_tree]]</f>
        <v>135</v>
      </c>
      <c r="J99" s="4">
        <f>IF(Table134[[#This Row],[n * A_tree ]]&gt;Table134[[#This Row],[مساحت آدرس]],1,0)</f>
        <v>0</v>
      </c>
      <c r="K99" s="8">
        <f>IF(Table134[[#This Row],[check]]=1,1,Table134[[#This Row],[A_tree]]*Table134[[#This Row],[اصله مستقل]]/Table134[[#This Row],[مساحت آدرس]])</f>
        <v>0.31395348837209303</v>
      </c>
      <c r="L99" s="14">
        <f>IF(Table134[[#This Row],[check]]=1,1,(Table134[[#This Row],[Psh]]+0.15*(1-Table134[[#This Row],[Psh]])))</f>
        <v>0.41686046511627906</v>
      </c>
      <c r="M99" s="14">
        <f>IF(Table134[[#This Row],[check]]=1,0.65,1)</f>
        <v>1</v>
      </c>
      <c r="N99" s="4">
        <v>1</v>
      </c>
      <c r="O99" s="4">
        <f>IF(Table134[[#This Row],[check]]=1,Table134[[#This Row],[مساحت آدرس]]*Table134[[#This Row],[A0 Inc]],Table134[[#This Row],[A_tree]]*Table134[[#This Row],[اصله مستقل]])</f>
        <v>135</v>
      </c>
      <c r="P99" s="11">
        <f>IF(Table134[[#This Row],[check]]=1,Table134[[#This Row],[A0]]/Table134[[#This Row],[اصله مستقل]],Table134[[#This Row],[A_tree]])</f>
        <v>9</v>
      </c>
    </row>
    <row r="100" spans="2:16" ht="18.600000000000001" x14ac:dyDescent="0.3">
      <c r="B100" s="4" t="s">
        <v>136</v>
      </c>
      <c r="C100" s="4">
        <v>150</v>
      </c>
      <c r="D100" s="4">
        <v>20</v>
      </c>
      <c r="E100" s="4">
        <v>20</v>
      </c>
      <c r="F100" s="4">
        <v>44</v>
      </c>
      <c r="G100" s="2" t="s">
        <v>21</v>
      </c>
      <c r="H100" s="4">
        <v>9</v>
      </c>
      <c r="I100" s="4">
        <f>Table134[[#This Row],[اصله مستقل]]*Table134[[#This Row],[A_tree]]</f>
        <v>180</v>
      </c>
      <c r="J100" s="4">
        <f>IF(Table134[[#This Row],[n * A_tree ]]&gt;Table134[[#This Row],[مساحت آدرس]],1,0)</f>
        <v>1</v>
      </c>
      <c r="K100" s="8">
        <f>IF(Table134[[#This Row],[check]]=1,1,Table134[[#This Row],[A_tree]]*Table134[[#This Row],[اصله مستقل]]/Table134[[#This Row],[مساحت آدرس]])</f>
        <v>1</v>
      </c>
      <c r="L100" s="14">
        <f>IF(Table134[[#This Row],[check]]=1,1,(Table134[[#This Row],[Psh]]+0.15*(1-Table134[[#This Row],[Psh]])))</f>
        <v>1</v>
      </c>
      <c r="M100" s="14">
        <f>IF(Table134[[#This Row],[check]]=1,0.65,1)</f>
        <v>0.65</v>
      </c>
      <c r="N100" s="4">
        <v>1</v>
      </c>
      <c r="O100" s="4">
        <f>IF(Table134[[#This Row],[check]]=1,Table134[[#This Row],[مساحت آدرس]]*Table134[[#This Row],[A0 Inc]],Table134[[#This Row],[A_tree]]*Table134[[#This Row],[اصله مستقل]])</f>
        <v>44</v>
      </c>
      <c r="P100" s="11">
        <f>IF(Table134[[#This Row],[check]]=1,Table134[[#This Row],[A0]]/Table134[[#This Row],[اصله مستقل]],Table134[[#This Row],[A_tree]])</f>
        <v>2.2000000000000002</v>
      </c>
    </row>
    <row r="101" spans="2:16" ht="18.600000000000001" x14ac:dyDescent="0.3">
      <c r="B101" s="4" t="s">
        <v>137</v>
      </c>
      <c r="C101" s="4">
        <v>915</v>
      </c>
      <c r="D101" s="4">
        <v>50</v>
      </c>
      <c r="E101" s="4">
        <v>50</v>
      </c>
      <c r="F101" s="4">
        <v>892</v>
      </c>
      <c r="G101" s="2" t="s">
        <v>21</v>
      </c>
      <c r="H101" s="4">
        <v>9</v>
      </c>
      <c r="I101" s="4">
        <f>Table134[[#This Row],[اصله مستقل]]*Table134[[#This Row],[A_tree]]</f>
        <v>450</v>
      </c>
      <c r="J101" s="4">
        <f>IF(Table134[[#This Row],[n * A_tree ]]&gt;Table134[[#This Row],[مساحت آدرس]],1,0)</f>
        <v>0</v>
      </c>
      <c r="K101" s="8">
        <f>IF(Table134[[#This Row],[check]]=1,1,Table134[[#This Row],[A_tree]]*Table134[[#This Row],[اصله مستقل]]/Table134[[#This Row],[مساحت آدرس]])</f>
        <v>0.50448430493273544</v>
      </c>
      <c r="L101" s="14">
        <f>IF(Table134[[#This Row],[check]]=1,1,(Table134[[#This Row],[Psh]]+0.15*(1-Table134[[#This Row],[Psh]])))</f>
        <v>0.57881165919282518</v>
      </c>
      <c r="M101" s="14">
        <f>IF(Table134[[#This Row],[check]]=1,0.65,1)</f>
        <v>1</v>
      </c>
      <c r="N101" s="4">
        <v>1</v>
      </c>
      <c r="O101" s="4">
        <f>IF(Table134[[#This Row],[check]]=1,Table134[[#This Row],[مساحت آدرس]]*Table134[[#This Row],[A0 Inc]],Table134[[#This Row],[A_tree]]*Table134[[#This Row],[اصله مستقل]])</f>
        <v>450</v>
      </c>
      <c r="P101" s="11">
        <f>IF(Table134[[#This Row],[check]]=1,Table134[[#This Row],[A0]]/Table134[[#This Row],[اصله مستقل]],Table134[[#This Row],[A_tree]])</f>
        <v>9</v>
      </c>
    </row>
    <row r="102" spans="2:16" ht="18.600000000000001" x14ac:dyDescent="0.3">
      <c r="B102" s="4" t="s">
        <v>138</v>
      </c>
      <c r="C102" s="4">
        <v>142</v>
      </c>
      <c r="D102" s="4">
        <v>7</v>
      </c>
      <c r="E102" s="4">
        <v>7</v>
      </c>
      <c r="F102" s="4">
        <v>92</v>
      </c>
      <c r="G102" s="2" t="s">
        <v>21</v>
      </c>
      <c r="H102" s="4">
        <v>9</v>
      </c>
      <c r="I102" s="4">
        <f>Table134[[#This Row],[اصله مستقل]]*Table134[[#This Row],[A_tree]]</f>
        <v>63</v>
      </c>
      <c r="J102" s="4">
        <f>IF(Table134[[#This Row],[n * A_tree ]]&gt;Table134[[#This Row],[مساحت آدرس]],1,0)</f>
        <v>0</v>
      </c>
      <c r="K102" s="8">
        <f>IF(Table134[[#This Row],[check]]=1,1,Table134[[#This Row],[A_tree]]*Table134[[#This Row],[اصله مستقل]]/Table134[[#This Row],[مساحت آدرس]])</f>
        <v>0.68478260869565222</v>
      </c>
      <c r="L102" s="14">
        <f>IF(Table134[[#This Row],[check]]=1,1,(Table134[[#This Row],[Psh]]+0.15*(1-Table134[[#This Row],[Psh]])))</f>
        <v>0.73206521739130437</v>
      </c>
      <c r="M102" s="14">
        <f>IF(Table134[[#This Row],[check]]=1,0.65,1)</f>
        <v>1</v>
      </c>
      <c r="N102" s="4">
        <v>1</v>
      </c>
      <c r="O102" s="4">
        <f>IF(Table134[[#This Row],[check]]=1,Table134[[#This Row],[مساحت آدرس]]*Table134[[#This Row],[A0 Inc]],Table134[[#This Row],[A_tree]]*Table134[[#This Row],[اصله مستقل]])</f>
        <v>63</v>
      </c>
      <c r="P102" s="11">
        <f>IF(Table134[[#This Row],[check]]=1,Table134[[#This Row],[A0]]/Table134[[#This Row],[اصله مستقل]],Table134[[#This Row],[A_tree]])</f>
        <v>9</v>
      </c>
    </row>
    <row r="103" spans="2:16" ht="18.600000000000001" x14ac:dyDescent="0.3">
      <c r="B103" s="4" t="s">
        <v>139</v>
      </c>
      <c r="C103" s="4">
        <v>133</v>
      </c>
      <c r="D103" s="4">
        <v>15</v>
      </c>
      <c r="E103" s="4">
        <v>15</v>
      </c>
      <c r="F103" s="4">
        <v>284</v>
      </c>
      <c r="G103" s="2" t="s">
        <v>21</v>
      </c>
      <c r="H103" s="4">
        <v>9</v>
      </c>
      <c r="I103" s="4">
        <f>Table134[[#This Row],[اصله مستقل]]*Table134[[#This Row],[A_tree]]</f>
        <v>135</v>
      </c>
      <c r="J103" s="4">
        <f>IF(Table134[[#This Row],[n * A_tree ]]&gt;Table134[[#This Row],[مساحت آدرس]],1,0)</f>
        <v>0</v>
      </c>
      <c r="K103" s="8">
        <f>IF(Table134[[#This Row],[check]]=1,1,Table134[[#This Row],[A_tree]]*Table134[[#This Row],[اصله مستقل]]/Table134[[#This Row],[مساحت آدرس]])</f>
        <v>0.47535211267605632</v>
      </c>
      <c r="L103" s="14">
        <f>IF(Table134[[#This Row],[check]]=1,1,(Table134[[#This Row],[Psh]]+0.15*(1-Table134[[#This Row],[Psh]])))</f>
        <v>0.5540492957746479</v>
      </c>
      <c r="M103" s="14">
        <f>IF(Table134[[#This Row],[check]]=1,0.65,1)</f>
        <v>1</v>
      </c>
      <c r="N103" s="4">
        <v>1</v>
      </c>
      <c r="O103" s="4">
        <f>IF(Table134[[#This Row],[check]]=1,Table134[[#This Row],[مساحت آدرس]]*Table134[[#This Row],[A0 Inc]],Table134[[#This Row],[A_tree]]*Table134[[#This Row],[اصله مستقل]])</f>
        <v>135</v>
      </c>
      <c r="P103" s="11">
        <f>IF(Table134[[#This Row],[check]]=1,Table134[[#This Row],[A0]]/Table134[[#This Row],[اصله مستقل]],Table134[[#This Row],[A_tree]])</f>
        <v>9</v>
      </c>
    </row>
    <row r="104" spans="2:16" ht="18.600000000000001" x14ac:dyDescent="0.3">
      <c r="B104" s="4" t="s">
        <v>140</v>
      </c>
      <c r="C104" s="4">
        <v>111</v>
      </c>
      <c r="D104" s="4">
        <v>19</v>
      </c>
      <c r="E104" s="4">
        <v>19</v>
      </c>
      <c r="F104" s="4">
        <v>107</v>
      </c>
      <c r="G104" s="2" t="s">
        <v>21</v>
      </c>
      <c r="H104" s="4">
        <v>9</v>
      </c>
      <c r="I104" s="4">
        <f>Table134[[#This Row],[اصله مستقل]]*Table134[[#This Row],[A_tree]]</f>
        <v>171</v>
      </c>
      <c r="J104" s="4">
        <f>IF(Table134[[#This Row],[n * A_tree ]]&gt;Table134[[#This Row],[مساحت آدرس]],1,0)</f>
        <v>1</v>
      </c>
      <c r="K104" s="8">
        <f>IF(Table134[[#This Row],[check]]=1,1,Table134[[#This Row],[A_tree]]*Table134[[#This Row],[اصله مستقل]]/Table134[[#This Row],[مساحت آدرس]])</f>
        <v>1</v>
      </c>
      <c r="L104" s="14">
        <f>IF(Table134[[#This Row],[check]]=1,1,(Table134[[#This Row],[Psh]]+0.15*(1-Table134[[#This Row],[Psh]])))</f>
        <v>1</v>
      </c>
      <c r="M104" s="14">
        <f>IF(Table134[[#This Row],[check]]=1,0.65,1)</f>
        <v>0.65</v>
      </c>
      <c r="N104" s="4">
        <v>1</v>
      </c>
      <c r="O104" s="4">
        <f>IF(Table134[[#This Row],[check]]=1,Table134[[#This Row],[مساحت آدرس]]*Table134[[#This Row],[A0 Inc]],Table134[[#This Row],[A_tree]]*Table134[[#This Row],[اصله مستقل]])</f>
        <v>107</v>
      </c>
      <c r="P104" s="11">
        <f>IF(Table134[[#This Row],[check]]=1,Table134[[#This Row],[A0]]/Table134[[#This Row],[اصله مستقل]],Table134[[#This Row],[A_tree]])</f>
        <v>5.6315789473684212</v>
      </c>
    </row>
    <row r="105" spans="2:16" ht="18.600000000000001" x14ac:dyDescent="0.3">
      <c r="B105" s="4" t="s">
        <v>141</v>
      </c>
      <c r="C105" s="4">
        <v>113</v>
      </c>
      <c r="D105" s="4">
        <v>20</v>
      </c>
      <c r="E105" s="4">
        <v>20</v>
      </c>
      <c r="F105" s="4">
        <v>204</v>
      </c>
      <c r="G105" s="2" t="s">
        <v>21</v>
      </c>
      <c r="H105" s="4">
        <v>9</v>
      </c>
      <c r="I105" s="4">
        <f>Table134[[#This Row],[اصله مستقل]]*Table134[[#This Row],[A_tree]]</f>
        <v>180</v>
      </c>
      <c r="J105" s="4">
        <f>IF(Table134[[#This Row],[n * A_tree ]]&gt;Table134[[#This Row],[مساحت آدرس]],1,0)</f>
        <v>0</v>
      </c>
      <c r="K105" s="8">
        <f>IF(Table134[[#This Row],[check]]=1,1,Table134[[#This Row],[A_tree]]*Table134[[#This Row],[اصله مستقل]]/Table134[[#This Row],[مساحت آدرس]])</f>
        <v>0.88235294117647056</v>
      </c>
      <c r="L105" s="14">
        <f>IF(Table134[[#This Row],[check]]=1,1,(Table134[[#This Row],[Psh]]+0.15*(1-Table134[[#This Row],[Psh]])))</f>
        <v>0.9</v>
      </c>
      <c r="M105" s="14">
        <f>IF(Table134[[#This Row],[check]]=1,0.65,1)</f>
        <v>1</v>
      </c>
      <c r="N105" s="4">
        <v>1</v>
      </c>
      <c r="O105" s="4">
        <f>IF(Table134[[#This Row],[check]]=1,Table134[[#This Row],[مساحت آدرس]]*Table134[[#This Row],[A0 Inc]],Table134[[#This Row],[A_tree]]*Table134[[#This Row],[اصله مستقل]])</f>
        <v>180</v>
      </c>
      <c r="P105" s="11">
        <f>IF(Table134[[#This Row],[check]]=1,Table134[[#This Row],[A0]]/Table134[[#This Row],[اصله مستقل]],Table134[[#This Row],[A_tree]])</f>
        <v>9</v>
      </c>
    </row>
    <row r="106" spans="2:16" ht="18.600000000000001" x14ac:dyDescent="0.3">
      <c r="B106" s="4" t="s">
        <v>142</v>
      </c>
      <c r="C106" s="4">
        <v>292</v>
      </c>
      <c r="D106" s="4">
        <v>20</v>
      </c>
      <c r="E106" s="4">
        <v>20</v>
      </c>
      <c r="F106" s="4">
        <v>436</v>
      </c>
      <c r="G106" s="2" t="s">
        <v>21</v>
      </c>
      <c r="H106" s="4">
        <v>9</v>
      </c>
      <c r="I106" s="4">
        <f>Table134[[#This Row],[اصله مستقل]]*Table134[[#This Row],[A_tree]]</f>
        <v>180</v>
      </c>
      <c r="J106" s="4">
        <f>IF(Table134[[#This Row],[n * A_tree ]]&gt;Table134[[#This Row],[مساحت آدرس]],1,0)</f>
        <v>0</v>
      </c>
      <c r="K106" s="8">
        <f>IF(Table134[[#This Row],[check]]=1,1,Table134[[#This Row],[A_tree]]*Table134[[#This Row],[اصله مستقل]]/Table134[[#This Row],[مساحت آدرس]])</f>
        <v>0.41284403669724773</v>
      </c>
      <c r="L106" s="14">
        <f>IF(Table134[[#This Row],[check]]=1,1,(Table134[[#This Row],[Psh]]+0.15*(1-Table134[[#This Row],[Psh]])))</f>
        <v>0.50091743119266052</v>
      </c>
      <c r="M106" s="14">
        <f>IF(Table134[[#This Row],[check]]=1,0.65,1)</f>
        <v>1</v>
      </c>
      <c r="N106" s="4">
        <v>1</v>
      </c>
      <c r="O106" s="4">
        <f>IF(Table134[[#This Row],[check]]=1,Table134[[#This Row],[مساحت آدرس]]*Table134[[#This Row],[A0 Inc]],Table134[[#This Row],[A_tree]]*Table134[[#This Row],[اصله مستقل]])</f>
        <v>180</v>
      </c>
      <c r="P106" s="11">
        <f>IF(Table134[[#This Row],[check]]=1,Table134[[#This Row],[A0]]/Table134[[#This Row],[اصله مستقل]],Table134[[#This Row],[A_tree]])</f>
        <v>9</v>
      </c>
    </row>
    <row r="107" spans="2:16" ht="18.600000000000001" x14ac:dyDescent="0.3">
      <c r="B107" s="4" t="s">
        <v>143</v>
      </c>
      <c r="C107" s="4">
        <v>92</v>
      </c>
      <c r="D107" s="4">
        <v>25</v>
      </c>
      <c r="E107" s="4">
        <v>25</v>
      </c>
      <c r="F107" s="4">
        <v>80</v>
      </c>
      <c r="G107" s="2" t="s">
        <v>21</v>
      </c>
      <c r="H107" s="4">
        <v>9</v>
      </c>
      <c r="I107" s="4">
        <f>Table134[[#This Row],[اصله مستقل]]*Table134[[#This Row],[A_tree]]</f>
        <v>225</v>
      </c>
      <c r="J107" s="4">
        <f>IF(Table134[[#This Row],[n * A_tree ]]&gt;Table134[[#This Row],[مساحت آدرس]],1,0)</f>
        <v>1</v>
      </c>
      <c r="K107" s="8">
        <f>IF(Table134[[#This Row],[check]]=1,1,Table134[[#This Row],[A_tree]]*Table134[[#This Row],[اصله مستقل]]/Table134[[#This Row],[مساحت آدرس]])</f>
        <v>1</v>
      </c>
      <c r="L107" s="14">
        <f>IF(Table134[[#This Row],[check]]=1,1,(Table134[[#This Row],[Psh]]+0.15*(1-Table134[[#This Row],[Psh]])))</f>
        <v>1</v>
      </c>
      <c r="M107" s="14">
        <f>IF(Table134[[#This Row],[check]]=1,0.65,1)</f>
        <v>0.65</v>
      </c>
      <c r="N107" s="4">
        <v>1</v>
      </c>
      <c r="O107" s="4">
        <f>IF(Table134[[#This Row],[check]]=1,Table134[[#This Row],[مساحت آدرس]]*Table134[[#This Row],[A0 Inc]],Table134[[#This Row],[A_tree]]*Table134[[#This Row],[اصله مستقل]])</f>
        <v>80</v>
      </c>
      <c r="P107" s="11">
        <f>IF(Table134[[#This Row],[check]]=1,Table134[[#This Row],[A0]]/Table134[[#This Row],[اصله مستقل]],Table134[[#This Row],[A_tree]])</f>
        <v>3.2</v>
      </c>
    </row>
    <row r="108" spans="2:16" ht="18.600000000000001" x14ac:dyDescent="0.3">
      <c r="B108" s="4" t="s">
        <v>144</v>
      </c>
      <c r="C108" s="4">
        <v>256</v>
      </c>
      <c r="D108" s="4">
        <v>25</v>
      </c>
      <c r="E108" s="4">
        <v>25</v>
      </c>
      <c r="F108" s="4">
        <v>375</v>
      </c>
      <c r="G108" s="2" t="s">
        <v>21</v>
      </c>
      <c r="H108" s="4">
        <v>9</v>
      </c>
      <c r="I108" s="4">
        <f>Table134[[#This Row],[اصله مستقل]]*Table134[[#This Row],[A_tree]]</f>
        <v>225</v>
      </c>
      <c r="J108" s="4">
        <f>IF(Table134[[#This Row],[n * A_tree ]]&gt;Table134[[#This Row],[مساحت آدرس]],1,0)</f>
        <v>0</v>
      </c>
      <c r="K108" s="8">
        <f>IF(Table134[[#This Row],[check]]=1,1,Table134[[#This Row],[A_tree]]*Table134[[#This Row],[اصله مستقل]]/Table134[[#This Row],[مساحت آدرس]])</f>
        <v>0.6</v>
      </c>
      <c r="L108" s="14">
        <f>IF(Table134[[#This Row],[check]]=1,1,(Table134[[#This Row],[Psh]]+0.15*(1-Table134[[#This Row],[Psh]])))</f>
        <v>0.65999999999999992</v>
      </c>
      <c r="M108" s="14">
        <f>IF(Table134[[#This Row],[check]]=1,0.65,1)</f>
        <v>1</v>
      </c>
      <c r="N108" s="4">
        <v>1</v>
      </c>
      <c r="O108" s="4">
        <f>IF(Table134[[#This Row],[check]]=1,Table134[[#This Row],[مساحت آدرس]]*Table134[[#This Row],[A0 Inc]],Table134[[#This Row],[A_tree]]*Table134[[#This Row],[اصله مستقل]])</f>
        <v>225</v>
      </c>
      <c r="P108" s="11">
        <f>IF(Table134[[#This Row],[check]]=1,Table134[[#This Row],[A0]]/Table134[[#This Row],[اصله مستقل]],Table134[[#This Row],[A_tree]])</f>
        <v>9</v>
      </c>
    </row>
    <row r="109" spans="2:16" ht="18.600000000000001" x14ac:dyDescent="0.3">
      <c r="B109" s="4" t="s">
        <v>145</v>
      </c>
      <c r="C109" s="4">
        <v>296</v>
      </c>
      <c r="D109" s="4">
        <v>7</v>
      </c>
      <c r="E109" s="4">
        <v>7</v>
      </c>
      <c r="F109" s="4">
        <v>1207</v>
      </c>
      <c r="G109" s="2" t="s">
        <v>21</v>
      </c>
      <c r="H109" s="4">
        <v>9</v>
      </c>
      <c r="I109" s="4">
        <f>Table134[[#This Row],[اصله مستقل]]*Table134[[#This Row],[A_tree]]</f>
        <v>63</v>
      </c>
      <c r="J109" s="4">
        <f>IF(Table134[[#This Row],[n * A_tree ]]&gt;Table134[[#This Row],[مساحت آدرس]],1,0)</f>
        <v>0</v>
      </c>
      <c r="K109" s="8">
        <f>IF(Table134[[#This Row],[check]]=1,1,Table134[[#This Row],[A_tree]]*Table134[[#This Row],[اصله مستقل]]/Table134[[#This Row],[مساحت آدرس]])</f>
        <v>5.2195526097763047E-2</v>
      </c>
      <c r="L109" s="14">
        <f>IF(Table134[[#This Row],[check]]=1,1,(Table134[[#This Row],[Psh]]+0.15*(1-Table134[[#This Row],[Psh]])))</f>
        <v>0.19436619718309858</v>
      </c>
      <c r="M109" s="14">
        <f>IF(Table134[[#This Row],[check]]=1,0.65,1)</f>
        <v>1</v>
      </c>
      <c r="N109" s="4">
        <v>1</v>
      </c>
      <c r="O109" s="4">
        <f>IF(Table134[[#This Row],[check]]=1,Table134[[#This Row],[مساحت آدرس]]*Table134[[#This Row],[A0 Inc]],Table134[[#This Row],[A_tree]]*Table134[[#This Row],[اصله مستقل]])</f>
        <v>63</v>
      </c>
      <c r="P109" s="11">
        <f>IF(Table134[[#This Row],[check]]=1,Table134[[#This Row],[A0]]/Table134[[#This Row],[اصله مستقل]],Table134[[#This Row],[A_tree]])</f>
        <v>9</v>
      </c>
    </row>
    <row r="110" spans="2:16" ht="18.600000000000001" x14ac:dyDescent="0.3">
      <c r="B110" s="4" t="s">
        <v>146</v>
      </c>
      <c r="C110" s="4">
        <v>516</v>
      </c>
      <c r="D110" s="4">
        <v>165</v>
      </c>
      <c r="E110" s="4">
        <v>165</v>
      </c>
      <c r="F110" s="4">
        <v>838</v>
      </c>
      <c r="G110" s="2" t="s">
        <v>21</v>
      </c>
      <c r="H110" s="4">
        <v>9</v>
      </c>
      <c r="I110" s="4">
        <f>Table134[[#This Row],[اصله مستقل]]*Table134[[#This Row],[A_tree]]</f>
        <v>1485</v>
      </c>
      <c r="J110" s="4">
        <f>IF(Table134[[#This Row],[n * A_tree ]]&gt;Table134[[#This Row],[مساحت آدرس]],1,0)</f>
        <v>1</v>
      </c>
      <c r="K110" s="8">
        <f>IF(Table134[[#This Row],[check]]=1,1,Table134[[#This Row],[A_tree]]*Table134[[#This Row],[اصله مستقل]]/Table134[[#This Row],[مساحت آدرس]])</f>
        <v>1</v>
      </c>
      <c r="L110" s="14">
        <f>IF(Table134[[#This Row],[check]]=1,1,(Table134[[#This Row],[Psh]]+0.15*(1-Table134[[#This Row],[Psh]])))</f>
        <v>1</v>
      </c>
      <c r="M110" s="14">
        <f>IF(Table134[[#This Row],[check]]=1,0.65,1)</f>
        <v>0.65</v>
      </c>
      <c r="N110" s="4">
        <v>1</v>
      </c>
      <c r="O110" s="4">
        <f>IF(Table134[[#This Row],[check]]=1,Table134[[#This Row],[مساحت آدرس]]*Table134[[#This Row],[A0 Inc]],Table134[[#This Row],[A_tree]]*Table134[[#This Row],[اصله مستقل]])</f>
        <v>838</v>
      </c>
      <c r="P110" s="11">
        <f>IF(Table134[[#This Row],[check]]=1,Table134[[#This Row],[A0]]/Table134[[#This Row],[اصله مستقل]],Table134[[#This Row],[A_tree]])</f>
        <v>5.0787878787878791</v>
      </c>
    </row>
    <row r="111" spans="2:16" ht="18.600000000000001" x14ac:dyDescent="0.3">
      <c r="B111" s="4" t="s">
        <v>147</v>
      </c>
      <c r="C111" s="4">
        <v>193</v>
      </c>
      <c r="D111" s="4">
        <v>34</v>
      </c>
      <c r="E111" s="4">
        <v>34</v>
      </c>
      <c r="F111" s="4">
        <v>208</v>
      </c>
      <c r="G111" s="2" t="s">
        <v>21</v>
      </c>
      <c r="H111" s="4">
        <v>9</v>
      </c>
      <c r="I111" s="4">
        <f>Table134[[#This Row],[اصله مستقل]]*Table134[[#This Row],[A_tree]]</f>
        <v>306</v>
      </c>
      <c r="J111" s="4">
        <f>IF(Table134[[#This Row],[n * A_tree ]]&gt;Table134[[#This Row],[مساحت آدرس]],1,0)</f>
        <v>1</v>
      </c>
      <c r="K111" s="8">
        <f>IF(Table134[[#This Row],[check]]=1,1,Table134[[#This Row],[A_tree]]*Table134[[#This Row],[اصله مستقل]]/Table134[[#This Row],[مساحت آدرس]])</f>
        <v>1</v>
      </c>
      <c r="L111" s="14">
        <f>IF(Table134[[#This Row],[check]]=1,1,(Table134[[#This Row],[Psh]]+0.15*(1-Table134[[#This Row],[Psh]])))</f>
        <v>1</v>
      </c>
      <c r="M111" s="14">
        <f>IF(Table134[[#This Row],[check]]=1,0.65,1)</f>
        <v>0.65</v>
      </c>
      <c r="N111" s="4">
        <v>1</v>
      </c>
      <c r="O111" s="4">
        <f>IF(Table134[[#This Row],[check]]=1,Table134[[#This Row],[مساحت آدرس]]*Table134[[#This Row],[A0 Inc]],Table134[[#This Row],[A_tree]]*Table134[[#This Row],[اصله مستقل]])</f>
        <v>208</v>
      </c>
      <c r="P111" s="11">
        <f>IF(Table134[[#This Row],[check]]=1,Table134[[#This Row],[A0]]/Table134[[#This Row],[اصله مستقل]],Table134[[#This Row],[A_tree]])</f>
        <v>6.117647058823529</v>
      </c>
    </row>
    <row r="112" spans="2:16" ht="18.600000000000001" x14ac:dyDescent="0.3">
      <c r="B112" s="4" t="s">
        <v>148</v>
      </c>
      <c r="C112" s="4">
        <v>117</v>
      </c>
      <c r="D112" s="4">
        <v>18</v>
      </c>
      <c r="E112" s="4">
        <v>18</v>
      </c>
      <c r="F112" s="4">
        <v>138</v>
      </c>
      <c r="G112" s="2" t="s">
        <v>21</v>
      </c>
      <c r="H112" s="4">
        <v>9</v>
      </c>
      <c r="I112" s="4">
        <f>Table134[[#This Row],[اصله مستقل]]*Table134[[#This Row],[A_tree]]</f>
        <v>162</v>
      </c>
      <c r="J112" s="4">
        <f>IF(Table134[[#This Row],[n * A_tree ]]&gt;Table134[[#This Row],[مساحت آدرس]],1,0)</f>
        <v>1</v>
      </c>
      <c r="K112" s="8">
        <f>IF(Table134[[#This Row],[check]]=1,1,Table134[[#This Row],[A_tree]]*Table134[[#This Row],[اصله مستقل]]/Table134[[#This Row],[مساحت آدرس]])</f>
        <v>1</v>
      </c>
      <c r="L112" s="14">
        <f>IF(Table134[[#This Row],[check]]=1,1,(Table134[[#This Row],[Psh]]+0.15*(1-Table134[[#This Row],[Psh]])))</f>
        <v>1</v>
      </c>
      <c r="M112" s="14">
        <f>IF(Table134[[#This Row],[check]]=1,0.65,1)</f>
        <v>0.65</v>
      </c>
      <c r="N112" s="4">
        <v>1</v>
      </c>
      <c r="O112" s="4">
        <f>IF(Table134[[#This Row],[check]]=1,Table134[[#This Row],[مساحت آدرس]]*Table134[[#This Row],[A0 Inc]],Table134[[#This Row],[A_tree]]*Table134[[#This Row],[اصله مستقل]])</f>
        <v>138</v>
      </c>
      <c r="P112" s="11">
        <f>IF(Table134[[#This Row],[check]]=1,Table134[[#This Row],[A0]]/Table134[[#This Row],[اصله مستقل]],Table134[[#This Row],[A_tree]])</f>
        <v>7.666666666666667</v>
      </c>
    </row>
    <row r="113" spans="2:16" ht="18.600000000000001" x14ac:dyDescent="0.3">
      <c r="B113" s="4" t="s">
        <v>149</v>
      </c>
      <c r="C113" s="4">
        <v>223</v>
      </c>
      <c r="D113" s="4">
        <v>35</v>
      </c>
      <c r="E113" s="4">
        <v>28</v>
      </c>
      <c r="F113" s="4">
        <v>401</v>
      </c>
      <c r="G113" s="2" t="s">
        <v>21</v>
      </c>
      <c r="H113" s="4">
        <v>9</v>
      </c>
      <c r="I113" s="4">
        <f>Table134[[#This Row],[اصله مستقل]]*Table134[[#This Row],[A_tree]]</f>
        <v>315</v>
      </c>
      <c r="J113" s="4">
        <f>IF(Table134[[#This Row],[n * A_tree ]]&gt;Table134[[#This Row],[مساحت آدرس]],1,0)</f>
        <v>0</v>
      </c>
      <c r="K113" s="8">
        <f>IF(Table134[[#This Row],[check]]=1,1,Table134[[#This Row],[A_tree]]*Table134[[#This Row],[اصله مستقل]]/Table134[[#This Row],[مساحت آدرس]])</f>
        <v>0.78553615960099754</v>
      </c>
      <c r="L113" s="14">
        <f>IF(Table134[[#This Row],[check]]=1,1,(Table134[[#This Row],[Psh]]+0.15*(1-Table134[[#This Row],[Psh]])))</f>
        <v>0.81770573566084792</v>
      </c>
      <c r="M113" s="14">
        <f>IF(Table134[[#This Row],[check]]=1,0.65,1)</f>
        <v>1</v>
      </c>
      <c r="N113" s="4">
        <v>1</v>
      </c>
      <c r="O113" s="4">
        <f>IF(Table134[[#This Row],[check]]=1,Table134[[#This Row],[مساحت آدرس]]*Table134[[#This Row],[A0 Inc]],Table134[[#This Row],[A_tree]]*Table134[[#This Row],[اصله مستقل]])</f>
        <v>315</v>
      </c>
      <c r="P113" s="11">
        <f>IF(Table134[[#This Row],[check]]=1,Table134[[#This Row],[A0]]/Table134[[#This Row],[اصله مستقل]],Table134[[#This Row],[A_tree]])</f>
        <v>9</v>
      </c>
    </row>
    <row r="114" spans="2:16" ht="18.600000000000001" x14ac:dyDescent="0.3">
      <c r="B114" s="4" t="s">
        <v>150</v>
      </c>
      <c r="C114" s="4">
        <v>150</v>
      </c>
      <c r="D114" s="4">
        <v>100</v>
      </c>
      <c r="E114" s="4">
        <v>100</v>
      </c>
      <c r="F114" s="4">
        <v>124</v>
      </c>
      <c r="G114" s="2" t="s">
        <v>21</v>
      </c>
      <c r="H114" s="4">
        <v>9</v>
      </c>
      <c r="I114" s="4">
        <f>Table134[[#This Row],[اصله مستقل]]*Table134[[#This Row],[A_tree]]</f>
        <v>900</v>
      </c>
      <c r="J114" s="4">
        <f>IF(Table134[[#This Row],[n * A_tree ]]&gt;Table134[[#This Row],[مساحت آدرس]],1,0)</f>
        <v>1</v>
      </c>
      <c r="K114" s="8">
        <f>IF(Table134[[#This Row],[check]]=1,1,Table134[[#This Row],[A_tree]]*Table134[[#This Row],[اصله مستقل]]/Table134[[#This Row],[مساحت آدرس]])</f>
        <v>1</v>
      </c>
      <c r="L114" s="14">
        <f>IF(Table134[[#This Row],[check]]=1,1,(Table134[[#This Row],[Psh]]+0.15*(1-Table134[[#This Row],[Psh]])))</f>
        <v>1</v>
      </c>
      <c r="M114" s="14">
        <f>IF(Table134[[#This Row],[check]]=1,0.65,1)</f>
        <v>0.65</v>
      </c>
      <c r="N114" s="4">
        <v>1</v>
      </c>
      <c r="O114" s="4">
        <f>IF(Table134[[#This Row],[check]]=1,Table134[[#This Row],[مساحت آدرس]]*Table134[[#This Row],[A0 Inc]],Table134[[#This Row],[A_tree]]*Table134[[#This Row],[اصله مستقل]])</f>
        <v>124</v>
      </c>
      <c r="P114" s="11">
        <f>IF(Table134[[#This Row],[check]]=1,Table134[[#This Row],[A0]]/Table134[[#This Row],[اصله مستقل]],Table134[[#This Row],[A_tree]])</f>
        <v>1.24</v>
      </c>
    </row>
    <row r="115" spans="2:16" ht="18.600000000000001" x14ac:dyDescent="0.3">
      <c r="B115" s="4" t="s">
        <v>151</v>
      </c>
      <c r="C115" s="4">
        <v>97</v>
      </c>
      <c r="D115" s="4">
        <v>23</v>
      </c>
      <c r="E115" s="4">
        <v>23</v>
      </c>
      <c r="F115" s="4">
        <v>137</v>
      </c>
      <c r="G115" s="2" t="s">
        <v>21</v>
      </c>
      <c r="H115" s="4">
        <v>9</v>
      </c>
      <c r="I115" s="4">
        <f>Table134[[#This Row],[اصله مستقل]]*Table134[[#This Row],[A_tree]]</f>
        <v>207</v>
      </c>
      <c r="J115" s="4">
        <f>IF(Table134[[#This Row],[n * A_tree ]]&gt;Table134[[#This Row],[مساحت آدرس]],1,0)</f>
        <v>1</v>
      </c>
      <c r="K115" s="8">
        <f>IF(Table134[[#This Row],[check]]=1,1,Table134[[#This Row],[A_tree]]*Table134[[#This Row],[اصله مستقل]]/Table134[[#This Row],[مساحت آدرس]])</f>
        <v>1</v>
      </c>
      <c r="L115" s="14">
        <f>IF(Table134[[#This Row],[check]]=1,1,(Table134[[#This Row],[Psh]]+0.15*(1-Table134[[#This Row],[Psh]])))</f>
        <v>1</v>
      </c>
      <c r="M115" s="14">
        <f>IF(Table134[[#This Row],[check]]=1,0.65,1)</f>
        <v>0.65</v>
      </c>
      <c r="N115" s="4">
        <v>1</v>
      </c>
      <c r="O115" s="4">
        <f>IF(Table134[[#This Row],[check]]=1,Table134[[#This Row],[مساحت آدرس]]*Table134[[#This Row],[A0 Inc]],Table134[[#This Row],[A_tree]]*Table134[[#This Row],[اصله مستقل]])</f>
        <v>137</v>
      </c>
      <c r="P115" s="11">
        <f>IF(Table134[[#This Row],[check]]=1,Table134[[#This Row],[A0]]/Table134[[#This Row],[اصله مستقل]],Table134[[#This Row],[A_tree]])</f>
        <v>5.9565217391304346</v>
      </c>
    </row>
    <row r="116" spans="2:16" ht="18.600000000000001" x14ac:dyDescent="0.3">
      <c r="B116" s="4" t="s">
        <v>152</v>
      </c>
      <c r="C116" s="4">
        <v>200</v>
      </c>
      <c r="D116" s="4">
        <v>40</v>
      </c>
      <c r="E116" s="4">
        <v>47</v>
      </c>
      <c r="F116" s="4">
        <v>356</v>
      </c>
      <c r="G116" s="2" t="s">
        <v>21</v>
      </c>
      <c r="H116" s="4">
        <v>9</v>
      </c>
      <c r="I116" s="4">
        <f>Table134[[#This Row],[اصله مستقل]]*Table134[[#This Row],[A_tree]]</f>
        <v>360</v>
      </c>
      <c r="J116" s="4">
        <f>IF(Table134[[#This Row],[n * A_tree ]]&gt;Table134[[#This Row],[مساحت آدرس]],1,0)</f>
        <v>1</v>
      </c>
      <c r="K116" s="8">
        <f>IF(Table134[[#This Row],[check]]=1,1,Table134[[#This Row],[A_tree]]*Table134[[#This Row],[اصله مستقل]]/Table134[[#This Row],[مساحت آدرس]])</f>
        <v>1</v>
      </c>
      <c r="L116" s="14">
        <f>IF(Table134[[#This Row],[check]]=1,1,(Table134[[#This Row],[Psh]]+0.15*(1-Table134[[#This Row],[Psh]])))</f>
        <v>1</v>
      </c>
      <c r="M116" s="14">
        <f>IF(Table134[[#This Row],[check]]=1,0.65,1)</f>
        <v>0.65</v>
      </c>
      <c r="N116" s="4">
        <v>1</v>
      </c>
      <c r="O116" s="4">
        <f>IF(Table134[[#This Row],[check]]=1,Table134[[#This Row],[مساحت آدرس]]*Table134[[#This Row],[A0 Inc]],Table134[[#This Row],[A_tree]]*Table134[[#This Row],[اصله مستقل]])</f>
        <v>356</v>
      </c>
      <c r="P116" s="11">
        <f>IF(Table134[[#This Row],[check]]=1,Table134[[#This Row],[A0]]/Table134[[#This Row],[اصله مستقل]],Table134[[#This Row],[A_tree]])</f>
        <v>8.9</v>
      </c>
    </row>
    <row r="117" spans="2:16" ht="18.600000000000001" x14ac:dyDescent="0.3">
      <c r="B117" s="4" t="s">
        <v>153</v>
      </c>
      <c r="C117" s="4">
        <v>449</v>
      </c>
      <c r="D117" s="4">
        <v>2</v>
      </c>
      <c r="E117" s="4">
        <v>2</v>
      </c>
      <c r="F117" s="4">
        <v>1170</v>
      </c>
      <c r="G117" s="2" t="s">
        <v>21</v>
      </c>
      <c r="H117" s="4">
        <v>9</v>
      </c>
      <c r="I117" s="4">
        <f>Table134[[#This Row],[اصله مستقل]]*Table134[[#This Row],[A_tree]]</f>
        <v>18</v>
      </c>
      <c r="J117" s="4">
        <f>IF(Table134[[#This Row],[n * A_tree ]]&gt;Table134[[#This Row],[مساحت آدرس]],1,0)</f>
        <v>0</v>
      </c>
      <c r="K117" s="8">
        <f>IF(Table134[[#This Row],[check]]=1,1,Table134[[#This Row],[A_tree]]*Table134[[#This Row],[اصله مستقل]]/Table134[[#This Row],[مساحت آدرس]])</f>
        <v>1.5384615384615385E-2</v>
      </c>
      <c r="L117" s="14">
        <f>IF(Table134[[#This Row],[check]]=1,1,(Table134[[#This Row],[Psh]]+0.15*(1-Table134[[#This Row],[Psh]])))</f>
        <v>0.16307692307692309</v>
      </c>
      <c r="M117" s="14">
        <f>IF(Table134[[#This Row],[check]]=1,0.65,1)</f>
        <v>1</v>
      </c>
      <c r="N117" s="4">
        <v>1</v>
      </c>
      <c r="O117" s="4">
        <f>IF(Table134[[#This Row],[check]]=1,Table134[[#This Row],[مساحت آدرس]]*Table134[[#This Row],[A0 Inc]],Table134[[#This Row],[A_tree]]*Table134[[#This Row],[اصله مستقل]])</f>
        <v>18</v>
      </c>
      <c r="P117" s="11">
        <f>IF(Table134[[#This Row],[check]]=1,Table134[[#This Row],[A0]]/Table134[[#This Row],[اصله مستقل]],Table134[[#This Row],[A_tree]])</f>
        <v>9</v>
      </c>
    </row>
    <row r="118" spans="2:16" ht="18.600000000000001" x14ac:dyDescent="0.3">
      <c r="B118" s="4" t="s">
        <v>154</v>
      </c>
      <c r="C118" s="4">
        <v>74</v>
      </c>
      <c r="D118" s="4">
        <v>15</v>
      </c>
      <c r="E118" s="4">
        <v>15</v>
      </c>
      <c r="F118" s="4">
        <v>122</v>
      </c>
      <c r="G118" s="2" t="s">
        <v>21</v>
      </c>
      <c r="H118" s="4">
        <v>9</v>
      </c>
      <c r="I118" s="4">
        <f>Table134[[#This Row],[اصله مستقل]]*Table134[[#This Row],[A_tree]]</f>
        <v>135</v>
      </c>
      <c r="J118" s="4">
        <f>IF(Table134[[#This Row],[n * A_tree ]]&gt;Table134[[#This Row],[مساحت آدرس]],1,0)</f>
        <v>1</v>
      </c>
      <c r="K118" s="8">
        <f>IF(Table134[[#This Row],[check]]=1,1,Table134[[#This Row],[A_tree]]*Table134[[#This Row],[اصله مستقل]]/Table134[[#This Row],[مساحت آدرس]])</f>
        <v>1</v>
      </c>
      <c r="L118" s="14">
        <f>IF(Table134[[#This Row],[check]]=1,1,(Table134[[#This Row],[Psh]]+0.15*(1-Table134[[#This Row],[Psh]])))</f>
        <v>1</v>
      </c>
      <c r="M118" s="14">
        <f>IF(Table134[[#This Row],[check]]=1,0.65,1)</f>
        <v>0.65</v>
      </c>
      <c r="N118" s="4">
        <v>1</v>
      </c>
      <c r="O118" s="4">
        <f>IF(Table134[[#This Row],[check]]=1,Table134[[#This Row],[مساحت آدرس]]*Table134[[#This Row],[A0 Inc]],Table134[[#This Row],[A_tree]]*Table134[[#This Row],[اصله مستقل]])</f>
        <v>122</v>
      </c>
      <c r="P118" s="11">
        <f>IF(Table134[[#This Row],[check]]=1,Table134[[#This Row],[A0]]/Table134[[#This Row],[اصله مستقل]],Table134[[#This Row],[A_tree]])</f>
        <v>8.1333333333333329</v>
      </c>
    </row>
    <row r="119" spans="2:16" ht="18.600000000000001" x14ac:dyDescent="0.3">
      <c r="B119" s="4" t="s">
        <v>155</v>
      </c>
      <c r="C119" s="4">
        <v>114</v>
      </c>
      <c r="D119" s="4">
        <v>17</v>
      </c>
      <c r="E119" s="4">
        <v>17</v>
      </c>
      <c r="F119" s="4">
        <v>62</v>
      </c>
      <c r="G119" s="2" t="s">
        <v>21</v>
      </c>
      <c r="H119" s="4">
        <v>9</v>
      </c>
      <c r="I119" s="4">
        <f>Table134[[#This Row],[اصله مستقل]]*Table134[[#This Row],[A_tree]]</f>
        <v>153</v>
      </c>
      <c r="J119" s="4">
        <f>IF(Table134[[#This Row],[n * A_tree ]]&gt;Table134[[#This Row],[مساحت آدرس]],1,0)</f>
        <v>1</v>
      </c>
      <c r="K119" s="8">
        <f>IF(Table134[[#This Row],[check]]=1,1,Table134[[#This Row],[A_tree]]*Table134[[#This Row],[اصله مستقل]]/Table134[[#This Row],[مساحت آدرس]])</f>
        <v>1</v>
      </c>
      <c r="L119" s="14">
        <f>IF(Table134[[#This Row],[check]]=1,1,(Table134[[#This Row],[Psh]]+0.15*(1-Table134[[#This Row],[Psh]])))</f>
        <v>1</v>
      </c>
      <c r="M119" s="14">
        <f>IF(Table134[[#This Row],[check]]=1,0.65,1)</f>
        <v>0.65</v>
      </c>
      <c r="N119" s="4">
        <v>1</v>
      </c>
      <c r="O119" s="4">
        <f>IF(Table134[[#This Row],[check]]=1,Table134[[#This Row],[مساحت آدرس]]*Table134[[#This Row],[A0 Inc]],Table134[[#This Row],[A_tree]]*Table134[[#This Row],[اصله مستقل]])</f>
        <v>62</v>
      </c>
      <c r="P119" s="11">
        <f>IF(Table134[[#This Row],[check]]=1,Table134[[#This Row],[A0]]/Table134[[#This Row],[اصله مستقل]],Table134[[#This Row],[A_tree]])</f>
        <v>3.6470588235294117</v>
      </c>
    </row>
    <row r="120" spans="2:16" ht="18.600000000000001" x14ac:dyDescent="0.3">
      <c r="B120" s="4" t="s">
        <v>156</v>
      </c>
      <c r="C120" s="4">
        <v>126</v>
      </c>
      <c r="D120" s="4">
        <v>10</v>
      </c>
      <c r="E120" s="4">
        <v>10</v>
      </c>
      <c r="F120" s="4">
        <v>380</v>
      </c>
      <c r="G120" s="2" t="s">
        <v>21</v>
      </c>
      <c r="H120" s="4">
        <v>9</v>
      </c>
      <c r="I120" s="4">
        <f>Table134[[#This Row],[اصله مستقل]]*Table134[[#This Row],[A_tree]]</f>
        <v>90</v>
      </c>
      <c r="J120" s="4">
        <f>IF(Table134[[#This Row],[n * A_tree ]]&gt;Table134[[#This Row],[مساحت آدرس]],1,0)</f>
        <v>0</v>
      </c>
      <c r="K120" s="8">
        <f>IF(Table134[[#This Row],[check]]=1,1,Table134[[#This Row],[A_tree]]*Table134[[#This Row],[اصله مستقل]]/Table134[[#This Row],[مساحت آدرس]])</f>
        <v>0.23684210526315788</v>
      </c>
      <c r="L120" s="14">
        <f>IF(Table134[[#This Row],[check]]=1,1,(Table134[[#This Row],[Psh]]+0.15*(1-Table134[[#This Row],[Psh]])))</f>
        <v>0.35131578947368419</v>
      </c>
      <c r="M120" s="14">
        <f>IF(Table134[[#This Row],[check]]=1,0.65,1)</f>
        <v>1</v>
      </c>
      <c r="N120" s="4">
        <v>1</v>
      </c>
      <c r="O120" s="4">
        <f>IF(Table134[[#This Row],[check]]=1,Table134[[#This Row],[مساحت آدرس]]*Table134[[#This Row],[A0 Inc]],Table134[[#This Row],[A_tree]]*Table134[[#This Row],[اصله مستقل]])</f>
        <v>90</v>
      </c>
      <c r="P120" s="11">
        <f>IF(Table134[[#This Row],[check]]=1,Table134[[#This Row],[A0]]/Table134[[#This Row],[اصله مستقل]],Table134[[#This Row],[A_tree]])</f>
        <v>9</v>
      </c>
    </row>
    <row r="121" spans="2:16" ht="18.600000000000001" x14ac:dyDescent="0.3">
      <c r="B121" s="4" t="s">
        <v>157</v>
      </c>
      <c r="C121" s="4">
        <v>199</v>
      </c>
      <c r="D121" s="4">
        <v>28</v>
      </c>
      <c r="E121" s="4">
        <v>28</v>
      </c>
      <c r="F121" s="4">
        <v>489</v>
      </c>
      <c r="G121" s="2" t="s">
        <v>21</v>
      </c>
      <c r="H121" s="4">
        <v>9</v>
      </c>
      <c r="I121" s="4">
        <f>Table134[[#This Row],[اصله مستقل]]*Table134[[#This Row],[A_tree]]</f>
        <v>252</v>
      </c>
      <c r="J121" s="4">
        <f>IF(Table134[[#This Row],[n * A_tree ]]&gt;Table134[[#This Row],[مساحت آدرس]],1,0)</f>
        <v>0</v>
      </c>
      <c r="K121" s="8">
        <f>IF(Table134[[#This Row],[check]]=1,1,Table134[[#This Row],[A_tree]]*Table134[[#This Row],[اصله مستقل]]/Table134[[#This Row],[مساحت آدرس]])</f>
        <v>0.51533742331288346</v>
      </c>
      <c r="L121" s="14">
        <f>IF(Table134[[#This Row],[check]]=1,1,(Table134[[#This Row],[Psh]]+0.15*(1-Table134[[#This Row],[Psh]])))</f>
        <v>0.58803680981595097</v>
      </c>
      <c r="M121" s="14">
        <f>IF(Table134[[#This Row],[check]]=1,0.65,1)</f>
        <v>1</v>
      </c>
      <c r="N121" s="4">
        <v>1</v>
      </c>
      <c r="O121" s="4">
        <f>IF(Table134[[#This Row],[check]]=1,Table134[[#This Row],[مساحت آدرس]]*Table134[[#This Row],[A0 Inc]],Table134[[#This Row],[A_tree]]*Table134[[#This Row],[اصله مستقل]])</f>
        <v>252</v>
      </c>
      <c r="P121" s="11">
        <f>IF(Table134[[#This Row],[check]]=1,Table134[[#This Row],[A0]]/Table134[[#This Row],[اصله مستقل]],Table134[[#This Row],[A_tree]])</f>
        <v>9</v>
      </c>
    </row>
    <row r="122" spans="2:16" ht="18.600000000000001" x14ac:dyDescent="0.3">
      <c r="B122" s="4" t="s">
        <v>158</v>
      </c>
      <c r="C122" s="4">
        <v>66</v>
      </c>
      <c r="D122" s="4">
        <v>4</v>
      </c>
      <c r="E122" s="4">
        <v>4</v>
      </c>
      <c r="F122" s="4">
        <v>42</v>
      </c>
      <c r="G122" s="2" t="s">
        <v>21</v>
      </c>
      <c r="H122" s="4">
        <v>9</v>
      </c>
      <c r="I122" s="4">
        <f>Table134[[#This Row],[اصله مستقل]]*Table134[[#This Row],[A_tree]]</f>
        <v>36</v>
      </c>
      <c r="J122" s="4">
        <f>IF(Table134[[#This Row],[n * A_tree ]]&gt;Table134[[#This Row],[مساحت آدرس]],1,0)</f>
        <v>0</v>
      </c>
      <c r="K122" s="8">
        <f>IF(Table134[[#This Row],[check]]=1,1,Table134[[#This Row],[A_tree]]*Table134[[#This Row],[اصله مستقل]]/Table134[[#This Row],[مساحت آدرس]])</f>
        <v>0.8571428571428571</v>
      </c>
      <c r="L122" s="14">
        <f>IF(Table134[[#This Row],[check]]=1,1,(Table134[[#This Row],[Psh]]+0.15*(1-Table134[[#This Row],[Psh]])))</f>
        <v>0.87857142857142856</v>
      </c>
      <c r="M122" s="14">
        <f>IF(Table134[[#This Row],[check]]=1,0.65,1)</f>
        <v>1</v>
      </c>
      <c r="N122" s="4">
        <v>1</v>
      </c>
      <c r="O122" s="4">
        <f>IF(Table134[[#This Row],[check]]=1,Table134[[#This Row],[مساحت آدرس]]*Table134[[#This Row],[A0 Inc]],Table134[[#This Row],[A_tree]]*Table134[[#This Row],[اصله مستقل]])</f>
        <v>36</v>
      </c>
      <c r="P122" s="11">
        <f>IF(Table134[[#This Row],[check]]=1,Table134[[#This Row],[A0]]/Table134[[#This Row],[اصله مستقل]],Table134[[#This Row],[A_tree]])</f>
        <v>9</v>
      </c>
    </row>
    <row r="123" spans="2:16" ht="18.600000000000001" x14ac:dyDescent="0.3">
      <c r="B123" s="4" t="s">
        <v>159</v>
      </c>
      <c r="C123" s="4">
        <v>113</v>
      </c>
      <c r="D123" s="4">
        <v>20</v>
      </c>
      <c r="E123" s="4">
        <v>20</v>
      </c>
      <c r="F123" s="4">
        <v>91</v>
      </c>
      <c r="G123" s="2" t="s">
        <v>21</v>
      </c>
      <c r="H123" s="4">
        <v>9</v>
      </c>
      <c r="I123" s="4">
        <f>Table134[[#This Row],[اصله مستقل]]*Table134[[#This Row],[A_tree]]</f>
        <v>180</v>
      </c>
      <c r="J123" s="4">
        <f>IF(Table134[[#This Row],[n * A_tree ]]&gt;Table134[[#This Row],[مساحت آدرس]],1,0)</f>
        <v>1</v>
      </c>
      <c r="K123" s="8">
        <f>IF(Table134[[#This Row],[check]]=1,1,Table134[[#This Row],[A_tree]]*Table134[[#This Row],[اصله مستقل]]/Table134[[#This Row],[مساحت آدرس]])</f>
        <v>1</v>
      </c>
      <c r="L123" s="14">
        <f>IF(Table134[[#This Row],[check]]=1,1,(Table134[[#This Row],[Psh]]+0.15*(1-Table134[[#This Row],[Psh]])))</f>
        <v>1</v>
      </c>
      <c r="M123" s="14">
        <f>IF(Table134[[#This Row],[check]]=1,0.65,1)</f>
        <v>0.65</v>
      </c>
      <c r="N123" s="4">
        <v>1</v>
      </c>
      <c r="O123" s="4">
        <f>IF(Table134[[#This Row],[check]]=1,Table134[[#This Row],[مساحت آدرس]]*Table134[[#This Row],[A0 Inc]],Table134[[#This Row],[A_tree]]*Table134[[#This Row],[اصله مستقل]])</f>
        <v>91</v>
      </c>
      <c r="P123" s="11">
        <f>IF(Table134[[#This Row],[check]]=1,Table134[[#This Row],[A0]]/Table134[[#This Row],[اصله مستقل]],Table134[[#This Row],[A_tree]])</f>
        <v>4.55</v>
      </c>
    </row>
    <row r="124" spans="2:16" ht="18.600000000000001" x14ac:dyDescent="0.3">
      <c r="B124" s="4" t="s">
        <v>160</v>
      </c>
      <c r="C124" s="4">
        <v>189</v>
      </c>
      <c r="D124" s="4">
        <v>31</v>
      </c>
      <c r="E124" s="4">
        <v>31</v>
      </c>
      <c r="F124" s="4">
        <v>407</v>
      </c>
      <c r="G124" s="2" t="s">
        <v>21</v>
      </c>
      <c r="H124" s="4">
        <v>9</v>
      </c>
      <c r="I124" s="4">
        <f>Table134[[#This Row],[اصله مستقل]]*Table134[[#This Row],[A_tree]]</f>
        <v>279</v>
      </c>
      <c r="J124" s="4">
        <f>IF(Table134[[#This Row],[n * A_tree ]]&gt;Table134[[#This Row],[مساحت آدرس]],1,0)</f>
        <v>0</v>
      </c>
      <c r="K124" s="8">
        <f>IF(Table134[[#This Row],[check]]=1,1,Table134[[#This Row],[A_tree]]*Table134[[#This Row],[اصله مستقل]]/Table134[[#This Row],[مساحت آدرس]])</f>
        <v>0.68550368550368546</v>
      </c>
      <c r="L124" s="14">
        <f>IF(Table134[[#This Row],[check]]=1,1,(Table134[[#This Row],[Psh]]+0.15*(1-Table134[[#This Row],[Psh]])))</f>
        <v>0.73267813267813264</v>
      </c>
      <c r="M124" s="14">
        <f>IF(Table134[[#This Row],[check]]=1,0.65,1)</f>
        <v>1</v>
      </c>
      <c r="N124" s="4">
        <v>1</v>
      </c>
      <c r="O124" s="4">
        <f>IF(Table134[[#This Row],[check]]=1,Table134[[#This Row],[مساحت آدرس]]*Table134[[#This Row],[A0 Inc]],Table134[[#This Row],[A_tree]]*Table134[[#This Row],[اصله مستقل]])</f>
        <v>279</v>
      </c>
      <c r="P124" s="11">
        <f>IF(Table134[[#This Row],[check]]=1,Table134[[#This Row],[A0]]/Table134[[#This Row],[اصله مستقل]],Table134[[#This Row],[A_tree]])</f>
        <v>9</v>
      </c>
    </row>
    <row r="125" spans="2:16" ht="18.600000000000001" x14ac:dyDescent="0.3">
      <c r="B125" s="4" t="s">
        <v>161</v>
      </c>
      <c r="C125" s="4">
        <v>191</v>
      </c>
      <c r="D125" s="4">
        <v>37</v>
      </c>
      <c r="E125" s="4">
        <v>37</v>
      </c>
      <c r="F125" s="4">
        <v>135</v>
      </c>
      <c r="G125" s="2" t="s">
        <v>21</v>
      </c>
      <c r="H125" s="4">
        <v>9</v>
      </c>
      <c r="I125" s="4">
        <f>Table134[[#This Row],[اصله مستقل]]*Table134[[#This Row],[A_tree]]</f>
        <v>333</v>
      </c>
      <c r="J125" s="4">
        <f>IF(Table134[[#This Row],[n * A_tree ]]&gt;Table134[[#This Row],[مساحت آدرس]],1,0)</f>
        <v>1</v>
      </c>
      <c r="K125" s="8">
        <f>IF(Table134[[#This Row],[check]]=1,1,Table134[[#This Row],[A_tree]]*Table134[[#This Row],[اصله مستقل]]/Table134[[#This Row],[مساحت آدرس]])</f>
        <v>1</v>
      </c>
      <c r="L125" s="14">
        <f>IF(Table134[[#This Row],[check]]=1,1,(Table134[[#This Row],[Psh]]+0.15*(1-Table134[[#This Row],[Psh]])))</f>
        <v>1</v>
      </c>
      <c r="M125" s="14">
        <f>IF(Table134[[#This Row],[check]]=1,0.65,1)</f>
        <v>0.65</v>
      </c>
      <c r="N125" s="4">
        <v>1</v>
      </c>
      <c r="O125" s="4">
        <f>IF(Table134[[#This Row],[check]]=1,Table134[[#This Row],[مساحت آدرس]]*Table134[[#This Row],[A0 Inc]],Table134[[#This Row],[A_tree]]*Table134[[#This Row],[اصله مستقل]])</f>
        <v>135</v>
      </c>
      <c r="P125" s="11">
        <f>IF(Table134[[#This Row],[check]]=1,Table134[[#This Row],[A0]]/Table134[[#This Row],[اصله مستقل]],Table134[[#This Row],[A_tree]])</f>
        <v>3.6486486486486487</v>
      </c>
    </row>
    <row r="126" spans="2:16" ht="18.600000000000001" x14ac:dyDescent="0.3">
      <c r="B126" s="4" t="s">
        <v>162</v>
      </c>
      <c r="C126" s="4">
        <v>237</v>
      </c>
      <c r="D126" s="4">
        <v>41</v>
      </c>
      <c r="E126" s="4">
        <v>41</v>
      </c>
      <c r="F126" s="4">
        <v>138</v>
      </c>
      <c r="G126" s="2" t="s">
        <v>21</v>
      </c>
      <c r="H126" s="4">
        <v>9</v>
      </c>
      <c r="I126" s="4">
        <f>Table134[[#This Row],[اصله مستقل]]*Table134[[#This Row],[A_tree]]</f>
        <v>369</v>
      </c>
      <c r="J126" s="4">
        <f>IF(Table134[[#This Row],[n * A_tree ]]&gt;Table134[[#This Row],[مساحت آدرس]],1,0)</f>
        <v>1</v>
      </c>
      <c r="K126" s="8">
        <f>IF(Table134[[#This Row],[check]]=1,1,Table134[[#This Row],[A_tree]]*Table134[[#This Row],[اصله مستقل]]/Table134[[#This Row],[مساحت آدرس]])</f>
        <v>1</v>
      </c>
      <c r="L126" s="14">
        <f>IF(Table134[[#This Row],[check]]=1,1,(Table134[[#This Row],[Psh]]+0.15*(1-Table134[[#This Row],[Psh]])))</f>
        <v>1</v>
      </c>
      <c r="M126" s="14">
        <f>IF(Table134[[#This Row],[check]]=1,0.65,1)</f>
        <v>0.65</v>
      </c>
      <c r="N126" s="4">
        <v>1</v>
      </c>
      <c r="O126" s="4">
        <f>IF(Table134[[#This Row],[check]]=1,Table134[[#This Row],[مساحت آدرس]]*Table134[[#This Row],[A0 Inc]],Table134[[#This Row],[A_tree]]*Table134[[#This Row],[اصله مستقل]])</f>
        <v>138</v>
      </c>
      <c r="P126" s="11">
        <f>IF(Table134[[#This Row],[check]]=1,Table134[[#This Row],[A0]]/Table134[[#This Row],[اصله مستقل]],Table134[[#This Row],[A_tree]])</f>
        <v>3.3658536585365852</v>
      </c>
    </row>
    <row r="127" spans="2:16" ht="18.600000000000001" x14ac:dyDescent="0.3">
      <c r="B127" s="4" t="s">
        <v>163</v>
      </c>
      <c r="C127" s="4">
        <v>0</v>
      </c>
      <c r="D127" s="4">
        <v>7</v>
      </c>
      <c r="E127" s="4">
        <v>0</v>
      </c>
      <c r="F127" s="4">
        <v>95</v>
      </c>
      <c r="G127" s="2" t="s">
        <v>62</v>
      </c>
      <c r="H127" s="4">
        <v>9</v>
      </c>
      <c r="I127" s="4">
        <f>Table134[[#This Row],[اصله مستقل]]*Table134[[#This Row],[A_tree]]</f>
        <v>63</v>
      </c>
      <c r="J127" s="4">
        <f>IF(Table134[[#This Row],[n * A_tree ]]&gt;Table134[[#This Row],[مساحت آدرس]],1,0)</f>
        <v>0</v>
      </c>
      <c r="K127" s="8">
        <f>IF(Table134[[#This Row],[check]]=1,1,Table134[[#This Row],[A_tree]]*Table134[[#This Row],[اصله مستقل]]/Table134[[#This Row],[مساحت آدرس]])</f>
        <v>0.66315789473684206</v>
      </c>
      <c r="L127" s="14">
        <f>IF(Table134[[#This Row],[check]]=1,1,(Table134[[#This Row],[Psh]]+0.15*(1-Table134[[#This Row],[Psh]])))</f>
        <v>0.7136842105263157</v>
      </c>
      <c r="M127" s="14">
        <f>IF(Table134[[#This Row],[check]]=1,0.65,1)</f>
        <v>1</v>
      </c>
      <c r="N127" s="4">
        <v>1</v>
      </c>
      <c r="O127" s="4">
        <f>IF(Table134[[#This Row],[check]]=1,Table134[[#This Row],[مساحت آدرس]]*Table134[[#This Row],[A0 Inc]],Table134[[#This Row],[A_tree]]*Table134[[#This Row],[اصله مستقل]])</f>
        <v>63</v>
      </c>
      <c r="P127" s="11">
        <f>IF(Table134[[#This Row],[check]]=1,Table134[[#This Row],[A0]]/Table134[[#This Row],[اصله مستقل]],Table134[[#This Row],[A_tree]])</f>
        <v>9</v>
      </c>
    </row>
    <row r="128" spans="2:16" ht="18.600000000000001" x14ac:dyDescent="0.3">
      <c r="B128" s="4" t="s">
        <v>164</v>
      </c>
      <c r="C128" s="4">
        <v>119</v>
      </c>
      <c r="D128" s="4">
        <v>119</v>
      </c>
      <c r="E128" s="4">
        <v>119</v>
      </c>
      <c r="F128" s="4">
        <v>291</v>
      </c>
      <c r="G128" s="2" t="s">
        <v>62</v>
      </c>
      <c r="H128" s="4">
        <v>9</v>
      </c>
      <c r="I128" s="4">
        <f>Table134[[#This Row],[اصله مستقل]]*Table134[[#This Row],[A_tree]]</f>
        <v>1071</v>
      </c>
      <c r="J128" s="4">
        <f>IF(Table134[[#This Row],[n * A_tree ]]&gt;Table134[[#This Row],[مساحت آدرس]],1,0)</f>
        <v>1</v>
      </c>
      <c r="K128" s="8">
        <f>IF(Table134[[#This Row],[check]]=1,1,Table134[[#This Row],[A_tree]]*Table134[[#This Row],[اصله مستقل]]/Table134[[#This Row],[مساحت آدرس]])</f>
        <v>1</v>
      </c>
      <c r="L128" s="14">
        <f>IF(Table134[[#This Row],[check]]=1,1,(Table134[[#This Row],[Psh]]+0.15*(1-Table134[[#This Row],[Psh]])))</f>
        <v>1</v>
      </c>
      <c r="M128" s="14">
        <f>IF(Table134[[#This Row],[check]]=1,0.65,1)</f>
        <v>0.65</v>
      </c>
      <c r="N128" s="4">
        <v>1</v>
      </c>
      <c r="O128" s="4">
        <f>IF(Table134[[#This Row],[check]]=1,Table134[[#This Row],[مساحت آدرس]]*Table134[[#This Row],[A0 Inc]],Table134[[#This Row],[A_tree]]*Table134[[#This Row],[اصله مستقل]])</f>
        <v>291</v>
      </c>
      <c r="P128" s="11">
        <f>IF(Table134[[#This Row],[check]]=1,Table134[[#This Row],[A0]]/Table134[[#This Row],[اصله مستقل]],Table134[[#This Row],[A_tree]])</f>
        <v>2.4453781512605044</v>
      </c>
    </row>
    <row r="129" spans="2:16" ht="18.600000000000001" x14ac:dyDescent="0.3">
      <c r="B129" s="4" t="s">
        <v>165</v>
      </c>
      <c r="C129" s="4">
        <v>21</v>
      </c>
      <c r="D129" s="4">
        <v>7</v>
      </c>
      <c r="E129" s="4">
        <v>7</v>
      </c>
      <c r="F129" s="4">
        <v>315</v>
      </c>
      <c r="G129" s="2" t="s">
        <v>62</v>
      </c>
      <c r="H129" s="4">
        <v>9</v>
      </c>
      <c r="I129" s="4">
        <f>Table134[[#This Row],[اصله مستقل]]*Table134[[#This Row],[A_tree]]</f>
        <v>63</v>
      </c>
      <c r="J129" s="4">
        <f>IF(Table134[[#This Row],[n * A_tree ]]&gt;Table134[[#This Row],[مساحت آدرس]],1,0)</f>
        <v>0</v>
      </c>
      <c r="K129" s="8">
        <f>IF(Table134[[#This Row],[check]]=1,1,Table134[[#This Row],[A_tree]]*Table134[[#This Row],[اصله مستقل]]/Table134[[#This Row],[مساحت آدرس]])</f>
        <v>0.2</v>
      </c>
      <c r="L129" s="14">
        <f>IF(Table134[[#This Row],[check]]=1,1,(Table134[[#This Row],[Psh]]+0.15*(1-Table134[[#This Row],[Psh]])))</f>
        <v>0.32</v>
      </c>
      <c r="M129" s="14">
        <f>IF(Table134[[#This Row],[check]]=1,0.65,1)</f>
        <v>1</v>
      </c>
      <c r="N129" s="4">
        <v>1</v>
      </c>
      <c r="O129" s="4">
        <f>IF(Table134[[#This Row],[check]]=1,Table134[[#This Row],[مساحت آدرس]]*Table134[[#This Row],[A0 Inc]],Table134[[#This Row],[A_tree]]*Table134[[#This Row],[اصله مستقل]])</f>
        <v>63</v>
      </c>
      <c r="P129" s="11">
        <f>IF(Table134[[#This Row],[check]]=1,Table134[[#This Row],[A0]]/Table134[[#This Row],[اصله مستقل]],Table134[[#This Row],[A_tree]])</f>
        <v>9</v>
      </c>
    </row>
    <row r="130" spans="2:16" ht="18.600000000000001" x14ac:dyDescent="0.3">
      <c r="B130" s="4" t="s">
        <v>166</v>
      </c>
      <c r="C130" s="4">
        <v>79</v>
      </c>
      <c r="D130" s="4">
        <v>79</v>
      </c>
      <c r="E130" s="4">
        <v>79</v>
      </c>
      <c r="F130" s="4">
        <v>4901</v>
      </c>
      <c r="G130" s="2" t="s">
        <v>62</v>
      </c>
      <c r="H130" s="4">
        <v>9</v>
      </c>
      <c r="I130" s="4">
        <f>Table134[[#This Row],[اصله مستقل]]*Table134[[#This Row],[A_tree]]</f>
        <v>711</v>
      </c>
      <c r="J130" s="4">
        <f>IF(Table134[[#This Row],[n * A_tree ]]&gt;Table134[[#This Row],[مساحت آدرس]],1,0)</f>
        <v>0</v>
      </c>
      <c r="K130" s="8">
        <f>IF(Table134[[#This Row],[check]]=1,1,Table134[[#This Row],[A_tree]]*Table134[[#This Row],[اصله مستقل]]/Table134[[#This Row],[مساحت آدرس]])</f>
        <v>0.14507243419710264</v>
      </c>
      <c r="L130" s="14">
        <f>IF(Table134[[#This Row],[check]]=1,1,(Table134[[#This Row],[Psh]]+0.15*(1-Table134[[#This Row],[Psh]])))</f>
        <v>0.27331156906753729</v>
      </c>
      <c r="M130" s="14">
        <f>IF(Table134[[#This Row],[check]]=1,0.65,1)</f>
        <v>1</v>
      </c>
      <c r="N130" s="4">
        <v>1</v>
      </c>
      <c r="O130" s="4">
        <f>IF(Table134[[#This Row],[check]]=1,Table134[[#This Row],[مساحت آدرس]]*Table134[[#This Row],[A0 Inc]],Table134[[#This Row],[A_tree]]*Table134[[#This Row],[اصله مستقل]])</f>
        <v>711</v>
      </c>
      <c r="P130" s="11">
        <f>IF(Table134[[#This Row],[check]]=1,Table134[[#This Row],[A0]]/Table134[[#This Row],[اصله مستقل]],Table134[[#This Row],[A_tree]])</f>
        <v>9</v>
      </c>
    </row>
    <row r="131" spans="2:16" ht="18.600000000000001" x14ac:dyDescent="0.3">
      <c r="B131" s="4" t="s">
        <v>167</v>
      </c>
      <c r="C131" s="4">
        <v>51</v>
      </c>
      <c r="D131" s="4">
        <v>10</v>
      </c>
      <c r="E131" s="4">
        <v>10</v>
      </c>
      <c r="F131" s="4">
        <v>533</v>
      </c>
      <c r="G131" s="2" t="s">
        <v>62</v>
      </c>
      <c r="H131" s="4">
        <v>9</v>
      </c>
      <c r="I131" s="4">
        <f>Table134[[#This Row],[اصله مستقل]]*Table134[[#This Row],[A_tree]]</f>
        <v>90</v>
      </c>
      <c r="J131" s="4">
        <f>IF(Table134[[#This Row],[n * A_tree ]]&gt;Table134[[#This Row],[مساحت آدرس]],1,0)</f>
        <v>0</v>
      </c>
      <c r="K131" s="8">
        <f>IF(Table134[[#This Row],[check]]=1,1,Table134[[#This Row],[A_tree]]*Table134[[#This Row],[اصله مستقل]]/Table134[[#This Row],[مساحت آدرس]])</f>
        <v>0.16885553470919323</v>
      </c>
      <c r="L131" s="14">
        <f>IF(Table134[[#This Row],[check]]=1,1,(Table134[[#This Row],[Psh]]+0.15*(1-Table134[[#This Row],[Psh]])))</f>
        <v>0.29352720450281422</v>
      </c>
      <c r="M131" s="14">
        <f>IF(Table134[[#This Row],[check]]=1,0.65,1)</f>
        <v>1</v>
      </c>
      <c r="N131" s="4">
        <v>1</v>
      </c>
      <c r="O131" s="4">
        <f>IF(Table134[[#This Row],[check]]=1,Table134[[#This Row],[مساحت آدرس]]*Table134[[#This Row],[A0 Inc]],Table134[[#This Row],[A_tree]]*Table134[[#This Row],[اصله مستقل]])</f>
        <v>90</v>
      </c>
      <c r="P131" s="11">
        <f>IF(Table134[[#This Row],[check]]=1,Table134[[#This Row],[A0]]/Table134[[#This Row],[اصله مستقل]],Table134[[#This Row],[A_tree]])</f>
        <v>9</v>
      </c>
    </row>
    <row r="132" spans="2:16" ht="18.600000000000001" x14ac:dyDescent="0.3">
      <c r="B132" s="4" t="s">
        <v>168</v>
      </c>
      <c r="C132" s="4">
        <v>251</v>
      </c>
      <c r="D132" s="4">
        <v>20</v>
      </c>
      <c r="E132" s="4">
        <v>20</v>
      </c>
      <c r="F132" s="4">
        <v>1405</v>
      </c>
      <c r="G132" s="2" t="s">
        <v>3</v>
      </c>
      <c r="H132" s="4">
        <v>9</v>
      </c>
      <c r="I132" s="4">
        <f>Table134[[#This Row],[اصله مستقل]]*Table134[[#This Row],[A_tree]]</f>
        <v>180</v>
      </c>
      <c r="J132" s="4">
        <f>IF(Table134[[#This Row],[n * A_tree ]]&gt;Table134[[#This Row],[مساحت آدرس]],1,0)</f>
        <v>0</v>
      </c>
      <c r="K132" s="8">
        <f>IF(Table134[[#This Row],[check]]=1,1,Table134[[#This Row],[A_tree]]*Table134[[#This Row],[اصله مستقل]]/Table134[[#This Row],[مساحت آدرس]])</f>
        <v>0.12811387900355872</v>
      </c>
      <c r="L132" s="14">
        <f>IF(Table134[[#This Row],[check]]=1,1,(Table134[[#This Row],[Psh]]+0.15*(1-Table134[[#This Row],[Psh]])))</f>
        <v>0.25889679715302494</v>
      </c>
      <c r="M132" s="14">
        <f>IF(Table134[[#This Row],[check]]=1,0.65,1)</f>
        <v>1</v>
      </c>
      <c r="N132" s="4">
        <v>1</v>
      </c>
      <c r="O132" s="4">
        <f>IF(Table134[[#This Row],[check]]=1,Table134[[#This Row],[مساحت آدرس]]*Table134[[#This Row],[A0 Inc]],Table134[[#This Row],[A_tree]]*Table134[[#This Row],[اصله مستقل]])</f>
        <v>180</v>
      </c>
      <c r="P132" s="11">
        <f>IF(Table134[[#This Row],[check]]=1,Table134[[#This Row],[A0]]/Table134[[#This Row],[اصله مستقل]],Table134[[#This Row],[A_tree]])</f>
        <v>9</v>
      </c>
    </row>
    <row r="133" spans="2:16" ht="18.600000000000001" x14ac:dyDescent="0.3">
      <c r="B133" s="4" t="s">
        <v>169</v>
      </c>
      <c r="C133" s="4">
        <v>312</v>
      </c>
      <c r="D133" s="4">
        <v>70</v>
      </c>
      <c r="E133" s="4">
        <v>100</v>
      </c>
      <c r="F133" s="4">
        <v>1408</v>
      </c>
      <c r="G133" s="2" t="s">
        <v>3</v>
      </c>
      <c r="H133" s="4">
        <v>9</v>
      </c>
      <c r="I133" s="4">
        <f>Table134[[#This Row],[اصله مستقل]]*Table134[[#This Row],[A_tree]]</f>
        <v>630</v>
      </c>
      <c r="J133" s="4">
        <f>IF(Table134[[#This Row],[n * A_tree ]]&gt;Table134[[#This Row],[مساحت آدرس]],1,0)</f>
        <v>0</v>
      </c>
      <c r="K133" s="8">
        <f>IF(Table134[[#This Row],[check]]=1,1,Table134[[#This Row],[A_tree]]*Table134[[#This Row],[اصله مستقل]]/Table134[[#This Row],[مساحت آدرس]])</f>
        <v>0.44744318181818182</v>
      </c>
      <c r="L133" s="14">
        <f>IF(Table134[[#This Row],[check]]=1,1,(Table134[[#This Row],[Psh]]+0.15*(1-Table134[[#This Row],[Psh]])))</f>
        <v>0.5303267045454545</v>
      </c>
      <c r="M133" s="14">
        <f>IF(Table134[[#This Row],[check]]=1,0.65,1)</f>
        <v>1</v>
      </c>
      <c r="N133" s="4">
        <v>1</v>
      </c>
      <c r="O133" s="4">
        <f>IF(Table134[[#This Row],[check]]=1,Table134[[#This Row],[مساحت آدرس]]*Table134[[#This Row],[A0 Inc]],Table134[[#This Row],[A_tree]]*Table134[[#This Row],[اصله مستقل]])</f>
        <v>630</v>
      </c>
      <c r="P133" s="11">
        <f>IF(Table134[[#This Row],[check]]=1,Table134[[#This Row],[A0]]/Table134[[#This Row],[اصله مستقل]],Table134[[#This Row],[A_tree]])</f>
        <v>9</v>
      </c>
    </row>
    <row r="134" spans="2:16" ht="18.600000000000001" x14ac:dyDescent="0.3">
      <c r="B134" s="4" t="s">
        <v>170</v>
      </c>
      <c r="C134" s="4">
        <v>309</v>
      </c>
      <c r="D134" s="4">
        <v>309</v>
      </c>
      <c r="E134" s="4">
        <v>1200</v>
      </c>
      <c r="F134" s="4">
        <v>4695</v>
      </c>
      <c r="G134" s="2" t="s">
        <v>3</v>
      </c>
      <c r="H134" s="4">
        <v>9</v>
      </c>
      <c r="I134" s="4">
        <f>Table134[[#This Row],[اصله مستقل]]*Table134[[#This Row],[A_tree]]</f>
        <v>2781</v>
      </c>
      <c r="J134" s="4">
        <f>IF(Table134[[#This Row],[n * A_tree ]]&gt;Table134[[#This Row],[مساحت آدرس]],1,0)</f>
        <v>0</v>
      </c>
      <c r="K134" s="8">
        <f>IF(Table134[[#This Row],[check]]=1,1,Table134[[#This Row],[A_tree]]*Table134[[#This Row],[اصله مستقل]]/Table134[[#This Row],[مساحت آدرس]])</f>
        <v>0.59233226837060704</v>
      </c>
      <c r="L134" s="14">
        <f>IF(Table134[[#This Row],[check]]=1,1,(Table134[[#This Row],[Psh]]+0.15*(1-Table134[[#This Row],[Psh]])))</f>
        <v>0.653482428115016</v>
      </c>
      <c r="M134" s="14">
        <f>IF(Table134[[#This Row],[check]]=1,0.65,1)</f>
        <v>1</v>
      </c>
      <c r="N134" s="4">
        <v>1</v>
      </c>
      <c r="O134" s="4">
        <f>IF(Table134[[#This Row],[check]]=1,Table134[[#This Row],[مساحت آدرس]]*Table134[[#This Row],[A0 Inc]],Table134[[#This Row],[A_tree]]*Table134[[#This Row],[اصله مستقل]])</f>
        <v>2781</v>
      </c>
      <c r="P134" s="11">
        <f>IF(Table134[[#This Row],[check]]=1,Table134[[#This Row],[A0]]/Table134[[#This Row],[اصله مستقل]],Table134[[#This Row],[A_tree]])</f>
        <v>9</v>
      </c>
    </row>
    <row r="135" spans="2:16" ht="18.600000000000001" x14ac:dyDescent="0.3">
      <c r="B135" s="4" t="s">
        <v>171</v>
      </c>
      <c r="C135" s="4">
        <v>87</v>
      </c>
      <c r="D135" s="4">
        <v>71</v>
      </c>
      <c r="E135" s="4">
        <v>217</v>
      </c>
      <c r="F135" s="4">
        <v>367</v>
      </c>
      <c r="G135" s="2" t="s">
        <v>21</v>
      </c>
      <c r="H135" s="4">
        <v>9</v>
      </c>
      <c r="I135" s="4">
        <f>Table134[[#This Row],[اصله مستقل]]*Table134[[#This Row],[A_tree]]</f>
        <v>639</v>
      </c>
      <c r="J135" s="4">
        <f>IF(Table134[[#This Row],[n * A_tree ]]&gt;Table134[[#This Row],[مساحت آدرس]],1,0)</f>
        <v>1</v>
      </c>
      <c r="K135" s="8">
        <f>IF(Table134[[#This Row],[check]]=1,1,Table134[[#This Row],[A_tree]]*Table134[[#This Row],[اصله مستقل]]/Table134[[#This Row],[مساحت آدرس]])</f>
        <v>1</v>
      </c>
      <c r="L135" s="14">
        <f>IF(Table134[[#This Row],[check]]=1,1,(Table134[[#This Row],[Psh]]+0.15*(1-Table134[[#This Row],[Psh]])))</f>
        <v>1</v>
      </c>
      <c r="M135" s="14">
        <f>IF(Table134[[#This Row],[check]]=1,0.65,1)</f>
        <v>0.65</v>
      </c>
      <c r="N135" s="4">
        <v>1</v>
      </c>
      <c r="O135" s="4">
        <f>IF(Table134[[#This Row],[check]]=1,Table134[[#This Row],[مساحت آدرس]]*Table134[[#This Row],[A0 Inc]],Table134[[#This Row],[A_tree]]*Table134[[#This Row],[اصله مستقل]])</f>
        <v>367</v>
      </c>
      <c r="P135" s="11">
        <f>IF(Table134[[#This Row],[check]]=1,Table134[[#This Row],[A0]]/Table134[[#This Row],[اصله مستقل]],Table134[[#This Row],[A_tree]])</f>
        <v>5.169014084507042</v>
      </c>
    </row>
    <row r="136" spans="2:16" ht="18.600000000000001" x14ac:dyDescent="0.3">
      <c r="B136" s="4" t="s">
        <v>172</v>
      </c>
      <c r="C136" s="4">
        <v>358</v>
      </c>
      <c r="D136" s="4">
        <v>97</v>
      </c>
      <c r="E136" s="4">
        <v>120</v>
      </c>
      <c r="F136" s="4">
        <v>1585</v>
      </c>
      <c r="G136" s="2" t="s">
        <v>21</v>
      </c>
      <c r="H136" s="4">
        <v>9</v>
      </c>
      <c r="I136" s="4">
        <f>Table134[[#This Row],[اصله مستقل]]*Table134[[#This Row],[A_tree]]</f>
        <v>873</v>
      </c>
      <c r="J136" s="4">
        <f>IF(Table134[[#This Row],[n * A_tree ]]&gt;Table134[[#This Row],[مساحت آدرس]],1,0)</f>
        <v>0</v>
      </c>
      <c r="K136" s="8">
        <f>IF(Table134[[#This Row],[check]]=1,1,Table134[[#This Row],[A_tree]]*Table134[[#This Row],[اصله مستقل]]/Table134[[#This Row],[مساحت آدرس]])</f>
        <v>0.55078864353312307</v>
      </c>
      <c r="L136" s="14">
        <f>IF(Table134[[#This Row],[check]]=1,1,(Table134[[#This Row],[Psh]]+0.15*(1-Table134[[#This Row],[Psh]])))</f>
        <v>0.61817034700315465</v>
      </c>
      <c r="M136" s="14">
        <f>IF(Table134[[#This Row],[check]]=1,0.65,1)</f>
        <v>1</v>
      </c>
      <c r="N136" s="4">
        <v>1</v>
      </c>
      <c r="O136" s="4">
        <f>IF(Table134[[#This Row],[check]]=1,Table134[[#This Row],[مساحت آدرس]]*Table134[[#This Row],[A0 Inc]],Table134[[#This Row],[A_tree]]*Table134[[#This Row],[اصله مستقل]])</f>
        <v>873</v>
      </c>
      <c r="P136" s="11">
        <f>IF(Table134[[#This Row],[check]]=1,Table134[[#This Row],[A0]]/Table134[[#This Row],[اصله مستقل]],Table134[[#This Row],[A_tree]])</f>
        <v>9</v>
      </c>
    </row>
    <row r="137" spans="2:16" ht="18.600000000000001" x14ac:dyDescent="0.3">
      <c r="B137" s="4" t="s">
        <v>173</v>
      </c>
      <c r="C137" s="4">
        <v>461</v>
      </c>
      <c r="D137" s="4">
        <v>125</v>
      </c>
      <c r="E137" s="4">
        <v>125</v>
      </c>
      <c r="F137" s="4">
        <v>2325</v>
      </c>
      <c r="G137" s="2" t="s">
        <v>21</v>
      </c>
      <c r="H137" s="4">
        <v>9</v>
      </c>
      <c r="I137" s="4">
        <f>Table134[[#This Row],[اصله مستقل]]*Table134[[#This Row],[A_tree]]</f>
        <v>1125</v>
      </c>
      <c r="J137" s="4">
        <f>IF(Table134[[#This Row],[n * A_tree ]]&gt;Table134[[#This Row],[مساحت آدرس]],1,0)</f>
        <v>0</v>
      </c>
      <c r="K137" s="8">
        <f>IF(Table134[[#This Row],[check]]=1,1,Table134[[#This Row],[A_tree]]*Table134[[#This Row],[اصله مستقل]]/Table134[[#This Row],[مساحت آدرس]])</f>
        <v>0.4838709677419355</v>
      </c>
      <c r="L137" s="14">
        <f>IF(Table134[[#This Row],[check]]=1,1,(Table134[[#This Row],[Psh]]+0.15*(1-Table134[[#This Row],[Psh]])))</f>
        <v>0.56129032258064515</v>
      </c>
      <c r="M137" s="14">
        <f>IF(Table134[[#This Row],[check]]=1,0.65,1)</f>
        <v>1</v>
      </c>
      <c r="N137" s="4">
        <v>1</v>
      </c>
      <c r="O137" s="4">
        <f>IF(Table134[[#This Row],[check]]=1,Table134[[#This Row],[مساحت آدرس]]*Table134[[#This Row],[A0 Inc]],Table134[[#This Row],[A_tree]]*Table134[[#This Row],[اصله مستقل]])</f>
        <v>1125</v>
      </c>
      <c r="P137" s="11">
        <f>IF(Table134[[#This Row],[check]]=1,Table134[[#This Row],[A0]]/Table134[[#This Row],[اصله مستقل]],Table134[[#This Row],[A_tree]])</f>
        <v>9</v>
      </c>
    </row>
    <row r="138" spans="2:16" ht="18.600000000000001" x14ac:dyDescent="0.3">
      <c r="B138" s="4" t="s">
        <v>178</v>
      </c>
      <c r="C138" s="4">
        <v>222</v>
      </c>
      <c r="D138" s="4">
        <v>200</v>
      </c>
      <c r="E138" s="4">
        <v>530</v>
      </c>
      <c r="F138" s="4">
        <v>550</v>
      </c>
      <c r="G138" s="2" t="s">
        <v>21</v>
      </c>
      <c r="H138" s="4">
        <v>9</v>
      </c>
      <c r="I138" s="4">
        <f>Table134[[#This Row],[اصله مستقل]]*Table134[[#This Row],[A_tree]]</f>
        <v>1800</v>
      </c>
      <c r="J138" s="4">
        <f>IF(Table134[[#This Row],[n * A_tree ]]&gt;Table134[[#This Row],[مساحت آدرس]],1,0)</f>
        <v>1</v>
      </c>
      <c r="K138" s="8">
        <f>IF(Table134[[#This Row],[check]]=1,1,Table134[[#This Row],[A_tree]]*Table134[[#This Row],[اصله مستقل]]/Table134[[#This Row],[مساحت آدرس]])</f>
        <v>1</v>
      </c>
      <c r="L138" s="14">
        <f>IF(Table134[[#This Row],[check]]=1,1,(Table134[[#This Row],[Psh]]+0.15*(1-Table134[[#This Row],[Psh]])))</f>
        <v>1</v>
      </c>
      <c r="M138" s="14">
        <f>IF(Table134[[#This Row],[check]]=1,0.65,1)</f>
        <v>0.65</v>
      </c>
      <c r="N138" s="4">
        <v>1</v>
      </c>
      <c r="O138" s="4">
        <f>IF(Table134[[#This Row],[check]]=1,Table134[[#This Row],[مساحت آدرس]]*Table134[[#This Row],[A0 Inc]],Table134[[#This Row],[A_tree]]*Table134[[#This Row],[اصله مستقل]])</f>
        <v>550</v>
      </c>
      <c r="P138" s="11">
        <f>IF(Table134[[#This Row],[check]]=1,Table134[[#This Row],[A0]]/Table134[[#This Row],[اصله مستقل]],Table134[[#This Row],[A_tree]])</f>
        <v>2.75</v>
      </c>
    </row>
    <row r="139" spans="2:16" ht="18.600000000000001" x14ac:dyDescent="0.3">
      <c r="B139" s="4" t="s">
        <v>179</v>
      </c>
      <c r="C139" s="4">
        <v>195</v>
      </c>
      <c r="D139" s="4">
        <v>175</v>
      </c>
      <c r="E139" s="4">
        <v>562</v>
      </c>
      <c r="F139" s="4">
        <v>682</v>
      </c>
      <c r="G139" s="2" t="s">
        <v>21</v>
      </c>
      <c r="H139" s="4">
        <v>9</v>
      </c>
      <c r="I139" s="4">
        <f>Table134[[#This Row],[اصله مستقل]]*Table134[[#This Row],[A_tree]]</f>
        <v>1575</v>
      </c>
      <c r="J139" s="4">
        <f>IF(Table134[[#This Row],[n * A_tree ]]&gt;Table134[[#This Row],[مساحت آدرس]],1,0)</f>
        <v>1</v>
      </c>
      <c r="K139" s="8">
        <f>IF(Table134[[#This Row],[check]]=1,1,Table134[[#This Row],[A_tree]]*Table134[[#This Row],[اصله مستقل]]/Table134[[#This Row],[مساحت آدرس]])</f>
        <v>1</v>
      </c>
      <c r="L139" s="14">
        <f>IF(Table134[[#This Row],[check]]=1,1,(Table134[[#This Row],[Psh]]+0.15*(1-Table134[[#This Row],[Psh]])))</f>
        <v>1</v>
      </c>
      <c r="M139" s="14">
        <f>IF(Table134[[#This Row],[check]]=1,0.65,1)</f>
        <v>0.65</v>
      </c>
      <c r="N139" s="4">
        <v>1</v>
      </c>
      <c r="O139" s="4">
        <f>IF(Table134[[#This Row],[check]]=1,Table134[[#This Row],[مساحت آدرس]]*Table134[[#This Row],[A0 Inc]],Table134[[#This Row],[A_tree]]*Table134[[#This Row],[اصله مستقل]])</f>
        <v>682</v>
      </c>
      <c r="P139" s="11">
        <f>IF(Table134[[#This Row],[check]]=1,Table134[[#This Row],[A0]]/Table134[[#This Row],[اصله مستقل]],Table134[[#This Row],[A_tree]])</f>
        <v>3.8971428571428572</v>
      </c>
    </row>
    <row r="140" spans="2:16" ht="18.600000000000001" x14ac:dyDescent="0.3">
      <c r="B140" s="4" t="s">
        <v>180</v>
      </c>
      <c r="C140" s="4">
        <v>971</v>
      </c>
      <c r="D140" s="4">
        <v>100</v>
      </c>
      <c r="E140" s="4">
        <v>120</v>
      </c>
      <c r="F140" s="4">
        <v>6275</v>
      </c>
      <c r="G140" s="2" t="s">
        <v>21</v>
      </c>
      <c r="H140" s="4">
        <v>9</v>
      </c>
      <c r="I140" s="4">
        <f>Table134[[#This Row],[اصله مستقل]]*Table134[[#This Row],[A_tree]]</f>
        <v>900</v>
      </c>
      <c r="J140" s="4">
        <f>IF(Table134[[#This Row],[n * A_tree ]]&gt;Table134[[#This Row],[مساحت آدرس]],1,0)</f>
        <v>0</v>
      </c>
      <c r="K140" s="8">
        <f>IF(Table134[[#This Row],[check]]=1,1,Table134[[#This Row],[A_tree]]*Table134[[#This Row],[اصله مستقل]]/Table134[[#This Row],[مساحت آدرس]])</f>
        <v>0.14342629482071714</v>
      </c>
      <c r="L140" s="14">
        <f>IF(Table134[[#This Row],[check]]=1,1,(Table134[[#This Row],[Psh]]+0.15*(1-Table134[[#This Row],[Psh]])))</f>
        <v>0.27191235059760954</v>
      </c>
      <c r="M140" s="14">
        <f>IF(Table134[[#This Row],[check]]=1,0.65,1)</f>
        <v>1</v>
      </c>
      <c r="N140" s="4">
        <v>1</v>
      </c>
      <c r="O140" s="4">
        <f>IF(Table134[[#This Row],[check]]=1,Table134[[#This Row],[مساحت آدرس]]*Table134[[#This Row],[A0 Inc]],Table134[[#This Row],[A_tree]]*Table134[[#This Row],[اصله مستقل]])</f>
        <v>900</v>
      </c>
      <c r="P140" s="11">
        <f>IF(Table134[[#This Row],[check]]=1,Table134[[#This Row],[A0]]/Table134[[#This Row],[اصله مستقل]],Table134[[#This Row],[A_tree]])</f>
        <v>9</v>
      </c>
    </row>
    <row r="141" spans="2:16" ht="18.600000000000001" x14ac:dyDescent="0.3">
      <c r="B141" s="4" t="s">
        <v>181</v>
      </c>
      <c r="C141" s="4">
        <v>481</v>
      </c>
      <c r="D141" s="4">
        <v>30</v>
      </c>
      <c r="E141" s="4">
        <v>40</v>
      </c>
      <c r="F141" s="4">
        <v>3680</v>
      </c>
      <c r="G141" s="2" t="s">
        <v>21</v>
      </c>
      <c r="H141" s="4">
        <v>9</v>
      </c>
      <c r="I141" s="4">
        <f>Table134[[#This Row],[اصله مستقل]]*Table134[[#This Row],[A_tree]]</f>
        <v>270</v>
      </c>
      <c r="J141" s="4">
        <f>IF(Table134[[#This Row],[n * A_tree ]]&gt;Table134[[#This Row],[مساحت آدرس]],1,0)</f>
        <v>0</v>
      </c>
      <c r="K141" s="8">
        <f>IF(Table134[[#This Row],[check]]=1,1,Table134[[#This Row],[A_tree]]*Table134[[#This Row],[اصله مستقل]]/Table134[[#This Row],[مساحت آدرس]])</f>
        <v>7.3369565217391311E-2</v>
      </c>
      <c r="L141" s="14">
        <f>IF(Table134[[#This Row],[check]]=1,1,(Table134[[#This Row],[Psh]]+0.15*(1-Table134[[#This Row],[Psh]])))</f>
        <v>0.21236413043478258</v>
      </c>
      <c r="M141" s="14">
        <f>IF(Table134[[#This Row],[check]]=1,0.65,1)</f>
        <v>1</v>
      </c>
      <c r="N141" s="4">
        <v>1</v>
      </c>
      <c r="O141" s="4">
        <f>IF(Table134[[#This Row],[check]]=1,Table134[[#This Row],[مساحت آدرس]]*Table134[[#This Row],[A0 Inc]],Table134[[#This Row],[A_tree]]*Table134[[#This Row],[اصله مستقل]])</f>
        <v>270</v>
      </c>
      <c r="P141" s="11">
        <f>IF(Table134[[#This Row],[check]]=1,Table134[[#This Row],[A0]]/Table134[[#This Row],[اصله مستقل]],Table134[[#This Row],[A_tree]])</f>
        <v>9</v>
      </c>
    </row>
    <row r="142" spans="2:16" ht="18.600000000000001" x14ac:dyDescent="0.3">
      <c r="B142" s="4" t="s">
        <v>182</v>
      </c>
      <c r="C142" s="4">
        <v>407</v>
      </c>
      <c r="D142" s="4">
        <v>323</v>
      </c>
      <c r="E142" s="4">
        <v>620</v>
      </c>
      <c r="F142" s="4">
        <v>870</v>
      </c>
      <c r="G142" s="2" t="s">
        <v>21</v>
      </c>
      <c r="H142" s="4">
        <v>9</v>
      </c>
      <c r="I142" s="4">
        <f>Table134[[#This Row],[اصله مستقل]]*Table134[[#This Row],[A_tree]]</f>
        <v>2907</v>
      </c>
      <c r="J142" s="4">
        <f>IF(Table134[[#This Row],[n * A_tree ]]&gt;Table134[[#This Row],[مساحت آدرس]],1,0)</f>
        <v>1</v>
      </c>
      <c r="K142" s="8">
        <f>IF(Table134[[#This Row],[check]]=1,1,Table134[[#This Row],[A_tree]]*Table134[[#This Row],[اصله مستقل]]/Table134[[#This Row],[مساحت آدرس]])</f>
        <v>1</v>
      </c>
      <c r="L142" s="14">
        <f>IF(Table134[[#This Row],[check]]=1,1,(Table134[[#This Row],[Psh]]+0.15*(1-Table134[[#This Row],[Psh]])))</f>
        <v>1</v>
      </c>
      <c r="M142" s="14">
        <f>IF(Table134[[#This Row],[check]]=1,0.65,1)</f>
        <v>0.65</v>
      </c>
      <c r="N142" s="4">
        <v>1</v>
      </c>
      <c r="O142" s="4">
        <f>IF(Table134[[#This Row],[check]]=1,Table134[[#This Row],[مساحت آدرس]]*Table134[[#This Row],[A0 Inc]],Table134[[#This Row],[A_tree]]*Table134[[#This Row],[اصله مستقل]])</f>
        <v>870</v>
      </c>
      <c r="P142" s="11">
        <f>IF(Table134[[#This Row],[check]]=1,Table134[[#This Row],[A0]]/Table134[[#This Row],[اصله مستقل]],Table134[[#This Row],[A_tree]])</f>
        <v>2.6934984520123839</v>
      </c>
    </row>
    <row r="143" spans="2:16" ht="18.600000000000001" x14ac:dyDescent="0.3">
      <c r="B143" s="4" t="s">
        <v>183</v>
      </c>
      <c r="C143" s="4">
        <v>397</v>
      </c>
      <c r="D143" s="4">
        <v>20</v>
      </c>
      <c r="E143" s="4">
        <v>20</v>
      </c>
      <c r="F143" s="4">
        <v>2330</v>
      </c>
      <c r="G143" s="2" t="s">
        <v>21</v>
      </c>
      <c r="H143" s="4">
        <v>9</v>
      </c>
      <c r="I143" s="4">
        <f>Table134[[#This Row],[اصله مستقل]]*Table134[[#This Row],[A_tree]]</f>
        <v>180</v>
      </c>
      <c r="J143" s="4">
        <f>IF(Table134[[#This Row],[n * A_tree ]]&gt;Table134[[#This Row],[مساحت آدرس]],1,0)</f>
        <v>0</v>
      </c>
      <c r="K143" s="8">
        <f>IF(Table134[[#This Row],[check]]=1,1,Table134[[#This Row],[A_tree]]*Table134[[#This Row],[اصله مستقل]]/Table134[[#This Row],[مساحت آدرس]])</f>
        <v>7.7253218884120178E-2</v>
      </c>
      <c r="L143" s="14">
        <f>IF(Table134[[#This Row],[check]]=1,1,(Table134[[#This Row],[Psh]]+0.15*(1-Table134[[#This Row],[Psh]])))</f>
        <v>0.21566523605150215</v>
      </c>
      <c r="M143" s="14">
        <f>IF(Table134[[#This Row],[check]]=1,0.65,1)</f>
        <v>1</v>
      </c>
      <c r="N143" s="4">
        <v>1</v>
      </c>
      <c r="O143" s="4">
        <f>IF(Table134[[#This Row],[check]]=1,Table134[[#This Row],[مساحت آدرس]]*Table134[[#This Row],[A0 Inc]],Table134[[#This Row],[A_tree]]*Table134[[#This Row],[اصله مستقل]])</f>
        <v>180</v>
      </c>
      <c r="P143" s="11">
        <f>IF(Table134[[#This Row],[check]]=1,Table134[[#This Row],[A0]]/Table134[[#This Row],[اصله مستقل]],Table134[[#This Row],[A_tree]])</f>
        <v>9</v>
      </c>
    </row>
    <row r="144" spans="2:16" ht="18.600000000000001" x14ac:dyDescent="0.3">
      <c r="B144" s="4" t="s">
        <v>184</v>
      </c>
      <c r="C144" s="4">
        <v>338</v>
      </c>
      <c r="D144" s="4">
        <v>25</v>
      </c>
      <c r="E144" s="4">
        <v>30</v>
      </c>
      <c r="F144" s="4">
        <v>1030</v>
      </c>
      <c r="G144" s="2" t="s">
        <v>21</v>
      </c>
      <c r="H144" s="4">
        <v>9</v>
      </c>
      <c r="I144" s="4">
        <f>Table134[[#This Row],[اصله مستقل]]*Table134[[#This Row],[A_tree]]</f>
        <v>225</v>
      </c>
      <c r="J144" s="4">
        <f>IF(Table134[[#This Row],[n * A_tree ]]&gt;Table134[[#This Row],[مساحت آدرس]],1,0)</f>
        <v>0</v>
      </c>
      <c r="K144" s="8">
        <f>IF(Table134[[#This Row],[check]]=1,1,Table134[[#This Row],[A_tree]]*Table134[[#This Row],[اصله مستقل]]/Table134[[#This Row],[مساحت آدرس]])</f>
        <v>0.21844660194174756</v>
      </c>
      <c r="L144" s="14">
        <f>IF(Table134[[#This Row],[check]]=1,1,(Table134[[#This Row],[Psh]]+0.15*(1-Table134[[#This Row],[Psh]])))</f>
        <v>0.33567961165048543</v>
      </c>
      <c r="M144" s="14">
        <f>IF(Table134[[#This Row],[check]]=1,0.65,1)</f>
        <v>1</v>
      </c>
      <c r="N144" s="4">
        <v>1</v>
      </c>
      <c r="O144" s="4">
        <f>IF(Table134[[#This Row],[check]]=1,Table134[[#This Row],[مساحت آدرس]]*Table134[[#This Row],[A0 Inc]],Table134[[#This Row],[A_tree]]*Table134[[#This Row],[اصله مستقل]])</f>
        <v>225</v>
      </c>
      <c r="P144" s="11">
        <f>IF(Table134[[#This Row],[check]]=1,Table134[[#This Row],[A0]]/Table134[[#This Row],[اصله مستقل]],Table134[[#This Row],[A_tree]])</f>
        <v>9</v>
      </c>
    </row>
    <row r="145" spans="2:16" ht="18.600000000000001" x14ac:dyDescent="0.3">
      <c r="B145" s="4" t="s">
        <v>185</v>
      </c>
      <c r="C145" s="4">
        <v>298</v>
      </c>
      <c r="D145" s="4">
        <v>270</v>
      </c>
      <c r="E145" s="4">
        <v>450</v>
      </c>
      <c r="F145" s="4">
        <v>550</v>
      </c>
      <c r="G145" s="2" t="s">
        <v>21</v>
      </c>
      <c r="H145" s="4">
        <v>9</v>
      </c>
      <c r="I145" s="4">
        <f>Table134[[#This Row],[اصله مستقل]]*Table134[[#This Row],[A_tree]]</f>
        <v>2430</v>
      </c>
      <c r="J145" s="4">
        <f>IF(Table134[[#This Row],[n * A_tree ]]&gt;Table134[[#This Row],[مساحت آدرس]],1,0)</f>
        <v>1</v>
      </c>
      <c r="K145" s="8">
        <f>IF(Table134[[#This Row],[check]]=1,1,Table134[[#This Row],[A_tree]]*Table134[[#This Row],[اصله مستقل]]/Table134[[#This Row],[مساحت آدرس]])</f>
        <v>1</v>
      </c>
      <c r="L145" s="14">
        <f>IF(Table134[[#This Row],[check]]=1,1,(Table134[[#This Row],[Psh]]+0.15*(1-Table134[[#This Row],[Psh]])))</f>
        <v>1</v>
      </c>
      <c r="M145" s="14">
        <f>IF(Table134[[#This Row],[check]]=1,0.65,1)</f>
        <v>0.65</v>
      </c>
      <c r="N145" s="4">
        <v>1</v>
      </c>
      <c r="O145" s="4">
        <f>IF(Table134[[#This Row],[check]]=1,Table134[[#This Row],[مساحت آدرس]]*Table134[[#This Row],[A0 Inc]],Table134[[#This Row],[A_tree]]*Table134[[#This Row],[اصله مستقل]])</f>
        <v>550</v>
      </c>
      <c r="P145" s="11">
        <f>IF(Table134[[#This Row],[check]]=1,Table134[[#This Row],[A0]]/Table134[[#This Row],[اصله مستقل]],Table134[[#This Row],[A_tree]])</f>
        <v>2.0370370370370372</v>
      </c>
    </row>
    <row r="146" spans="2:16" ht="18.600000000000001" x14ac:dyDescent="0.3">
      <c r="B146" s="4" t="s">
        <v>186</v>
      </c>
      <c r="C146" s="4">
        <v>133</v>
      </c>
      <c r="D146" s="4">
        <v>130</v>
      </c>
      <c r="E146" s="4">
        <v>395</v>
      </c>
      <c r="F146" s="4">
        <v>445</v>
      </c>
      <c r="G146" s="2" t="s">
        <v>21</v>
      </c>
      <c r="H146" s="4">
        <v>9</v>
      </c>
      <c r="I146" s="4">
        <f>Table134[[#This Row],[اصله مستقل]]*Table134[[#This Row],[A_tree]]</f>
        <v>1170</v>
      </c>
      <c r="J146" s="4">
        <f>IF(Table134[[#This Row],[n * A_tree ]]&gt;Table134[[#This Row],[مساحت آدرس]],1,0)</f>
        <v>1</v>
      </c>
      <c r="K146" s="8">
        <f>IF(Table134[[#This Row],[check]]=1,1,Table134[[#This Row],[A_tree]]*Table134[[#This Row],[اصله مستقل]]/Table134[[#This Row],[مساحت آدرس]])</f>
        <v>1</v>
      </c>
      <c r="L146" s="14">
        <f>IF(Table134[[#This Row],[check]]=1,1,(Table134[[#This Row],[Psh]]+0.15*(1-Table134[[#This Row],[Psh]])))</f>
        <v>1</v>
      </c>
      <c r="M146" s="14">
        <f>IF(Table134[[#This Row],[check]]=1,0.65,1)</f>
        <v>0.65</v>
      </c>
      <c r="N146" s="4">
        <v>1</v>
      </c>
      <c r="O146" s="4">
        <f>IF(Table134[[#This Row],[check]]=1,Table134[[#This Row],[مساحت آدرس]]*Table134[[#This Row],[A0 Inc]],Table134[[#This Row],[A_tree]]*Table134[[#This Row],[اصله مستقل]])</f>
        <v>445</v>
      </c>
      <c r="P146" s="11">
        <f>IF(Table134[[#This Row],[check]]=1,Table134[[#This Row],[A0]]/Table134[[#This Row],[اصله مستقل]],Table134[[#This Row],[A_tree]])</f>
        <v>3.4230769230769229</v>
      </c>
    </row>
    <row r="147" spans="2:16" ht="18.600000000000001" x14ac:dyDescent="0.3">
      <c r="B147" s="4" t="s">
        <v>187</v>
      </c>
      <c r="C147" s="4">
        <v>256</v>
      </c>
      <c r="D147" s="4">
        <v>240</v>
      </c>
      <c r="E147" s="4">
        <v>615</v>
      </c>
      <c r="F147" s="4">
        <v>765</v>
      </c>
      <c r="G147" s="2" t="s">
        <v>21</v>
      </c>
      <c r="H147" s="4">
        <v>9</v>
      </c>
      <c r="I147" s="4">
        <f>Table134[[#This Row],[اصله مستقل]]*Table134[[#This Row],[A_tree]]</f>
        <v>2160</v>
      </c>
      <c r="J147" s="4">
        <f>IF(Table134[[#This Row],[n * A_tree ]]&gt;Table134[[#This Row],[مساحت آدرس]],1,0)</f>
        <v>1</v>
      </c>
      <c r="K147" s="8">
        <f>IF(Table134[[#This Row],[check]]=1,1,Table134[[#This Row],[A_tree]]*Table134[[#This Row],[اصله مستقل]]/Table134[[#This Row],[مساحت آدرس]])</f>
        <v>1</v>
      </c>
      <c r="L147" s="14">
        <f>IF(Table134[[#This Row],[check]]=1,1,(Table134[[#This Row],[Psh]]+0.15*(1-Table134[[#This Row],[Psh]])))</f>
        <v>1</v>
      </c>
      <c r="M147" s="14">
        <f>IF(Table134[[#This Row],[check]]=1,0.65,1)</f>
        <v>0.65</v>
      </c>
      <c r="N147" s="4">
        <v>1</v>
      </c>
      <c r="O147" s="4">
        <f>IF(Table134[[#This Row],[check]]=1,Table134[[#This Row],[مساحت آدرس]]*Table134[[#This Row],[A0 Inc]],Table134[[#This Row],[A_tree]]*Table134[[#This Row],[اصله مستقل]])</f>
        <v>765</v>
      </c>
      <c r="P147" s="11">
        <f>IF(Table134[[#This Row],[check]]=1,Table134[[#This Row],[A0]]/Table134[[#This Row],[اصله مستقل]],Table134[[#This Row],[A_tree]])</f>
        <v>3.1875</v>
      </c>
    </row>
    <row r="148" spans="2:16" ht="18.600000000000001" x14ac:dyDescent="0.3">
      <c r="B148" s="4" t="s">
        <v>188</v>
      </c>
      <c r="C148" s="4">
        <v>248</v>
      </c>
      <c r="D148" s="4">
        <v>232</v>
      </c>
      <c r="E148" s="4">
        <v>600</v>
      </c>
      <c r="F148" s="4">
        <v>700</v>
      </c>
      <c r="G148" s="2" t="s">
        <v>21</v>
      </c>
      <c r="H148" s="4">
        <v>9</v>
      </c>
      <c r="I148" s="4">
        <f>Table134[[#This Row],[اصله مستقل]]*Table134[[#This Row],[A_tree]]</f>
        <v>2088</v>
      </c>
      <c r="J148" s="4">
        <f>IF(Table134[[#This Row],[n * A_tree ]]&gt;Table134[[#This Row],[مساحت آدرس]],1,0)</f>
        <v>1</v>
      </c>
      <c r="K148" s="8">
        <f>IF(Table134[[#This Row],[check]]=1,1,Table134[[#This Row],[A_tree]]*Table134[[#This Row],[اصله مستقل]]/Table134[[#This Row],[مساحت آدرس]])</f>
        <v>1</v>
      </c>
      <c r="L148" s="14">
        <f>IF(Table134[[#This Row],[check]]=1,1,(Table134[[#This Row],[Psh]]+0.15*(1-Table134[[#This Row],[Psh]])))</f>
        <v>1</v>
      </c>
      <c r="M148" s="14">
        <f>IF(Table134[[#This Row],[check]]=1,0.65,1)</f>
        <v>0.65</v>
      </c>
      <c r="N148" s="4">
        <v>1</v>
      </c>
      <c r="O148" s="4">
        <f>IF(Table134[[#This Row],[check]]=1,Table134[[#This Row],[مساحت آدرس]]*Table134[[#This Row],[A0 Inc]],Table134[[#This Row],[A_tree]]*Table134[[#This Row],[اصله مستقل]])</f>
        <v>700</v>
      </c>
      <c r="P148" s="11">
        <f>IF(Table134[[#This Row],[check]]=1,Table134[[#This Row],[A0]]/Table134[[#This Row],[اصله مستقل]],Table134[[#This Row],[A_tree]])</f>
        <v>3.0172413793103448</v>
      </c>
    </row>
    <row r="149" spans="2:16" ht="18.600000000000001" x14ac:dyDescent="0.3">
      <c r="B149" s="4" t="s">
        <v>189</v>
      </c>
      <c r="C149" s="4">
        <v>387</v>
      </c>
      <c r="D149" s="4">
        <v>257</v>
      </c>
      <c r="E149" s="4">
        <v>480</v>
      </c>
      <c r="F149" s="4">
        <v>660</v>
      </c>
      <c r="G149" s="2" t="s">
        <v>21</v>
      </c>
      <c r="H149" s="4">
        <v>9</v>
      </c>
      <c r="I149" s="4">
        <f>Table134[[#This Row],[اصله مستقل]]*Table134[[#This Row],[A_tree]]</f>
        <v>2313</v>
      </c>
      <c r="J149" s="4">
        <f>IF(Table134[[#This Row],[n * A_tree ]]&gt;Table134[[#This Row],[مساحت آدرس]],1,0)</f>
        <v>1</v>
      </c>
      <c r="K149" s="8">
        <f>IF(Table134[[#This Row],[check]]=1,1,Table134[[#This Row],[A_tree]]*Table134[[#This Row],[اصله مستقل]]/Table134[[#This Row],[مساحت آدرس]])</f>
        <v>1</v>
      </c>
      <c r="L149" s="14">
        <f>IF(Table134[[#This Row],[check]]=1,1,(Table134[[#This Row],[Psh]]+0.15*(1-Table134[[#This Row],[Psh]])))</f>
        <v>1</v>
      </c>
      <c r="M149" s="14">
        <f>IF(Table134[[#This Row],[check]]=1,0.65,1)</f>
        <v>0.65</v>
      </c>
      <c r="N149" s="4">
        <v>1</v>
      </c>
      <c r="O149" s="4">
        <f>IF(Table134[[#This Row],[check]]=1,Table134[[#This Row],[مساحت آدرس]]*Table134[[#This Row],[A0 Inc]],Table134[[#This Row],[A_tree]]*Table134[[#This Row],[اصله مستقل]])</f>
        <v>660</v>
      </c>
      <c r="P149" s="11">
        <f>IF(Table134[[#This Row],[check]]=1,Table134[[#This Row],[A0]]/Table134[[#This Row],[اصله مستقل]],Table134[[#This Row],[A_tree]])</f>
        <v>2.568093385214008</v>
      </c>
    </row>
    <row r="150" spans="2:16" ht="18.600000000000001" x14ac:dyDescent="0.3">
      <c r="B150" s="4" t="s">
        <v>190</v>
      </c>
      <c r="C150" s="4">
        <v>373</v>
      </c>
      <c r="D150" s="4">
        <v>56</v>
      </c>
      <c r="E150" s="4">
        <v>60</v>
      </c>
      <c r="F150" s="4">
        <v>3990</v>
      </c>
      <c r="G150" s="2" t="s">
        <v>21</v>
      </c>
      <c r="H150" s="4">
        <v>9</v>
      </c>
      <c r="I150" s="4">
        <f>Table134[[#This Row],[اصله مستقل]]*Table134[[#This Row],[A_tree]]</f>
        <v>504</v>
      </c>
      <c r="J150" s="4">
        <f>IF(Table134[[#This Row],[n * A_tree ]]&gt;Table134[[#This Row],[مساحت آدرس]],1,0)</f>
        <v>0</v>
      </c>
      <c r="K150" s="8">
        <f>IF(Table134[[#This Row],[check]]=1,1,Table134[[#This Row],[A_tree]]*Table134[[#This Row],[اصله مستقل]]/Table134[[#This Row],[مساحت آدرس]])</f>
        <v>0.12631578947368421</v>
      </c>
      <c r="L150" s="14">
        <f>IF(Table134[[#This Row],[check]]=1,1,(Table134[[#This Row],[Psh]]+0.15*(1-Table134[[#This Row],[Psh]])))</f>
        <v>0.25736842105263158</v>
      </c>
      <c r="M150" s="14">
        <f>IF(Table134[[#This Row],[check]]=1,0.65,1)</f>
        <v>1</v>
      </c>
      <c r="N150" s="4">
        <v>1</v>
      </c>
      <c r="O150" s="4">
        <f>IF(Table134[[#This Row],[check]]=1,Table134[[#This Row],[مساحت آدرس]]*Table134[[#This Row],[A0 Inc]],Table134[[#This Row],[A_tree]]*Table134[[#This Row],[اصله مستقل]])</f>
        <v>504</v>
      </c>
      <c r="P150" s="11">
        <f>IF(Table134[[#This Row],[check]]=1,Table134[[#This Row],[A0]]/Table134[[#This Row],[اصله مستقل]],Table134[[#This Row],[A_tree]])</f>
        <v>9</v>
      </c>
    </row>
    <row r="151" spans="2:16" ht="18.600000000000001" x14ac:dyDescent="0.3">
      <c r="B151" s="4" t="s">
        <v>191</v>
      </c>
      <c r="C151" s="4">
        <v>83</v>
      </c>
      <c r="D151" s="4">
        <v>74</v>
      </c>
      <c r="E151" s="4">
        <v>90</v>
      </c>
      <c r="F151" s="4">
        <v>90</v>
      </c>
      <c r="G151" s="2" t="s">
        <v>21</v>
      </c>
      <c r="H151" s="4">
        <v>9</v>
      </c>
      <c r="I151" s="4">
        <f>Table134[[#This Row],[اصله مستقل]]*Table134[[#This Row],[A_tree]]</f>
        <v>666</v>
      </c>
      <c r="J151" s="4">
        <f>IF(Table134[[#This Row],[n * A_tree ]]&gt;Table134[[#This Row],[مساحت آدرس]],1,0)</f>
        <v>1</v>
      </c>
      <c r="K151" s="8">
        <f>IF(Table134[[#This Row],[check]]=1,1,Table134[[#This Row],[A_tree]]*Table134[[#This Row],[اصله مستقل]]/Table134[[#This Row],[مساحت آدرس]])</f>
        <v>1</v>
      </c>
      <c r="L151" s="14">
        <f>IF(Table134[[#This Row],[check]]=1,1,(Table134[[#This Row],[Psh]]+0.15*(1-Table134[[#This Row],[Psh]])))</f>
        <v>1</v>
      </c>
      <c r="M151" s="14">
        <f>IF(Table134[[#This Row],[check]]=1,0.65,1)</f>
        <v>0.65</v>
      </c>
      <c r="N151" s="4">
        <v>1</v>
      </c>
      <c r="O151" s="4">
        <f>IF(Table134[[#This Row],[check]]=1,Table134[[#This Row],[مساحت آدرس]]*Table134[[#This Row],[A0 Inc]],Table134[[#This Row],[A_tree]]*Table134[[#This Row],[اصله مستقل]])</f>
        <v>90</v>
      </c>
      <c r="P151" s="11">
        <f>IF(Table134[[#This Row],[check]]=1,Table134[[#This Row],[A0]]/Table134[[#This Row],[اصله مستقل]],Table134[[#This Row],[A_tree]])</f>
        <v>1.2162162162162162</v>
      </c>
    </row>
    <row r="152" spans="2:16" ht="18.600000000000001" x14ac:dyDescent="0.3">
      <c r="B152" s="4" t="s">
        <v>192</v>
      </c>
      <c r="C152" s="4">
        <v>1164</v>
      </c>
      <c r="D152" s="4">
        <v>85</v>
      </c>
      <c r="E152" s="4">
        <v>110</v>
      </c>
      <c r="F152" s="4">
        <v>7160</v>
      </c>
      <c r="G152" s="2" t="s">
        <v>21</v>
      </c>
      <c r="H152" s="4">
        <v>9</v>
      </c>
      <c r="I152" s="4">
        <f>Table134[[#This Row],[اصله مستقل]]*Table134[[#This Row],[A_tree]]</f>
        <v>765</v>
      </c>
      <c r="J152" s="4">
        <f>IF(Table134[[#This Row],[n * A_tree ]]&gt;Table134[[#This Row],[مساحت آدرس]],1,0)</f>
        <v>0</v>
      </c>
      <c r="K152" s="8">
        <f>IF(Table134[[#This Row],[check]]=1,1,Table134[[#This Row],[A_tree]]*Table134[[#This Row],[اصله مستقل]]/Table134[[#This Row],[مساحت آدرس]])</f>
        <v>0.10684357541899442</v>
      </c>
      <c r="L152" s="14">
        <f>IF(Table134[[#This Row],[check]]=1,1,(Table134[[#This Row],[Psh]]+0.15*(1-Table134[[#This Row],[Psh]])))</f>
        <v>0.24081703910614524</v>
      </c>
      <c r="M152" s="14">
        <f>IF(Table134[[#This Row],[check]]=1,0.65,1)</f>
        <v>1</v>
      </c>
      <c r="N152" s="4">
        <v>1</v>
      </c>
      <c r="O152" s="4">
        <f>IF(Table134[[#This Row],[check]]=1,Table134[[#This Row],[مساحت آدرس]]*Table134[[#This Row],[A0 Inc]],Table134[[#This Row],[A_tree]]*Table134[[#This Row],[اصله مستقل]])</f>
        <v>765</v>
      </c>
      <c r="P152" s="11">
        <f>IF(Table134[[#This Row],[check]]=1,Table134[[#This Row],[A0]]/Table134[[#This Row],[اصله مستقل]],Table134[[#This Row],[A_tree]])</f>
        <v>9</v>
      </c>
    </row>
    <row r="153" spans="2:16" ht="18.600000000000001" x14ac:dyDescent="0.3">
      <c r="B153" s="4" t="s">
        <v>193</v>
      </c>
      <c r="C153" s="4">
        <v>447</v>
      </c>
      <c r="D153" s="4">
        <v>289</v>
      </c>
      <c r="E153" s="4">
        <v>575</v>
      </c>
      <c r="F153" s="4">
        <v>1175</v>
      </c>
      <c r="G153" s="2" t="s">
        <v>21</v>
      </c>
      <c r="H153" s="4">
        <v>9</v>
      </c>
      <c r="I153" s="4">
        <f>Table134[[#This Row],[اصله مستقل]]*Table134[[#This Row],[A_tree]]</f>
        <v>2601</v>
      </c>
      <c r="J153" s="4">
        <f>IF(Table134[[#This Row],[n * A_tree ]]&gt;Table134[[#This Row],[مساحت آدرس]],1,0)</f>
        <v>1</v>
      </c>
      <c r="K153" s="8">
        <f>IF(Table134[[#This Row],[check]]=1,1,Table134[[#This Row],[A_tree]]*Table134[[#This Row],[اصله مستقل]]/Table134[[#This Row],[مساحت آدرس]])</f>
        <v>1</v>
      </c>
      <c r="L153" s="14">
        <f>IF(Table134[[#This Row],[check]]=1,1,(Table134[[#This Row],[Psh]]+0.15*(1-Table134[[#This Row],[Psh]])))</f>
        <v>1</v>
      </c>
      <c r="M153" s="14">
        <f>IF(Table134[[#This Row],[check]]=1,0.65,1)</f>
        <v>0.65</v>
      </c>
      <c r="N153" s="4">
        <v>1</v>
      </c>
      <c r="O153" s="4">
        <f>IF(Table134[[#This Row],[check]]=1,Table134[[#This Row],[مساحت آدرس]]*Table134[[#This Row],[A0 Inc]],Table134[[#This Row],[A_tree]]*Table134[[#This Row],[اصله مستقل]])</f>
        <v>1175</v>
      </c>
      <c r="P153" s="11">
        <f>IF(Table134[[#This Row],[check]]=1,Table134[[#This Row],[A0]]/Table134[[#This Row],[اصله مستقل]],Table134[[#This Row],[A_tree]])</f>
        <v>4.0657439446366785</v>
      </c>
    </row>
    <row r="154" spans="2:16" ht="18.600000000000001" x14ac:dyDescent="0.3">
      <c r="B154" s="4" t="s">
        <v>194</v>
      </c>
      <c r="C154" s="4">
        <v>156</v>
      </c>
      <c r="D154" s="4">
        <v>15</v>
      </c>
      <c r="E154" s="4">
        <v>15</v>
      </c>
      <c r="F154" s="4">
        <v>725</v>
      </c>
      <c r="G154" s="2" t="s">
        <v>21</v>
      </c>
      <c r="H154" s="4">
        <v>9</v>
      </c>
      <c r="I154" s="4">
        <f>Table134[[#This Row],[اصله مستقل]]*Table134[[#This Row],[A_tree]]</f>
        <v>135</v>
      </c>
      <c r="J154" s="4">
        <f>IF(Table134[[#This Row],[n * A_tree ]]&gt;Table134[[#This Row],[مساحت آدرس]],1,0)</f>
        <v>0</v>
      </c>
      <c r="K154" s="8">
        <f>IF(Table134[[#This Row],[check]]=1,1,Table134[[#This Row],[A_tree]]*Table134[[#This Row],[اصله مستقل]]/Table134[[#This Row],[مساحت آدرس]])</f>
        <v>0.18620689655172415</v>
      </c>
      <c r="L154" s="14">
        <f>IF(Table134[[#This Row],[check]]=1,1,(Table134[[#This Row],[Psh]]+0.15*(1-Table134[[#This Row],[Psh]])))</f>
        <v>0.30827586206896551</v>
      </c>
      <c r="M154" s="14">
        <f>IF(Table134[[#This Row],[check]]=1,0.65,1)</f>
        <v>1</v>
      </c>
      <c r="N154" s="4">
        <v>1</v>
      </c>
      <c r="O154" s="4">
        <f>IF(Table134[[#This Row],[check]]=1,Table134[[#This Row],[مساحت آدرس]]*Table134[[#This Row],[A0 Inc]],Table134[[#This Row],[A_tree]]*Table134[[#This Row],[اصله مستقل]])</f>
        <v>135</v>
      </c>
      <c r="P154" s="11">
        <f>IF(Table134[[#This Row],[check]]=1,Table134[[#This Row],[A0]]/Table134[[#This Row],[اصله مستقل]],Table134[[#This Row],[A_tree]])</f>
        <v>9</v>
      </c>
    </row>
    <row r="155" spans="2:16" ht="18.600000000000001" x14ac:dyDescent="0.3">
      <c r="B155" s="4" t="s">
        <v>195</v>
      </c>
      <c r="C155" s="4">
        <v>183</v>
      </c>
      <c r="D155" s="4">
        <v>168</v>
      </c>
      <c r="E155" s="4">
        <v>452</v>
      </c>
      <c r="F155" s="4">
        <v>452</v>
      </c>
      <c r="G155" s="2" t="s">
        <v>21</v>
      </c>
      <c r="H155" s="4">
        <v>9</v>
      </c>
      <c r="I155" s="4">
        <f>Table134[[#This Row],[اصله مستقل]]*Table134[[#This Row],[A_tree]]</f>
        <v>1512</v>
      </c>
      <c r="J155" s="4">
        <f>IF(Table134[[#This Row],[n * A_tree ]]&gt;Table134[[#This Row],[مساحت آدرس]],1,0)</f>
        <v>1</v>
      </c>
      <c r="K155" s="8">
        <f>IF(Table134[[#This Row],[check]]=1,1,Table134[[#This Row],[A_tree]]*Table134[[#This Row],[اصله مستقل]]/Table134[[#This Row],[مساحت آدرس]])</f>
        <v>1</v>
      </c>
      <c r="L155" s="14">
        <f>IF(Table134[[#This Row],[check]]=1,1,(Table134[[#This Row],[Psh]]+0.15*(1-Table134[[#This Row],[Psh]])))</f>
        <v>1</v>
      </c>
      <c r="M155" s="14">
        <f>IF(Table134[[#This Row],[check]]=1,0.65,1)</f>
        <v>0.65</v>
      </c>
      <c r="N155" s="4">
        <v>1</v>
      </c>
      <c r="O155" s="4">
        <f>IF(Table134[[#This Row],[check]]=1,Table134[[#This Row],[مساحت آدرس]]*Table134[[#This Row],[A0 Inc]],Table134[[#This Row],[A_tree]]*Table134[[#This Row],[اصله مستقل]])</f>
        <v>452</v>
      </c>
      <c r="P155" s="11">
        <f>IF(Table134[[#This Row],[check]]=1,Table134[[#This Row],[A0]]/Table134[[#This Row],[اصله مستقل]],Table134[[#This Row],[A_tree]])</f>
        <v>2.6904761904761907</v>
      </c>
    </row>
    <row r="156" spans="2:16" ht="18.600000000000001" x14ac:dyDescent="0.3">
      <c r="B156" s="4" t="s">
        <v>196</v>
      </c>
      <c r="C156" s="4">
        <v>466</v>
      </c>
      <c r="D156" s="4">
        <v>272</v>
      </c>
      <c r="E156" s="4">
        <v>372</v>
      </c>
      <c r="F156" s="4">
        <v>1572</v>
      </c>
      <c r="G156" s="2" t="s">
        <v>21</v>
      </c>
      <c r="H156" s="4">
        <v>9</v>
      </c>
      <c r="I156" s="4">
        <f>Table134[[#This Row],[اصله مستقل]]*Table134[[#This Row],[A_tree]]</f>
        <v>2448</v>
      </c>
      <c r="J156" s="4">
        <f>IF(Table134[[#This Row],[n * A_tree ]]&gt;Table134[[#This Row],[مساحت آدرس]],1,0)</f>
        <v>1</v>
      </c>
      <c r="K156" s="8">
        <f>IF(Table134[[#This Row],[check]]=1,1,Table134[[#This Row],[A_tree]]*Table134[[#This Row],[اصله مستقل]]/Table134[[#This Row],[مساحت آدرس]])</f>
        <v>1</v>
      </c>
      <c r="L156" s="14">
        <f>IF(Table134[[#This Row],[check]]=1,1,(Table134[[#This Row],[Psh]]+0.15*(1-Table134[[#This Row],[Psh]])))</f>
        <v>1</v>
      </c>
      <c r="M156" s="14">
        <f>IF(Table134[[#This Row],[check]]=1,0.65,1)</f>
        <v>0.65</v>
      </c>
      <c r="N156" s="4">
        <v>1</v>
      </c>
      <c r="O156" s="4">
        <f>IF(Table134[[#This Row],[check]]=1,Table134[[#This Row],[مساحت آدرس]]*Table134[[#This Row],[A0 Inc]],Table134[[#This Row],[A_tree]]*Table134[[#This Row],[اصله مستقل]])</f>
        <v>1572</v>
      </c>
      <c r="P156" s="11">
        <f>IF(Table134[[#This Row],[check]]=1,Table134[[#This Row],[A0]]/Table134[[#This Row],[اصله مستقل]],Table134[[#This Row],[A_tree]])</f>
        <v>5.7794117647058822</v>
      </c>
    </row>
    <row r="157" spans="2:16" ht="18.600000000000001" x14ac:dyDescent="0.3">
      <c r="B157" s="4" t="s">
        <v>197</v>
      </c>
      <c r="C157" s="4">
        <v>465</v>
      </c>
      <c r="D157" s="4">
        <v>221</v>
      </c>
      <c r="E157" s="4">
        <v>587</v>
      </c>
      <c r="F157" s="4">
        <v>1317</v>
      </c>
      <c r="G157" s="2" t="s">
        <v>21</v>
      </c>
      <c r="H157" s="4">
        <v>9</v>
      </c>
      <c r="I157" s="4">
        <f>Table134[[#This Row],[اصله مستقل]]*Table134[[#This Row],[A_tree]]</f>
        <v>1989</v>
      </c>
      <c r="J157" s="4">
        <f>IF(Table134[[#This Row],[n * A_tree ]]&gt;Table134[[#This Row],[مساحت آدرس]],1,0)</f>
        <v>1</v>
      </c>
      <c r="K157" s="8">
        <f>IF(Table134[[#This Row],[check]]=1,1,Table134[[#This Row],[A_tree]]*Table134[[#This Row],[اصله مستقل]]/Table134[[#This Row],[مساحت آدرس]])</f>
        <v>1</v>
      </c>
      <c r="L157" s="14">
        <f>IF(Table134[[#This Row],[check]]=1,1,(Table134[[#This Row],[Psh]]+0.15*(1-Table134[[#This Row],[Psh]])))</f>
        <v>1</v>
      </c>
      <c r="M157" s="14">
        <f>IF(Table134[[#This Row],[check]]=1,0.65,1)</f>
        <v>0.65</v>
      </c>
      <c r="N157" s="4">
        <v>1</v>
      </c>
      <c r="O157" s="4">
        <f>IF(Table134[[#This Row],[check]]=1,Table134[[#This Row],[مساحت آدرس]]*Table134[[#This Row],[A0 Inc]],Table134[[#This Row],[A_tree]]*Table134[[#This Row],[اصله مستقل]])</f>
        <v>1317</v>
      </c>
      <c r="P157" s="11">
        <f>IF(Table134[[#This Row],[check]]=1,Table134[[#This Row],[A0]]/Table134[[#This Row],[اصله مستقل]],Table134[[#This Row],[A_tree]])</f>
        <v>5.9592760180995477</v>
      </c>
    </row>
    <row r="158" spans="2:16" ht="18.600000000000001" x14ac:dyDescent="0.3">
      <c r="B158" s="4" t="s">
        <v>198</v>
      </c>
      <c r="C158" s="4">
        <v>556</v>
      </c>
      <c r="D158" s="4">
        <v>506</v>
      </c>
      <c r="E158" s="4">
        <v>960</v>
      </c>
      <c r="F158" s="4">
        <v>1110</v>
      </c>
      <c r="G158" s="2" t="s">
        <v>21</v>
      </c>
      <c r="H158" s="4">
        <v>9</v>
      </c>
      <c r="I158" s="4">
        <f>Table134[[#This Row],[اصله مستقل]]*Table134[[#This Row],[A_tree]]</f>
        <v>4554</v>
      </c>
      <c r="J158" s="4">
        <f>IF(Table134[[#This Row],[n * A_tree ]]&gt;Table134[[#This Row],[مساحت آدرس]],1,0)</f>
        <v>1</v>
      </c>
      <c r="K158" s="8">
        <f>IF(Table134[[#This Row],[check]]=1,1,Table134[[#This Row],[A_tree]]*Table134[[#This Row],[اصله مستقل]]/Table134[[#This Row],[مساحت آدرس]])</f>
        <v>1</v>
      </c>
      <c r="L158" s="14">
        <f>IF(Table134[[#This Row],[check]]=1,1,(Table134[[#This Row],[Psh]]+0.15*(1-Table134[[#This Row],[Psh]])))</f>
        <v>1</v>
      </c>
      <c r="M158" s="14">
        <f>IF(Table134[[#This Row],[check]]=1,0.65,1)</f>
        <v>0.65</v>
      </c>
      <c r="N158" s="4">
        <v>1</v>
      </c>
      <c r="O158" s="4">
        <f>IF(Table134[[#This Row],[check]]=1,Table134[[#This Row],[مساحت آدرس]]*Table134[[#This Row],[A0 Inc]],Table134[[#This Row],[A_tree]]*Table134[[#This Row],[اصله مستقل]])</f>
        <v>1110</v>
      </c>
      <c r="P158" s="11">
        <f>IF(Table134[[#This Row],[check]]=1,Table134[[#This Row],[A0]]/Table134[[#This Row],[اصله مستقل]],Table134[[#This Row],[A_tree]])</f>
        <v>2.1936758893280635</v>
      </c>
    </row>
    <row r="159" spans="2:16" ht="18.600000000000001" x14ac:dyDescent="0.3">
      <c r="B159" s="4" t="s">
        <v>199</v>
      </c>
      <c r="C159" s="4">
        <v>62</v>
      </c>
      <c r="D159" s="4">
        <v>62</v>
      </c>
      <c r="E159" s="4">
        <v>286</v>
      </c>
      <c r="F159" s="4">
        <v>286</v>
      </c>
      <c r="G159" s="2" t="s">
        <v>21</v>
      </c>
      <c r="H159" s="4">
        <v>9</v>
      </c>
      <c r="I159" s="4">
        <f>Table134[[#This Row],[اصله مستقل]]*Table134[[#This Row],[A_tree]]</f>
        <v>558</v>
      </c>
      <c r="J159" s="4">
        <f>IF(Table134[[#This Row],[n * A_tree ]]&gt;Table134[[#This Row],[مساحت آدرس]],1,0)</f>
        <v>1</v>
      </c>
      <c r="K159" s="8">
        <f>IF(Table134[[#This Row],[check]]=1,1,Table134[[#This Row],[A_tree]]*Table134[[#This Row],[اصله مستقل]]/Table134[[#This Row],[مساحت آدرس]])</f>
        <v>1</v>
      </c>
      <c r="L159" s="14">
        <f>IF(Table134[[#This Row],[check]]=1,1,(Table134[[#This Row],[Psh]]+0.15*(1-Table134[[#This Row],[Psh]])))</f>
        <v>1</v>
      </c>
      <c r="M159" s="14">
        <f>IF(Table134[[#This Row],[check]]=1,0.65,1)</f>
        <v>0.65</v>
      </c>
      <c r="N159" s="4">
        <v>1</v>
      </c>
      <c r="O159" s="4">
        <f>IF(Table134[[#This Row],[check]]=1,Table134[[#This Row],[مساحت آدرس]]*Table134[[#This Row],[A0 Inc]],Table134[[#This Row],[A_tree]]*Table134[[#This Row],[اصله مستقل]])</f>
        <v>286</v>
      </c>
      <c r="P159" s="11">
        <f>IF(Table134[[#This Row],[check]]=1,Table134[[#This Row],[A0]]/Table134[[#This Row],[اصله مستقل]],Table134[[#This Row],[A_tree]])</f>
        <v>4.612903225806452</v>
      </c>
    </row>
    <row r="160" spans="2:16" ht="18.600000000000001" x14ac:dyDescent="0.3">
      <c r="B160" s="4" t="s">
        <v>200</v>
      </c>
      <c r="C160" s="4">
        <v>186</v>
      </c>
      <c r="D160" s="4">
        <v>178</v>
      </c>
      <c r="E160" s="4">
        <v>565</v>
      </c>
      <c r="F160" s="4">
        <v>777</v>
      </c>
      <c r="G160" s="2" t="s">
        <v>21</v>
      </c>
      <c r="H160" s="4">
        <v>9</v>
      </c>
      <c r="I160" s="4">
        <f>Table134[[#This Row],[اصله مستقل]]*Table134[[#This Row],[A_tree]]</f>
        <v>1602</v>
      </c>
      <c r="J160" s="4">
        <f>IF(Table134[[#This Row],[n * A_tree ]]&gt;Table134[[#This Row],[مساحت آدرس]],1,0)</f>
        <v>1</v>
      </c>
      <c r="K160" s="8">
        <f>IF(Table134[[#This Row],[check]]=1,1,Table134[[#This Row],[A_tree]]*Table134[[#This Row],[اصله مستقل]]/Table134[[#This Row],[مساحت آدرس]])</f>
        <v>1</v>
      </c>
      <c r="L160" s="14">
        <f>IF(Table134[[#This Row],[check]]=1,1,(Table134[[#This Row],[Psh]]+0.15*(1-Table134[[#This Row],[Psh]])))</f>
        <v>1</v>
      </c>
      <c r="M160" s="14">
        <f>IF(Table134[[#This Row],[check]]=1,0.65,1)</f>
        <v>0.65</v>
      </c>
      <c r="N160" s="4">
        <v>1</v>
      </c>
      <c r="O160" s="4">
        <f>IF(Table134[[#This Row],[check]]=1,Table134[[#This Row],[مساحت آدرس]]*Table134[[#This Row],[A0 Inc]],Table134[[#This Row],[A_tree]]*Table134[[#This Row],[اصله مستقل]])</f>
        <v>777</v>
      </c>
      <c r="P160" s="11">
        <f>IF(Table134[[#This Row],[check]]=1,Table134[[#This Row],[A0]]/Table134[[#This Row],[اصله مستقل]],Table134[[#This Row],[A_tree]])</f>
        <v>4.3651685393258424</v>
      </c>
    </row>
    <row r="161" spans="2:16" ht="18.600000000000001" x14ac:dyDescent="0.3">
      <c r="B161" s="4" t="s">
        <v>201</v>
      </c>
      <c r="C161" s="4">
        <v>238</v>
      </c>
      <c r="D161" s="4">
        <v>150</v>
      </c>
      <c r="E161" s="4">
        <v>525</v>
      </c>
      <c r="F161" s="4">
        <v>703</v>
      </c>
      <c r="G161" s="2" t="s">
        <v>21</v>
      </c>
      <c r="H161" s="4">
        <v>9</v>
      </c>
      <c r="I161" s="4">
        <f>Table134[[#This Row],[اصله مستقل]]*Table134[[#This Row],[A_tree]]</f>
        <v>1350</v>
      </c>
      <c r="J161" s="4">
        <f>IF(Table134[[#This Row],[n * A_tree ]]&gt;Table134[[#This Row],[مساحت آدرس]],1,0)</f>
        <v>1</v>
      </c>
      <c r="K161" s="8">
        <f>IF(Table134[[#This Row],[check]]=1,1,Table134[[#This Row],[A_tree]]*Table134[[#This Row],[اصله مستقل]]/Table134[[#This Row],[مساحت آدرس]])</f>
        <v>1</v>
      </c>
      <c r="L161" s="14">
        <f>IF(Table134[[#This Row],[check]]=1,1,(Table134[[#This Row],[Psh]]+0.15*(1-Table134[[#This Row],[Psh]])))</f>
        <v>1</v>
      </c>
      <c r="M161" s="14">
        <f>IF(Table134[[#This Row],[check]]=1,0.65,1)</f>
        <v>0.65</v>
      </c>
      <c r="N161" s="4">
        <v>1</v>
      </c>
      <c r="O161" s="4">
        <f>IF(Table134[[#This Row],[check]]=1,Table134[[#This Row],[مساحت آدرس]]*Table134[[#This Row],[A0 Inc]],Table134[[#This Row],[A_tree]]*Table134[[#This Row],[اصله مستقل]])</f>
        <v>703</v>
      </c>
      <c r="P161" s="11">
        <f>IF(Table134[[#This Row],[check]]=1,Table134[[#This Row],[A0]]/Table134[[#This Row],[اصله مستقل]],Table134[[#This Row],[A_tree]])</f>
        <v>4.6866666666666665</v>
      </c>
    </row>
    <row r="162" spans="2:16" ht="18.600000000000001" x14ac:dyDescent="0.3">
      <c r="B162" s="4" t="s">
        <v>202</v>
      </c>
      <c r="C162" s="4">
        <v>365</v>
      </c>
      <c r="D162" s="4">
        <v>296</v>
      </c>
      <c r="E162" s="4">
        <v>585</v>
      </c>
      <c r="F162" s="4">
        <v>793</v>
      </c>
      <c r="G162" s="2" t="s">
        <v>21</v>
      </c>
      <c r="H162" s="4">
        <v>9</v>
      </c>
      <c r="I162" s="4">
        <f>Table134[[#This Row],[اصله مستقل]]*Table134[[#This Row],[A_tree]]</f>
        <v>2664</v>
      </c>
      <c r="J162" s="4">
        <f>IF(Table134[[#This Row],[n * A_tree ]]&gt;Table134[[#This Row],[مساحت آدرس]],1,0)</f>
        <v>1</v>
      </c>
      <c r="K162" s="8">
        <f>IF(Table134[[#This Row],[check]]=1,1,Table134[[#This Row],[A_tree]]*Table134[[#This Row],[اصله مستقل]]/Table134[[#This Row],[مساحت آدرس]])</f>
        <v>1</v>
      </c>
      <c r="L162" s="14">
        <f>IF(Table134[[#This Row],[check]]=1,1,(Table134[[#This Row],[Psh]]+0.15*(1-Table134[[#This Row],[Psh]])))</f>
        <v>1</v>
      </c>
      <c r="M162" s="14">
        <f>IF(Table134[[#This Row],[check]]=1,0.65,1)</f>
        <v>0.65</v>
      </c>
      <c r="N162" s="4">
        <v>1</v>
      </c>
      <c r="O162" s="4">
        <f>IF(Table134[[#This Row],[check]]=1,Table134[[#This Row],[مساحت آدرس]]*Table134[[#This Row],[A0 Inc]],Table134[[#This Row],[A_tree]]*Table134[[#This Row],[اصله مستقل]])</f>
        <v>793</v>
      </c>
      <c r="P162" s="11">
        <f>IF(Table134[[#This Row],[check]]=1,Table134[[#This Row],[A0]]/Table134[[#This Row],[اصله مستقل]],Table134[[#This Row],[A_tree]])</f>
        <v>2.6790540540540539</v>
      </c>
    </row>
    <row r="163" spans="2:16" ht="18.600000000000001" x14ac:dyDescent="0.3">
      <c r="B163" s="4" t="s">
        <v>203</v>
      </c>
      <c r="C163" s="4">
        <v>210</v>
      </c>
      <c r="D163" s="4">
        <v>193</v>
      </c>
      <c r="E163" s="4">
        <v>550</v>
      </c>
      <c r="F163" s="4">
        <v>600</v>
      </c>
      <c r="G163" s="2" t="s">
        <v>21</v>
      </c>
      <c r="H163" s="4">
        <v>9</v>
      </c>
      <c r="I163" s="4">
        <f>Table134[[#This Row],[اصله مستقل]]*Table134[[#This Row],[A_tree]]</f>
        <v>1737</v>
      </c>
      <c r="J163" s="4">
        <f>IF(Table134[[#This Row],[n * A_tree ]]&gt;Table134[[#This Row],[مساحت آدرس]],1,0)</f>
        <v>1</v>
      </c>
      <c r="K163" s="8">
        <f>IF(Table134[[#This Row],[check]]=1,1,Table134[[#This Row],[A_tree]]*Table134[[#This Row],[اصله مستقل]]/Table134[[#This Row],[مساحت آدرس]])</f>
        <v>1</v>
      </c>
      <c r="L163" s="14">
        <f>IF(Table134[[#This Row],[check]]=1,1,(Table134[[#This Row],[Psh]]+0.15*(1-Table134[[#This Row],[Psh]])))</f>
        <v>1</v>
      </c>
      <c r="M163" s="14">
        <f>IF(Table134[[#This Row],[check]]=1,0.65,1)</f>
        <v>0.65</v>
      </c>
      <c r="N163" s="4">
        <v>1</v>
      </c>
      <c r="O163" s="4">
        <f>IF(Table134[[#This Row],[check]]=1,Table134[[#This Row],[مساحت آدرس]]*Table134[[#This Row],[A0 Inc]],Table134[[#This Row],[A_tree]]*Table134[[#This Row],[اصله مستقل]])</f>
        <v>600</v>
      </c>
      <c r="P163" s="11">
        <f>IF(Table134[[#This Row],[check]]=1,Table134[[#This Row],[A0]]/Table134[[#This Row],[اصله مستقل]],Table134[[#This Row],[A_tree]])</f>
        <v>3.1088082901554404</v>
      </c>
    </row>
    <row r="164" spans="2:16" ht="18.600000000000001" x14ac:dyDescent="0.3">
      <c r="B164" s="4" t="s">
        <v>204</v>
      </c>
      <c r="C164" s="4">
        <v>410</v>
      </c>
      <c r="D164" s="4">
        <v>393</v>
      </c>
      <c r="E164" s="4">
        <v>710</v>
      </c>
      <c r="F164" s="4">
        <v>760</v>
      </c>
      <c r="G164" s="2" t="s">
        <v>21</v>
      </c>
      <c r="H164" s="4">
        <v>9</v>
      </c>
      <c r="I164" s="4">
        <f>Table134[[#This Row],[اصله مستقل]]*Table134[[#This Row],[A_tree]]</f>
        <v>3537</v>
      </c>
      <c r="J164" s="4">
        <f>IF(Table134[[#This Row],[n * A_tree ]]&gt;Table134[[#This Row],[مساحت آدرس]],1,0)</f>
        <v>1</v>
      </c>
      <c r="K164" s="8">
        <f>IF(Table134[[#This Row],[check]]=1,1,Table134[[#This Row],[A_tree]]*Table134[[#This Row],[اصله مستقل]]/Table134[[#This Row],[مساحت آدرس]])</f>
        <v>1</v>
      </c>
      <c r="L164" s="14">
        <f>IF(Table134[[#This Row],[check]]=1,1,(Table134[[#This Row],[Psh]]+0.15*(1-Table134[[#This Row],[Psh]])))</f>
        <v>1</v>
      </c>
      <c r="M164" s="14">
        <f>IF(Table134[[#This Row],[check]]=1,0.65,1)</f>
        <v>0.65</v>
      </c>
      <c r="N164" s="4">
        <v>1</v>
      </c>
      <c r="O164" s="4">
        <f>IF(Table134[[#This Row],[check]]=1,Table134[[#This Row],[مساحت آدرس]]*Table134[[#This Row],[A0 Inc]],Table134[[#This Row],[A_tree]]*Table134[[#This Row],[اصله مستقل]])</f>
        <v>760</v>
      </c>
      <c r="P164" s="11">
        <f>IF(Table134[[#This Row],[check]]=1,Table134[[#This Row],[A0]]/Table134[[#This Row],[اصله مستقل]],Table134[[#This Row],[A_tree]])</f>
        <v>1.9338422391857506</v>
      </c>
    </row>
    <row r="165" spans="2:16" ht="18.600000000000001" x14ac:dyDescent="0.3">
      <c r="B165" s="4" t="s">
        <v>205</v>
      </c>
      <c r="C165" s="4">
        <v>392</v>
      </c>
      <c r="D165" s="4">
        <v>352</v>
      </c>
      <c r="E165" s="4">
        <v>860</v>
      </c>
      <c r="F165" s="4">
        <v>980</v>
      </c>
      <c r="G165" s="2" t="s">
        <v>21</v>
      </c>
      <c r="H165" s="4">
        <v>9</v>
      </c>
      <c r="I165" s="4">
        <f>Table134[[#This Row],[اصله مستقل]]*Table134[[#This Row],[A_tree]]</f>
        <v>3168</v>
      </c>
      <c r="J165" s="4">
        <f>IF(Table134[[#This Row],[n * A_tree ]]&gt;Table134[[#This Row],[مساحت آدرس]],1,0)</f>
        <v>1</v>
      </c>
      <c r="K165" s="8">
        <f>IF(Table134[[#This Row],[check]]=1,1,Table134[[#This Row],[A_tree]]*Table134[[#This Row],[اصله مستقل]]/Table134[[#This Row],[مساحت آدرس]])</f>
        <v>1</v>
      </c>
      <c r="L165" s="14">
        <f>IF(Table134[[#This Row],[check]]=1,1,(Table134[[#This Row],[Psh]]+0.15*(1-Table134[[#This Row],[Psh]])))</f>
        <v>1</v>
      </c>
      <c r="M165" s="14">
        <f>IF(Table134[[#This Row],[check]]=1,0.65,1)</f>
        <v>0.65</v>
      </c>
      <c r="N165" s="4">
        <v>1</v>
      </c>
      <c r="O165" s="4">
        <f>IF(Table134[[#This Row],[check]]=1,Table134[[#This Row],[مساحت آدرس]]*Table134[[#This Row],[A0 Inc]],Table134[[#This Row],[A_tree]]*Table134[[#This Row],[اصله مستقل]])</f>
        <v>980</v>
      </c>
      <c r="P165" s="11">
        <f>IF(Table134[[#This Row],[check]]=1,Table134[[#This Row],[A0]]/Table134[[#This Row],[اصله مستقل]],Table134[[#This Row],[A_tree]])</f>
        <v>2.7840909090909092</v>
      </c>
    </row>
    <row r="166" spans="2:16" ht="18.600000000000001" x14ac:dyDescent="0.3">
      <c r="B166" s="4" t="s">
        <v>206</v>
      </c>
      <c r="C166" s="4">
        <v>633</v>
      </c>
      <c r="D166" s="4">
        <v>583</v>
      </c>
      <c r="E166" s="4">
        <v>1070</v>
      </c>
      <c r="F166" s="4">
        <v>1220</v>
      </c>
      <c r="G166" s="2" t="s">
        <v>21</v>
      </c>
      <c r="H166" s="4">
        <v>9</v>
      </c>
      <c r="I166" s="4">
        <f>Table134[[#This Row],[اصله مستقل]]*Table134[[#This Row],[A_tree]]</f>
        <v>5247</v>
      </c>
      <c r="J166" s="4">
        <f>IF(Table134[[#This Row],[n * A_tree ]]&gt;Table134[[#This Row],[مساحت آدرس]],1,0)</f>
        <v>1</v>
      </c>
      <c r="K166" s="8">
        <f>IF(Table134[[#This Row],[check]]=1,1,Table134[[#This Row],[A_tree]]*Table134[[#This Row],[اصله مستقل]]/Table134[[#This Row],[مساحت آدرس]])</f>
        <v>1</v>
      </c>
      <c r="L166" s="14">
        <f>IF(Table134[[#This Row],[check]]=1,1,(Table134[[#This Row],[Psh]]+0.15*(1-Table134[[#This Row],[Psh]])))</f>
        <v>1</v>
      </c>
      <c r="M166" s="14">
        <f>IF(Table134[[#This Row],[check]]=1,0.65,1)</f>
        <v>0.65</v>
      </c>
      <c r="N166" s="4">
        <v>1</v>
      </c>
      <c r="O166" s="4">
        <f>IF(Table134[[#This Row],[check]]=1,Table134[[#This Row],[مساحت آدرس]]*Table134[[#This Row],[A0 Inc]],Table134[[#This Row],[A_tree]]*Table134[[#This Row],[اصله مستقل]])</f>
        <v>1220</v>
      </c>
      <c r="P166" s="11">
        <f>IF(Table134[[#This Row],[check]]=1,Table134[[#This Row],[A0]]/Table134[[#This Row],[اصله مستقل]],Table134[[#This Row],[A_tree]])</f>
        <v>2.0926243567753002</v>
      </c>
    </row>
    <row r="167" spans="2:16" ht="18.600000000000001" x14ac:dyDescent="0.3">
      <c r="B167" s="4" t="s">
        <v>207</v>
      </c>
      <c r="C167" s="4">
        <v>323</v>
      </c>
      <c r="D167" s="4">
        <v>309</v>
      </c>
      <c r="E167" s="4">
        <v>650</v>
      </c>
      <c r="F167" s="4">
        <v>712</v>
      </c>
      <c r="G167" s="2" t="s">
        <v>21</v>
      </c>
      <c r="H167" s="4">
        <v>9</v>
      </c>
      <c r="I167" s="4">
        <f>Table134[[#This Row],[اصله مستقل]]*Table134[[#This Row],[A_tree]]</f>
        <v>2781</v>
      </c>
      <c r="J167" s="4">
        <f>IF(Table134[[#This Row],[n * A_tree ]]&gt;Table134[[#This Row],[مساحت آدرس]],1,0)</f>
        <v>1</v>
      </c>
      <c r="K167" s="8">
        <f>IF(Table134[[#This Row],[check]]=1,1,Table134[[#This Row],[A_tree]]*Table134[[#This Row],[اصله مستقل]]/Table134[[#This Row],[مساحت آدرس]])</f>
        <v>1</v>
      </c>
      <c r="L167" s="14">
        <f>IF(Table134[[#This Row],[check]]=1,1,(Table134[[#This Row],[Psh]]+0.15*(1-Table134[[#This Row],[Psh]])))</f>
        <v>1</v>
      </c>
      <c r="M167" s="14">
        <f>IF(Table134[[#This Row],[check]]=1,0.65,1)</f>
        <v>0.65</v>
      </c>
      <c r="N167" s="4">
        <v>1</v>
      </c>
      <c r="O167" s="4">
        <f>IF(Table134[[#This Row],[check]]=1,Table134[[#This Row],[مساحت آدرس]]*Table134[[#This Row],[A0 Inc]],Table134[[#This Row],[A_tree]]*Table134[[#This Row],[اصله مستقل]])</f>
        <v>712</v>
      </c>
      <c r="P167" s="11">
        <f>IF(Table134[[#This Row],[check]]=1,Table134[[#This Row],[A0]]/Table134[[#This Row],[اصله مستقل]],Table134[[#This Row],[A_tree]])</f>
        <v>2.3042071197411005</v>
      </c>
    </row>
    <row r="168" spans="2:16" ht="18.600000000000001" x14ac:dyDescent="0.3">
      <c r="B168" s="4" t="s">
        <v>208</v>
      </c>
      <c r="C168" s="4">
        <v>142</v>
      </c>
      <c r="D168" s="4">
        <v>142</v>
      </c>
      <c r="E168" s="4">
        <v>355</v>
      </c>
      <c r="F168" s="4">
        <v>405</v>
      </c>
      <c r="G168" s="2" t="s">
        <v>21</v>
      </c>
      <c r="H168" s="4">
        <v>9</v>
      </c>
      <c r="I168" s="4">
        <f>Table134[[#This Row],[اصله مستقل]]*Table134[[#This Row],[A_tree]]</f>
        <v>1278</v>
      </c>
      <c r="J168" s="4">
        <f>IF(Table134[[#This Row],[n * A_tree ]]&gt;Table134[[#This Row],[مساحت آدرس]],1,0)</f>
        <v>1</v>
      </c>
      <c r="K168" s="8">
        <f>IF(Table134[[#This Row],[check]]=1,1,Table134[[#This Row],[A_tree]]*Table134[[#This Row],[اصله مستقل]]/Table134[[#This Row],[مساحت آدرس]])</f>
        <v>1</v>
      </c>
      <c r="L168" s="14">
        <f>IF(Table134[[#This Row],[check]]=1,1,(Table134[[#This Row],[Psh]]+0.15*(1-Table134[[#This Row],[Psh]])))</f>
        <v>1</v>
      </c>
      <c r="M168" s="14">
        <f>IF(Table134[[#This Row],[check]]=1,0.65,1)</f>
        <v>0.65</v>
      </c>
      <c r="N168" s="4">
        <v>1</v>
      </c>
      <c r="O168" s="4">
        <f>IF(Table134[[#This Row],[check]]=1,Table134[[#This Row],[مساحت آدرس]]*Table134[[#This Row],[A0 Inc]],Table134[[#This Row],[A_tree]]*Table134[[#This Row],[اصله مستقل]])</f>
        <v>405</v>
      </c>
      <c r="P168" s="11">
        <f>IF(Table134[[#This Row],[check]]=1,Table134[[#This Row],[A0]]/Table134[[#This Row],[اصله مستقل]],Table134[[#This Row],[A_tree]])</f>
        <v>2.852112676056338</v>
      </c>
    </row>
    <row r="169" spans="2:16" ht="18.600000000000001" x14ac:dyDescent="0.3">
      <c r="B169" s="4" t="s">
        <v>209</v>
      </c>
      <c r="C169" s="4">
        <v>397</v>
      </c>
      <c r="D169" s="4">
        <v>86</v>
      </c>
      <c r="E169" s="4">
        <v>90</v>
      </c>
      <c r="F169" s="4">
        <v>1030</v>
      </c>
      <c r="G169" s="2" t="s">
        <v>21</v>
      </c>
      <c r="H169" s="4">
        <v>9</v>
      </c>
      <c r="I169" s="4">
        <f>Table134[[#This Row],[اصله مستقل]]*Table134[[#This Row],[A_tree]]</f>
        <v>774</v>
      </c>
      <c r="J169" s="4">
        <f>IF(Table134[[#This Row],[n * A_tree ]]&gt;Table134[[#This Row],[مساحت آدرس]],1,0)</f>
        <v>0</v>
      </c>
      <c r="K169" s="8">
        <f>IF(Table134[[#This Row],[check]]=1,1,Table134[[#This Row],[A_tree]]*Table134[[#This Row],[اصله مستقل]]/Table134[[#This Row],[مساحت آدرس]])</f>
        <v>0.75145631067961161</v>
      </c>
      <c r="L169" s="14">
        <f>IF(Table134[[#This Row],[check]]=1,1,(Table134[[#This Row],[Psh]]+0.15*(1-Table134[[#This Row],[Psh]])))</f>
        <v>0.78873786407766988</v>
      </c>
      <c r="M169" s="14">
        <f>IF(Table134[[#This Row],[check]]=1,0.65,1)</f>
        <v>1</v>
      </c>
      <c r="N169" s="4">
        <v>1</v>
      </c>
      <c r="O169" s="4">
        <f>IF(Table134[[#This Row],[check]]=1,Table134[[#This Row],[مساحت آدرس]]*Table134[[#This Row],[A0 Inc]],Table134[[#This Row],[A_tree]]*Table134[[#This Row],[اصله مستقل]])</f>
        <v>774</v>
      </c>
      <c r="P169" s="11">
        <f>IF(Table134[[#This Row],[check]]=1,Table134[[#This Row],[A0]]/Table134[[#This Row],[اصله مستقل]],Table134[[#This Row],[A_tree]])</f>
        <v>9</v>
      </c>
    </row>
    <row r="170" spans="2:16" ht="18.600000000000001" x14ac:dyDescent="0.3">
      <c r="B170" s="4" t="s">
        <v>210</v>
      </c>
      <c r="C170" s="4">
        <v>17</v>
      </c>
      <c r="D170" s="4">
        <v>1</v>
      </c>
      <c r="E170" s="4">
        <v>1</v>
      </c>
      <c r="F170" s="4">
        <v>151</v>
      </c>
      <c r="G170" s="2" t="s">
        <v>62</v>
      </c>
      <c r="H170" s="4">
        <v>9</v>
      </c>
      <c r="I170" s="4">
        <f>Table134[[#This Row],[اصله مستقل]]*Table134[[#This Row],[A_tree]]</f>
        <v>9</v>
      </c>
      <c r="J170" s="4">
        <f>IF(Table134[[#This Row],[n * A_tree ]]&gt;Table134[[#This Row],[مساحت آدرس]],1,0)</f>
        <v>0</v>
      </c>
      <c r="K170" s="8">
        <f>IF(Table134[[#This Row],[check]]=1,1,Table134[[#This Row],[A_tree]]*Table134[[#This Row],[اصله مستقل]]/Table134[[#This Row],[مساحت آدرس]])</f>
        <v>5.9602649006622516E-2</v>
      </c>
      <c r="L170" s="14">
        <f>IF(Table134[[#This Row],[check]]=1,1,(Table134[[#This Row],[Psh]]+0.15*(1-Table134[[#This Row],[Psh]])))</f>
        <v>0.20066225165562915</v>
      </c>
      <c r="M170" s="14">
        <f>IF(Table134[[#This Row],[check]]=1,0.65,1)</f>
        <v>1</v>
      </c>
      <c r="N170" s="4">
        <v>1</v>
      </c>
      <c r="O170" s="4">
        <f>IF(Table134[[#This Row],[check]]=1,Table134[[#This Row],[مساحت آدرس]]*Table134[[#This Row],[A0 Inc]],Table134[[#This Row],[A_tree]]*Table134[[#This Row],[اصله مستقل]])</f>
        <v>9</v>
      </c>
      <c r="P170" s="11">
        <f>IF(Table134[[#This Row],[check]]=1,Table134[[#This Row],[A0]]/Table134[[#This Row],[اصله مستقل]],Table134[[#This Row],[A_tree]])</f>
        <v>9</v>
      </c>
    </row>
    <row r="171" spans="2:16" ht="18.600000000000001" x14ac:dyDescent="0.3">
      <c r="B171" s="4" t="s">
        <v>211</v>
      </c>
      <c r="C171" s="4">
        <v>12</v>
      </c>
      <c r="D171" s="4">
        <v>12</v>
      </c>
      <c r="E171" s="4">
        <v>12</v>
      </c>
      <c r="F171" s="4">
        <v>12</v>
      </c>
      <c r="G171" s="2" t="s">
        <v>62</v>
      </c>
      <c r="H171" s="4">
        <v>9</v>
      </c>
      <c r="I171" s="4">
        <f>Table134[[#This Row],[اصله مستقل]]*Table134[[#This Row],[A_tree]]</f>
        <v>108</v>
      </c>
      <c r="J171" s="4">
        <f>IF(Table134[[#This Row],[n * A_tree ]]&gt;Table134[[#This Row],[مساحت آدرس]],1,0)</f>
        <v>1</v>
      </c>
      <c r="K171" s="8">
        <f>IF(Table134[[#This Row],[check]]=1,1,Table134[[#This Row],[A_tree]]*Table134[[#This Row],[اصله مستقل]]/Table134[[#This Row],[مساحت آدرس]])</f>
        <v>1</v>
      </c>
      <c r="L171" s="14">
        <f>IF(Table134[[#This Row],[check]]=1,1,(Table134[[#This Row],[Psh]]+0.15*(1-Table134[[#This Row],[Psh]])))</f>
        <v>1</v>
      </c>
      <c r="M171" s="14">
        <f>IF(Table134[[#This Row],[check]]=1,0.65,1)</f>
        <v>0.65</v>
      </c>
      <c r="N171" s="4">
        <v>1</v>
      </c>
      <c r="O171" s="4">
        <f>IF(Table134[[#This Row],[check]]=1,Table134[[#This Row],[مساحت آدرس]]*Table134[[#This Row],[A0 Inc]],Table134[[#This Row],[A_tree]]*Table134[[#This Row],[اصله مستقل]])</f>
        <v>12</v>
      </c>
      <c r="P171" s="11">
        <f>IF(Table134[[#This Row],[check]]=1,Table134[[#This Row],[A0]]/Table134[[#This Row],[اصله مستقل]],Table134[[#This Row],[A_tree]])</f>
        <v>1</v>
      </c>
    </row>
    <row r="172" spans="2:16" ht="18.600000000000001" x14ac:dyDescent="0.3">
      <c r="B172" s="4" t="s">
        <v>212</v>
      </c>
      <c r="C172" s="4">
        <v>58</v>
      </c>
      <c r="D172" s="4">
        <v>24</v>
      </c>
      <c r="E172" s="4">
        <v>112</v>
      </c>
      <c r="F172" s="4">
        <v>877</v>
      </c>
      <c r="G172" s="2" t="s">
        <v>62</v>
      </c>
      <c r="H172" s="4">
        <v>9</v>
      </c>
      <c r="I172" s="4">
        <f>Table134[[#This Row],[اصله مستقل]]*Table134[[#This Row],[A_tree]]</f>
        <v>216</v>
      </c>
      <c r="J172" s="4">
        <f>IF(Table134[[#This Row],[n * A_tree ]]&gt;Table134[[#This Row],[مساحت آدرس]],1,0)</f>
        <v>0</v>
      </c>
      <c r="K172" s="8">
        <f>IF(Table134[[#This Row],[check]]=1,1,Table134[[#This Row],[A_tree]]*Table134[[#This Row],[اصله مستقل]]/Table134[[#This Row],[مساحت آدرس]])</f>
        <v>0.24629418472063855</v>
      </c>
      <c r="L172" s="14">
        <f>IF(Table134[[#This Row],[check]]=1,1,(Table134[[#This Row],[Psh]]+0.15*(1-Table134[[#This Row],[Psh]])))</f>
        <v>0.35935005701254275</v>
      </c>
      <c r="M172" s="14">
        <f>IF(Table134[[#This Row],[check]]=1,0.65,1)</f>
        <v>1</v>
      </c>
      <c r="N172" s="4">
        <v>1</v>
      </c>
      <c r="O172" s="4">
        <f>IF(Table134[[#This Row],[check]]=1,Table134[[#This Row],[مساحت آدرس]]*Table134[[#This Row],[A0 Inc]],Table134[[#This Row],[A_tree]]*Table134[[#This Row],[اصله مستقل]])</f>
        <v>216</v>
      </c>
      <c r="P172" s="11">
        <f>IF(Table134[[#This Row],[check]]=1,Table134[[#This Row],[A0]]/Table134[[#This Row],[اصله مستقل]],Table134[[#This Row],[A_tree]])</f>
        <v>9</v>
      </c>
    </row>
    <row r="173" spans="2:16" ht="18.600000000000001" x14ac:dyDescent="0.3">
      <c r="B173" s="4" t="s">
        <v>213</v>
      </c>
      <c r="C173" s="4">
        <v>33</v>
      </c>
      <c r="D173" s="4">
        <v>4</v>
      </c>
      <c r="E173" s="4">
        <v>4</v>
      </c>
      <c r="F173" s="4">
        <v>1569</v>
      </c>
      <c r="G173" s="2" t="s">
        <v>62</v>
      </c>
      <c r="H173" s="4">
        <v>9</v>
      </c>
      <c r="I173" s="4">
        <f>Table134[[#This Row],[اصله مستقل]]*Table134[[#This Row],[A_tree]]</f>
        <v>36</v>
      </c>
      <c r="J173" s="4">
        <f>IF(Table134[[#This Row],[n * A_tree ]]&gt;Table134[[#This Row],[مساحت آدرس]],1,0)</f>
        <v>0</v>
      </c>
      <c r="K173" s="8">
        <f>IF(Table134[[#This Row],[check]]=1,1,Table134[[#This Row],[A_tree]]*Table134[[#This Row],[اصله مستقل]]/Table134[[#This Row],[مساحت آدرس]])</f>
        <v>2.2944550669216062E-2</v>
      </c>
      <c r="L173" s="14">
        <f>IF(Table134[[#This Row],[check]]=1,1,(Table134[[#This Row],[Psh]]+0.15*(1-Table134[[#This Row],[Psh]])))</f>
        <v>0.16950286806883363</v>
      </c>
      <c r="M173" s="14">
        <f>IF(Table134[[#This Row],[check]]=1,0.65,1)</f>
        <v>1</v>
      </c>
      <c r="N173" s="4">
        <v>1</v>
      </c>
      <c r="O173" s="4">
        <f>IF(Table134[[#This Row],[check]]=1,Table134[[#This Row],[مساحت آدرس]]*Table134[[#This Row],[A0 Inc]],Table134[[#This Row],[A_tree]]*Table134[[#This Row],[اصله مستقل]])</f>
        <v>36</v>
      </c>
      <c r="P173" s="11">
        <f>IF(Table134[[#This Row],[check]]=1,Table134[[#This Row],[A0]]/Table134[[#This Row],[اصله مستقل]],Table134[[#This Row],[A_tree]])</f>
        <v>9</v>
      </c>
    </row>
    <row r="174" spans="2:16" ht="18.600000000000001" x14ac:dyDescent="0.3">
      <c r="B174" s="4" t="s">
        <v>214</v>
      </c>
      <c r="C174" s="4">
        <v>35</v>
      </c>
      <c r="D174" s="4">
        <v>35</v>
      </c>
      <c r="E174" s="4">
        <v>50</v>
      </c>
      <c r="F174" s="4">
        <v>400</v>
      </c>
      <c r="G174" s="2" t="s">
        <v>62</v>
      </c>
      <c r="H174" s="4">
        <v>9</v>
      </c>
      <c r="I174" s="4">
        <f>Table134[[#This Row],[اصله مستقل]]*Table134[[#This Row],[A_tree]]</f>
        <v>315</v>
      </c>
      <c r="J174" s="4">
        <f>IF(Table134[[#This Row],[n * A_tree ]]&gt;Table134[[#This Row],[مساحت آدرس]],1,0)</f>
        <v>0</v>
      </c>
      <c r="K174" s="8">
        <f>IF(Table134[[#This Row],[check]]=1,1,Table134[[#This Row],[A_tree]]*Table134[[#This Row],[اصله مستقل]]/Table134[[#This Row],[مساحت آدرس]])</f>
        <v>0.78749999999999998</v>
      </c>
      <c r="L174" s="14">
        <f>IF(Table134[[#This Row],[check]]=1,1,(Table134[[#This Row],[Psh]]+0.15*(1-Table134[[#This Row],[Psh]])))</f>
        <v>0.81937499999999996</v>
      </c>
      <c r="M174" s="14">
        <f>IF(Table134[[#This Row],[check]]=1,0.65,1)</f>
        <v>1</v>
      </c>
      <c r="N174" s="4">
        <v>1</v>
      </c>
      <c r="O174" s="4">
        <f>IF(Table134[[#This Row],[check]]=1,Table134[[#This Row],[مساحت آدرس]]*Table134[[#This Row],[A0 Inc]],Table134[[#This Row],[A_tree]]*Table134[[#This Row],[اصله مستقل]])</f>
        <v>315</v>
      </c>
      <c r="P174" s="11">
        <f>IF(Table134[[#This Row],[check]]=1,Table134[[#This Row],[A0]]/Table134[[#This Row],[اصله مستقل]],Table134[[#This Row],[A_tree]])</f>
        <v>9</v>
      </c>
    </row>
    <row r="175" spans="2:16" ht="18.600000000000001" x14ac:dyDescent="0.3">
      <c r="B175" s="4" t="s">
        <v>215</v>
      </c>
      <c r="C175" s="4">
        <v>56</v>
      </c>
      <c r="D175" s="4">
        <v>20</v>
      </c>
      <c r="E175" s="4">
        <v>20</v>
      </c>
      <c r="F175" s="4">
        <v>935</v>
      </c>
      <c r="G175" s="2" t="s">
        <v>62</v>
      </c>
      <c r="H175" s="4">
        <v>9</v>
      </c>
      <c r="I175" s="4">
        <f>Table134[[#This Row],[اصله مستقل]]*Table134[[#This Row],[A_tree]]</f>
        <v>180</v>
      </c>
      <c r="J175" s="4">
        <f>IF(Table134[[#This Row],[n * A_tree ]]&gt;Table134[[#This Row],[مساحت آدرس]],1,0)</f>
        <v>0</v>
      </c>
      <c r="K175" s="8">
        <f>IF(Table134[[#This Row],[check]]=1,1,Table134[[#This Row],[A_tree]]*Table134[[#This Row],[اصله مستقل]]/Table134[[#This Row],[مساحت آدرس]])</f>
        <v>0.19251336898395721</v>
      </c>
      <c r="L175" s="14">
        <f>IF(Table134[[#This Row],[check]]=1,1,(Table134[[#This Row],[Psh]]+0.15*(1-Table134[[#This Row],[Psh]])))</f>
        <v>0.3136363636363636</v>
      </c>
      <c r="M175" s="14">
        <f>IF(Table134[[#This Row],[check]]=1,0.65,1)</f>
        <v>1</v>
      </c>
      <c r="N175" s="4">
        <v>1</v>
      </c>
      <c r="O175" s="4">
        <f>IF(Table134[[#This Row],[check]]=1,Table134[[#This Row],[مساحت آدرس]]*Table134[[#This Row],[A0 Inc]],Table134[[#This Row],[A_tree]]*Table134[[#This Row],[اصله مستقل]])</f>
        <v>180</v>
      </c>
      <c r="P175" s="11">
        <f>IF(Table134[[#This Row],[check]]=1,Table134[[#This Row],[A0]]/Table134[[#This Row],[اصله مستقل]],Table134[[#This Row],[A_tree]])</f>
        <v>9</v>
      </c>
    </row>
    <row r="176" spans="2:16" ht="18.600000000000001" x14ac:dyDescent="0.3">
      <c r="B176" s="4" t="s">
        <v>216</v>
      </c>
      <c r="C176" s="4">
        <v>10</v>
      </c>
      <c r="D176" s="4">
        <v>12</v>
      </c>
      <c r="E176" s="4">
        <v>12</v>
      </c>
      <c r="F176" s="4">
        <v>162</v>
      </c>
      <c r="G176" s="2" t="s">
        <v>62</v>
      </c>
      <c r="H176" s="4">
        <v>9</v>
      </c>
      <c r="I176" s="4">
        <f>Table134[[#This Row],[اصله مستقل]]*Table134[[#This Row],[A_tree]]</f>
        <v>108</v>
      </c>
      <c r="J176" s="4">
        <f>IF(Table134[[#This Row],[n * A_tree ]]&gt;Table134[[#This Row],[مساحت آدرس]],1,0)</f>
        <v>0</v>
      </c>
      <c r="K176" s="8">
        <f>IF(Table134[[#This Row],[check]]=1,1,Table134[[#This Row],[A_tree]]*Table134[[#This Row],[اصله مستقل]]/Table134[[#This Row],[مساحت آدرس]])</f>
        <v>0.66666666666666663</v>
      </c>
      <c r="L176" s="14">
        <f>IF(Table134[[#This Row],[check]]=1,1,(Table134[[#This Row],[Psh]]+0.15*(1-Table134[[#This Row],[Psh]])))</f>
        <v>0.71666666666666667</v>
      </c>
      <c r="M176" s="14">
        <f>IF(Table134[[#This Row],[check]]=1,0.65,1)</f>
        <v>1</v>
      </c>
      <c r="N176" s="4">
        <v>1</v>
      </c>
      <c r="O176" s="4">
        <f>IF(Table134[[#This Row],[check]]=1,Table134[[#This Row],[مساحت آدرس]]*Table134[[#This Row],[A0 Inc]],Table134[[#This Row],[A_tree]]*Table134[[#This Row],[اصله مستقل]])</f>
        <v>108</v>
      </c>
      <c r="P176" s="11">
        <f>IF(Table134[[#This Row],[check]]=1,Table134[[#This Row],[A0]]/Table134[[#This Row],[اصله مستقل]],Table134[[#This Row],[A_tree]])</f>
        <v>9</v>
      </c>
    </row>
    <row r="177" spans="2:16" ht="18.600000000000001" x14ac:dyDescent="0.3">
      <c r="B177" s="4" t="s">
        <v>217</v>
      </c>
      <c r="C177" s="4">
        <v>39</v>
      </c>
      <c r="D177" s="4">
        <v>8</v>
      </c>
      <c r="E177" s="4">
        <v>8</v>
      </c>
      <c r="F177" s="4">
        <v>505</v>
      </c>
      <c r="G177" s="2" t="s">
        <v>62</v>
      </c>
      <c r="H177" s="4">
        <v>9</v>
      </c>
      <c r="I177" s="4">
        <f>Table134[[#This Row],[اصله مستقل]]*Table134[[#This Row],[A_tree]]</f>
        <v>72</v>
      </c>
      <c r="J177" s="4">
        <f>IF(Table134[[#This Row],[n * A_tree ]]&gt;Table134[[#This Row],[مساحت آدرس]],1,0)</f>
        <v>0</v>
      </c>
      <c r="K177" s="8">
        <f>IF(Table134[[#This Row],[check]]=1,1,Table134[[#This Row],[A_tree]]*Table134[[#This Row],[اصله مستقل]]/Table134[[#This Row],[مساحت آدرس]])</f>
        <v>0.14257425742574256</v>
      </c>
      <c r="L177" s="14">
        <f>IF(Table134[[#This Row],[check]]=1,1,(Table134[[#This Row],[Psh]]+0.15*(1-Table134[[#This Row],[Psh]])))</f>
        <v>0.27118811881188121</v>
      </c>
      <c r="M177" s="14">
        <f>IF(Table134[[#This Row],[check]]=1,0.65,1)</f>
        <v>1</v>
      </c>
      <c r="N177" s="4">
        <v>1</v>
      </c>
      <c r="O177" s="4">
        <f>IF(Table134[[#This Row],[check]]=1,Table134[[#This Row],[مساحت آدرس]]*Table134[[#This Row],[A0 Inc]],Table134[[#This Row],[A_tree]]*Table134[[#This Row],[اصله مستقل]])</f>
        <v>72</v>
      </c>
      <c r="P177" s="11">
        <f>IF(Table134[[#This Row],[check]]=1,Table134[[#This Row],[A0]]/Table134[[#This Row],[اصله مستقل]],Table134[[#This Row],[A_tree]])</f>
        <v>9</v>
      </c>
    </row>
    <row r="178" spans="2:16" ht="18.600000000000001" x14ac:dyDescent="0.3">
      <c r="B178" s="4" t="s">
        <v>218</v>
      </c>
      <c r="C178" s="4">
        <v>372</v>
      </c>
      <c r="D178" s="4">
        <v>25</v>
      </c>
      <c r="E178" s="4">
        <v>25</v>
      </c>
      <c r="F178" s="4">
        <v>2125</v>
      </c>
      <c r="G178" s="2" t="s">
        <v>21</v>
      </c>
      <c r="H178" s="4">
        <v>9</v>
      </c>
      <c r="I178" s="4">
        <f>Table134[[#This Row],[اصله مستقل]]*Table134[[#This Row],[A_tree]]</f>
        <v>225</v>
      </c>
      <c r="J178" s="4">
        <f>IF(Table134[[#This Row],[n * A_tree ]]&gt;Table134[[#This Row],[مساحت آدرس]],1,0)</f>
        <v>0</v>
      </c>
      <c r="K178" s="8">
        <f>IF(Table134[[#This Row],[check]]=1,1,Table134[[#This Row],[A_tree]]*Table134[[#This Row],[اصله مستقل]]/Table134[[#This Row],[مساحت آدرس]])</f>
        <v>0.10588235294117647</v>
      </c>
      <c r="L178" s="14">
        <f>IF(Table134[[#This Row],[check]]=1,1,(Table134[[#This Row],[Psh]]+0.15*(1-Table134[[#This Row],[Psh]])))</f>
        <v>0.24</v>
      </c>
      <c r="M178" s="14">
        <f>IF(Table134[[#This Row],[check]]=1,0.65,1)</f>
        <v>1</v>
      </c>
      <c r="N178" s="4">
        <v>1</v>
      </c>
      <c r="O178" s="4">
        <f>IF(Table134[[#This Row],[check]]=1,Table134[[#This Row],[مساحت آدرس]]*Table134[[#This Row],[A0 Inc]],Table134[[#This Row],[A_tree]]*Table134[[#This Row],[اصله مستقل]])</f>
        <v>225</v>
      </c>
      <c r="P178" s="11">
        <f>IF(Table134[[#This Row],[check]]=1,Table134[[#This Row],[A0]]/Table134[[#This Row],[اصله مستقل]],Table134[[#This Row],[A_tree]])</f>
        <v>9</v>
      </c>
    </row>
    <row r="179" spans="2:16" ht="18.600000000000001" x14ac:dyDescent="0.3">
      <c r="B179" s="4" t="s">
        <v>219</v>
      </c>
      <c r="C179" s="4">
        <v>38</v>
      </c>
      <c r="D179" s="4">
        <v>3</v>
      </c>
      <c r="E179" s="4">
        <v>3</v>
      </c>
      <c r="F179" s="4">
        <v>473</v>
      </c>
      <c r="G179" s="2" t="s">
        <v>66</v>
      </c>
      <c r="H179" s="4">
        <v>9</v>
      </c>
      <c r="I179" s="4">
        <f>Table134[[#This Row],[اصله مستقل]]*Table134[[#This Row],[A_tree]]</f>
        <v>27</v>
      </c>
      <c r="J179" s="4">
        <f>IF(Table134[[#This Row],[n * A_tree ]]&gt;Table134[[#This Row],[مساحت آدرس]],1,0)</f>
        <v>0</v>
      </c>
      <c r="K179" s="8">
        <f>IF(Table134[[#This Row],[check]]=1,1,Table134[[#This Row],[A_tree]]*Table134[[#This Row],[اصله مستقل]]/Table134[[#This Row],[مساحت آدرس]])</f>
        <v>5.7082452431289642E-2</v>
      </c>
      <c r="L179" s="14">
        <f>IF(Table134[[#This Row],[check]]=1,1,(Table134[[#This Row],[Psh]]+0.15*(1-Table134[[#This Row],[Psh]])))</f>
        <v>0.1985200845665962</v>
      </c>
      <c r="M179" s="14">
        <f>IF(Table134[[#This Row],[check]]=1,0.65,1)</f>
        <v>1</v>
      </c>
      <c r="N179" s="4">
        <v>1</v>
      </c>
      <c r="O179" s="4">
        <f>IF(Table134[[#This Row],[check]]=1,Table134[[#This Row],[مساحت آدرس]]*Table134[[#This Row],[A0 Inc]],Table134[[#This Row],[A_tree]]*Table134[[#This Row],[اصله مستقل]])</f>
        <v>27</v>
      </c>
      <c r="P179" s="11">
        <f>IF(Table134[[#This Row],[check]]=1,Table134[[#This Row],[A0]]/Table134[[#This Row],[اصله مستقل]],Table134[[#This Row],[A_tree]])</f>
        <v>9</v>
      </c>
    </row>
    <row r="180" spans="2:16" ht="18.600000000000001" x14ac:dyDescent="0.3">
      <c r="B180" s="4" t="s">
        <v>220</v>
      </c>
      <c r="C180" s="4">
        <v>117</v>
      </c>
      <c r="D180" s="4">
        <v>20</v>
      </c>
      <c r="E180" s="4">
        <v>60</v>
      </c>
      <c r="F180" s="4">
        <v>1970</v>
      </c>
      <c r="G180" s="2" t="s">
        <v>66</v>
      </c>
      <c r="H180" s="4">
        <v>9</v>
      </c>
      <c r="I180" s="4">
        <f>Table134[[#This Row],[اصله مستقل]]*Table134[[#This Row],[A_tree]]</f>
        <v>180</v>
      </c>
      <c r="J180" s="4">
        <f>IF(Table134[[#This Row],[n * A_tree ]]&gt;Table134[[#This Row],[مساحت آدرس]],1,0)</f>
        <v>0</v>
      </c>
      <c r="K180" s="8">
        <f>IF(Table134[[#This Row],[check]]=1,1,Table134[[#This Row],[A_tree]]*Table134[[#This Row],[اصله مستقل]]/Table134[[#This Row],[مساحت آدرس]])</f>
        <v>9.1370558375634514E-2</v>
      </c>
      <c r="L180" s="14">
        <f>IF(Table134[[#This Row],[check]]=1,1,(Table134[[#This Row],[Psh]]+0.15*(1-Table134[[#This Row],[Psh]])))</f>
        <v>0.22766497461928933</v>
      </c>
      <c r="M180" s="14">
        <f>IF(Table134[[#This Row],[check]]=1,0.65,1)</f>
        <v>1</v>
      </c>
      <c r="N180" s="4">
        <v>1</v>
      </c>
      <c r="O180" s="4">
        <f>IF(Table134[[#This Row],[check]]=1,Table134[[#This Row],[مساحت آدرس]]*Table134[[#This Row],[A0 Inc]],Table134[[#This Row],[A_tree]]*Table134[[#This Row],[اصله مستقل]])</f>
        <v>180</v>
      </c>
      <c r="P180" s="11">
        <f>IF(Table134[[#This Row],[check]]=1,Table134[[#This Row],[A0]]/Table134[[#This Row],[اصله مستقل]],Table134[[#This Row],[A_tree]])</f>
        <v>9</v>
      </c>
    </row>
    <row r="181" spans="2:16" ht="18.600000000000001" x14ac:dyDescent="0.3">
      <c r="B181" s="4" t="s">
        <v>221</v>
      </c>
      <c r="C181" s="4">
        <v>72</v>
      </c>
      <c r="D181" s="4">
        <v>18</v>
      </c>
      <c r="E181" s="4">
        <v>70</v>
      </c>
      <c r="F181" s="4">
        <v>1181</v>
      </c>
      <c r="G181" s="2" t="s">
        <v>66</v>
      </c>
      <c r="H181" s="4">
        <v>9</v>
      </c>
      <c r="I181" s="4">
        <f>Table134[[#This Row],[اصله مستقل]]*Table134[[#This Row],[A_tree]]</f>
        <v>162</v>
      </c>
      <c r="J181" s="4">
        <f>IF(Table134[[#This Row],[n * A_tree ]]&gt;Table134[[#This Row],[مساحت آدرس]],1,0)</f>
        <v>0</v>
      </c>
      <c r="K181" s="8">
        <f>IF(Table134[[#This Row],[check]]=1,1,Table134[[#This Row],[A_tree]]*Table134[[#This Row],[اصله مستقل]]/Table134[[#This Row],[مساحت آدرس]])</f>
        <v>0.13717188823031329</v>
      </c>
      <c r="L181" s="14">
        <f>IF(Table134[[#This Row],[check]]=1,1,(Table134[[#This Row],[Psh]]+0.15*(1-Table134[[#This Row],[Psh]])))</f>
        <v>0.2665961049957663</v>
      </c>
      <c r="M181" s="14">
        <f>IF(Table134[[#This Row],[check]]=1,0.65,1)</f>
        <v>1</v>
      </c>
      <c r="N181" s="4">
        <v>1</v>
      </c>
      <c r="O181" s="4">
        <f>IF(Table134[[#This Row],[check]]=1,Table134[[#This Row],[مساحت آدرس]]*Table134[[#This Row],[A0 Inc]],Table134[[#This Row],[A_tree]]*Table134[[#This Row],[اصله مستقل]])</f>
        <v>162</v>
      </c>
      <c r="P181" s="11">
        <f>IF(Table134[[#This Row],[check]]=1,Table134[[#This Row],[A0]]/Table134[[#This Row],[اصله مستقل]],Table134[[#This Row],[A_tree]])</f>
        <v>9</v>
      </c>
    </row>
    <row r="182" spans="2:16" ht="18.600000000000001" x14ac:dyDescent="0.3">
      <c r="B182" s="4" t="s">
        <v>222</v>
      </c>
      <c r="C182" s="4">
        <v>676</v>
      </c>
      <c r="D182" s="4">
        <v>77</v>
      </c>
      <c r="E182" s="4">
        <v>77</v>
      </c>
      <c r="F182" s="4">
        <v>3199</v>
      </c>
      <c r="G182" s="2" t="s">
        <v>21</v>
      </c>
      <c r="H182" s="4">
        <v>9</v>
      </c>
      <c r="I182" s="4">
        <f>Table134[[#This Row],[اصله مستقل]]*Table134[[#This Row],[A_tree]]</f>
        <v>693</v>
      </c>
      <c r="J182" s="4">
        <f>IF(Table134[[#This Row],[n * A_tree ]]&gt;Table134[[#This Row],[مساحت آدرس]],1,0)</f>
        <v>0</v>
      </c>
      <c r="K182" s="8">
        <f>IF(Table134[[#This Row],[check]]=1,1,Table134[[#This Row],[A_tree]]*Table134[[#This Row],[اصله مستقل]]/Table134[[#This Row],[مساحت آدرس]])</f>
        <v>0.21663019693654267</v>
      </c>
      <c r="L182" s="14">
        <f>IF(Table134[[#This Row],[check]]=1,1,(Table134[[#This Row],[Psh]]+0.15*(1-Table134[[#This Row],[Psh]])))</f>
        <v>0.33413566739606126</v>
      </c>
      <c r="M182" s="14">
        <f>IF(Table134[[#This Row],[check]]=1,0.65,1)</f>
        <v>1</v>
      </c>
      <c r="N182" s="4">
        <v>1</v>
      </c>
      <c r="O182" s="4">
        <f>IF(Table134[[#This Row],[check]]=1,Table134[[#This Row],[مساحت آدرس]]*Table134[[#This Row],[A0 Inc]],Table134[[#This Row],[A_tree]]*Table134[[#This Row],[اصله مستقل]])</f>
        <v>693</v>
      </c>
      <c r="P182" s="11">
        <f>IF(Table134[[#This Row],[check]]=1,Table134[[#This Row],[A0]]/Table134[[#This Row],[اصله مستقل]],Table134[[#This Row],[A_tree]])</f>
        <v>9</v>
      </c>
    </row>
    <row r="183" spans="2:16" ht="18.600000000000001" x14ac:dyDescent="0.3">
      <c r="B183" s="4" t="s">
        <v>223</v>
      </c>
      <c r="C183" s="4">
        <v>590</v>
      </c>
      <c r="D183" s="4">
        <v>460</v>
      </c>
      <c r="E183" s="4">
        <v>460</v>
      </c>
      <c r="F183" s="4">
        <v>1120</v>
      </c>
      <c r="G183" s="2" t="s">
        <v>21</v>
      </c>
      <c r="H183" s="4">
        <v>9</v>
      </c>
      <c r="I183" s="4">
        <f>Table134[[#This Row],[اصله مستقل]]*Table134[[#This Row],[A_tree]]</f>
        <v>4140</v>
      </c>
      <c r="J183" s="4">
        <f>IF(Table134[[#This Row],[n * A_tree ]]&gt;Table134[[#This Row],[مساحت آدرس]],1,0)</f>
        <v>1</v>
      </c>
      <c r="K183" s="8">
        <f>IF(Table134[[#This Row],[check]]=1,1,Table134[[#This Row],[A_tree]]*Table134[[#This Row],[اصله مستقل]]/Table134[[#This Row],[مساحت آدرس]])</f>
        <v>1</v>
      </c>
      <c r="L183" s="14">
        <f>IF(Table134[[#This Row],[check]]=1,1,(Table134[[#This Row],[Psh]]+0.15*(1-Table134[[#This Row],[Psh]])))</f>
        <v>1</v>
      </c>
      <c r="M183" s="14">
        <f>IF(Table134[[#This Row],[check]]=1,0.65,1)</f>
        <v>0.65</v>
      </c>
      <c r="N183" s="4">
        <v>1</v>
      </c>
      <c r="O183" s="4">
        <f>IF(Table134[[#This Row],[check]]=1,Table134[[#This Row],[مساحت آدرس]]*Table134[[#This Row],[A0 Inc]],Table134[[#This Row],[A_tree]]*Table134[[#This Row],[اصله مستقل]])</f>
        <v>1120</v>
      </c>
      <c r="P183" s="11">
        <f>IF(Table134[[#This Row],[check]]=1,Table134[[#This Row],[A0]]/Table134[[#This Row],[اصله مستقل]],Table134[[#This Row],[A_tree]])</f>
        <v>2.4347826086956523</v>
      </c>
    </row>
    <row r="184" spans="2:16" ht="18.600000000000001" x14ac:dyDescent="0.3">
      <c r="B184" s="4" t="s">
        <v>224</v>
      </c>
      <c r="C184" s="4">
        <v>946</v>
      </c>
      <c r="D184" s="4">
        <v>144</v>
      </c>
      <c r="E184" s="4">
        <v>144</v>
      </c>
      <c r="F184" s="4">
        <v>3144</v>
      </c>
      <c r="G184" s="2" t="s">
        <v>21</v>
      </c>
      <c r="H184" s="4">
        <v>9</v>
      </c>
      <c r="I184" s="4">
        <f>Table134[[#This Row],[اصله مستقل]]*Table134[[#This Row],[A_tree]]</f>
        <v>1296</v>
      </c>
      <c r="J184" s="4">
        <f>IF(Table134[[#This Row],[n * A_tree ]]&gt;Table134[[#This Row],[مساحت آدرس]],1,0)</f>
        <v>0</v>
      </c>
      <c r="K184" s="8">
        <f>IF(Table134[[#This Row],[check]]=1,1,Table134[[#This Row],[A_tree]]*Table134[[#This Row],[اصله مستقل]]/Table134[[#This Row],[مساحت آدرس]])</f>
        <v>0.41221374045801529</v>
      </c>
      <c r="L184" s="14">
        <f>IF(Table134[[#This Row],[check]]=1,1,(Table134[[#This Row],[Psh]]+0.15*(1-Table134[[#This Row],[Psh]])))</f>
        <v>0.50038167938931299</v>
      </c>
      <c r="M184" s="14">
        <f>IF(Table134[[#This Row],[check]]=1,0.65,1)</f>
        <v>1</v>
      </c>
      <c r="N184" s="4">
        <v>1</v>
      </c>
      <c r="O184" s="4">
        <f>IF(Table134[[#This Row],[check]]=1,Table134[[#This Row],[مساحت آدرس]]*Table134[[#This Row],[A0 Inc]],Table134[[#This Row],[A_tree]]*Table134[[#This Row],[اصله مستقل]])</f>
        <v>1296</v>
      </c>
      <c r="P184" s="11">
        <f>IF(Table134[[#This Row],[check]]=1,Table134[[#This Row],[A0]]/Table134[[#This Row],[اصله مستقل]],Table134[[#This Row],[A_tree]])</f>
        <v>9</v>
      </c>
    </row>
    <row r="185" spans="2:16" ht="18.600000000000001" x14ac:dyDescent="0.3">
      <c r="B185" s="4" t="s">
        <v>225</v>
      </c>
      <c r="C185" s="4">
        <v>306</v>
      </c>
      <c r="D185" s="4">
        <v>156</v>
      </c>
      <c r="E185" s="4">
        <v>156</v>
      </c>
      <c r="F185" s="4">
        <v>500</v>
      </c>
      <c r="G185" s="2" t="s">
        <v>21</v>
      </c>
      <c r="H185" s="4">
        <v>9</v>
      </c>
      <c r="I185" s="4">
        <f>Table134[[#This Row],[اصله مستقل]]*Table134[[#This Row],[A_tree]]</f>
        <v>1404</v>
      </c>
      <c r="J185" s="4">
        <f>IF(Table134[[#This Row],[n * A_tree ]]&gt;Table134[[#This Row],[مساحت آدرس]],1,0)</f>
        <v>1</v>
      </c>
      <c r="K185" s="8">
        <f>IF(Table134[[#This Row],[check]]=1,1,Table134[[#This Row],[A_tree]]*Table134[[#This Row],[اصله مستقل]]/Table134[[#This Row],[مساحت آدرس]])</f>
        <v>1</v>
      </c>
      <c r="L185" s="14">
        <f>IF(Table134[[#This Row],[check]]=1,1,(Table134[[#This Row],[Psh]]+0.15*(1-Table134[[#This Row],[Psh]])))</f>
        <v>1</v>
      </c>
      <c r="M185" s="14">
        <f>IF(Table134[[#This Row],[check]]=1,0.65,1)</f>
        <v>0.65</v>
      </c>
      <c r="N185" s="4">
        <v>1</v>
      </c>
      <c r="O185" s="4">
        <f>IF(Table134[[#This Row],[check]]=1,Table134[[#This Row],[مساحت آدرس]]*Table134[[#This Row],[A0 Inc]],Table134[[#This Row],[A_tree]]*Table134[[#This Row],[اصله مستقل]])</f>
        <v>500</v>
      </c>
      <c r="P185" s="11">
        <f>IF(Table134[[#This Row],[check]]=1,Table134[[#This Row],[A0]]/Table134[[#This Row],[اصله مستقل]],Table134[[#This Row],[A_tree]])</f>
        <v>3.2051282051282053</v>
      </c>
    </row>
    <row r="186" spans="2:16" ht="18.600000000000001" x14ac:dyDescent="0.3">
      <c r="B186" s="4" t="s">
        <v>226</v>
      </c>
      <c r="C186" s="4">
        <v>305</v>
      </c>
      <c r="D186" s="4">
        <v>232</v>
      </c>
      <c r="E186" s="4">
        <v>232</v>
      </c>
      <c r="F186" s="4">
        <v>232</v>
      </c>
      <c r="G186" s="2" t="s">
        <v>21</v>
      </c>
      <c r="H186" s="4">
        <v>9</v>
      </c>
      <c r="I186" s="4">
        <f>Table134[[#This Row],[اصله مستقل]]*Table134[[#This Row],[A_tree]]</f>
        <v>2088</v>
      </c>
      <c r="J186" s="4">
        <f>IF(Table134[[#This Row],[n * A_tree ]]&gt;Table134[[#This Row],[مساحت آدرس]],1,0)</f>
        <v>1</v>
      </c>
      <c r="K186" s="8">
        <f>IF(Table134[[#This Row],[check]]=1,1,Table134[[#This Row],[A_tree]]*Table134[[#This Row],[اصله مستقل]]/Table134[[#This Row],[مساحت آدرس]])</f>
        <v>1</v>
      </c>
      <c r="L186" s="14">
        <f>IF(Table134[[#This Row],[check]]=1,1,(Table134[[#This Row],[Psh]]+0.15*(1-Table134[[#This Row],[Psh]])))</f>
        <v>1</v>
      </c>
      <c r="M186" s="14">
        <f>IF(Table134[[#This Row],[check]]=1,0.65,1)</f>
        <v>0.65</v>
      </c>
      <c r="N186" s="4">
        <v>1</v>
      </c>
      <c r="O186" s="4">
        <f>IF(Table134[[#This Row],[check]]=1,Table134[[#This Row],[مساحت آدرس]]*Table134[[#This Row],[A0 Inc]],Table134[[#This Row],[A_tree]]*Table134[[#This Row],[اصله مستقل]])</f>
        <v>232</v>
      </c>
      <c r="P186" s="11">
        <f>IF(Table134[[#This Row],[check]]=1,Table134[[#This Row],[A0]]/Table134[[#This Row],[اصله مستقل]],Table134[[#This Row],[A_tree]])</f>
        <v>1</v>
      </c>
    </row>
    <row r="187" spans="2:16" ht="18.600000000000001" x14ac:dyDescent="0.3">
      <c r="B187" s="4" t="s">
        <v>227</v>
      </c>
      <c r="C187" s="4">
        <v>513</v>
      </c>
      <c r="D187" s="4">
        <v>76</v>
      </c>
      <c r="E187" s="4">
        <v>76</v>
      </c>
      <c r="F187" s="4">
        <v>1576</v>
      </c>
      <c r="G187" s="2" t="s">
        <v>21</v>
      </c>
      <c r="H187" s="4">
        <v>9</v>
      </c>
      <c r="I187" s="4">
        <f>Table134[[#This Row],[اصله مستقل]]*Table134[[#This Row],[A_tree]]</f>
        <v>684</v>
      </c>
      <c r="J187" s="4">
        <f>IF(Table134[[#This Row],[n * A_tree ]]&gt;Table134[[#This Row],[مساحت آدرس]],1,0)</f>
        <v>0</v>
      </c>
      <c r="K187" s="8">
        <f>IF(Table134[[#This Row],[check]]=1,1,Table134[[#This Row],[A_tree]]*Table134[[#This Row],[اصله مستقل]]/Table134[[#This Row],[مساحت آدرس]])</f>
        <v>0.43401015228426398</v>
      </c>
      <c r="L187" s="14">
        <f>IF(Table134[[#This Row],[check]]=1,1,(Table134[[#This Row],[Psh]]+0.15*(1-Table134[[#This Row],[Psh]])))</f>
        <v>0.51890862944162441</v>
      </c>
      <c r="M187" s="14">
        <f>IF(Table134[[#This Row],[check]]=1,0.65,1)</f>
        <v>1</v>
      </c>
      <c r="N187" s="4">
        <v>1</v>
      </c>
      <c r="O187" s="4">
        <f>IF(Table134[[#This Row],[check]]=1,Table134[[#This Row],[مساحت آدرس]]*Table134[[#This Row],[A0 Inc]],Table134[[#This Row],[A_tree]]*Table134[[#This Row],[اصله مستقل]])</f>
        <v>684</v>
      </c>
      <c r="P187" s="11">
        <f>IF(Table134[[#This Row],[check]]=1,Table134[[#This Row],[A0]]/Table134[[#This Row],[اصله مستقل]],Table134[[#This Row],[A_tree]])</f>
        <v>9</v>
      </c>
    </row>
    <row r="188" spans="2:16" ht="18.600000000000001" x14ac:dyDescent="0.3">
      <c r="B188" s="4" t="s">
        <v>228</v>
      </c>
      <c r="C188" s="4">
        <v>606</v>
      </c>
      <c r="D188" s="4">
        <v>176</v>
      </c>
      <c r="E188" s="4">
        <v>176</v>
      </c>
      <c r="F188" s="4">
        <v>1752</v>
      </c>
      <c r="G188" s="2" t="s">
        <v>21</v>
      </c>
      <c r="H188" s="4">
        <v>9</v>
      </c>
      <c r="I188" s="4">
        <f>Table134[[#This Row],[اصله مستقل]]*Table134[[#This Row],[A_tree]]</f>
        <v>1584</v>
      </c>
      <c r="J188" s="4">
        <f>IF(Table134[[#This Row],[n * A_tree ]]&gt;Table134[[#This Row],[مساحت آدرس]],1,0)</f>
        <v>0</v>
      </c>
      <c r="K188" s="8">
        <f>IF(Table134[[#This Row],[check]]=1,1,Table134[[#This Row],[A_tree]]*Table134[[#This Row],[اصله مستقل]]/Table134[[#This Row],[مساحت آدرس]])</f>
        <v>0.90410958904109584</v>
      </c>
      <c r="L188" s="14">
        <f>IF(Table134[[#This Row],[check]]=1,1,(Table134[[#This Row],[Psh]]+0.15*(1-Table134[[#This Row],[Psh]])))</f>
        <v>0.91849315068493143</v>
      </c>
      <c r="M188" s="14">
        <f>IF(Table134[[#This Row],[check]]=1,0.65,1)</f>
        <v>1</v>
      </c>
      <c r="N188" s="4">
        <v>1</v>
      </c>
      <c r="O188" s="4">
        <f>IF(Table134[[#This Row],[check]]=1,Table134[[#This Row],[مساحت آدرس]]*Table134[[#This Row],[A0 Inc]],Table134[[#This Row],[A_tree]]*Table134[[#This Row],[اصله مستقل]])</f>
        <v>1584</v>
      </c>
      <c r="P188" s="11">
        <f>IF(Table134[[#This Row],[check]]=1,Table134[[#This Row],[A0]]/Table134[[#This Row],[اصله مستقل]],Table134[[#This Row],[A_tree]])</f>
        <v>9</v>
      </c>
    </row>
    <row r="189" spans="2:16" ht="18.600000000000001" x14ac:dyDescent="0.3">
      <c r="B189" s="4" t="s">
        <v>229</v>
      </c>
      <c r="C189" s="4">
        <v>835</v>
      </c>
      <c r="D189" s="4">
        <v>70</v>
      </c>
      <c r="E189" s="4">
        <v>70</v>
      </c>
      <c r="F189" s="4">
        <v>2809</v>
      </c>
      <c r="G189" s="2" t="s">
        <v>21</v>
      </c>
      <c r="H189" s="4">
        <v>9</v>
      </c>
      <c r="I189" s="4">
        <f>Table134[[#This Row],[اصله مستقل]]*Table134[[#This Row],[A_tree]]</f>
        <v>630</v>
      </c>
      <c r="J189" s="4">
        <f>IF(Table134[[#This Row],[n * A_tree ]]&gt;Table134[[#This Row],[مساحت آدرس]],1,0)</f>
        <v>0</v>
      </c>
      <c r="K189" s="8">
        <f>IF(Table134[[#This Row],[check]]=1,1,Table134[[#This Row],[A_tree]]*Table134[[#This Row],[اصله مستقل]]/Table134[[#This Row],[مساحت آدرس]])</f>
        <v>0.22427910288358846</v>
      </c>
      <c r="L189" s="14">
        <f>IF(Table134[[#This Row],[check]]=1,1,(Table134[[#This Row],[Psh]]+0.15*(1-Table134[[#This Row],[Psh]])))</f>
        <v>0.34063723745105018</v>
      </c>
      <c r="M189" s="14">
        <f>IF(Table134[[#This Row],[check]]=1,0.65,1)</f>
        <v>1</v>
      </c>
      <c r="N189" s="4">
        <v>1</v>
      </c>
      <c r="O189" s="4">
        <f>IF(Table134[[#This Row],[check]]=1,Table134[[#This Row],[مساحت آدرس]]*Table134[[#This Row],[A0 Inc]],Table134[[#This Row],[A_tree]]*Table134[[#This Row],[اصله مستقل]])</f>
        <v>630</v>
      </c>
      <c r="P189" s="11">
        <f>IF(Table134[[#This Row],[check]]=1,Table134[[#This Row],[A0]]/Table134[[#This Row],[اصله مستقل]],Table134[[#This Row],[A_tree]])</f>
        <v>9</v>
      </c>
    </row>
    <row r="190" spans="2:16" ht="18.600000000000001" x14ac:dyDescent="0.3">
      <c r="B190" s="4" t="s">
        <v>230</v>
      </c>
      <c r="C190" s="4">
        <v>227</v>
      </c>
      <c r="D190" s="4">
        <v>103</v>
      </c>
      <c r="E190" s="4">
        <v>103</v>
      </c>
      <c r="F190" s="4">
        <v>303</v>
      </c>
      <c r="G190" s="2" t="s">
        <v>21</v>
      </c>
      <c r="H190" s="4">
        <v>9</v>
      </c>
      <c r="I190" s="4">
        <f>Table134[[#This Row],[اصله مستقل]]*Table134[[#This Row],[A_tree]]</f>
        <v>927</v>
      </c>
      <c r="J190" s="4">
        <f>IF(Table134[[#This Row],[n * A_tree ]]&gt;Table134[[#This Row],[مساحت آدرس]],1,0)</f>
        <v>1</v>
      </c>
      <c r="K190" s="8">
        <f>IF(Table134[[#This Row],[check]]=1,1,Table134[[#This Row],[A_tree]]*Table134[[#This Row],[اصله مستقل]]/Table134[[#This Row],[مساحت آدرس]])</f>
        <v>1</v>
      </c>
      <c r="L190" s="14">
        <f>IF(Table134[[#This Row],[check]]=1,1,(Table134[[#This Row],[Psh]]+0.15*(1-Table134[[#This Row],[Psh]])))</f>
        <v>1</v>
      </c>
      <c r="M190" s="14">
        <f>IF(Table134[[#This Row],[check]]=1,0.65,1)</f>
        <v>0.65</v>
      </c>
      <c r="N190" s="4">
        <v>1</v>
      </c>
      <c r="O190" s="4">
        <f>IF(Table134[[#This Row],[check]]=1,Table134[[#This Row],[مساحت آدرس]]*Table134[[#This Row],[A0 Inc]],Table134[[#This Row],[A_tree]]*Table134[[#This Row],[اصله مستقل]])</f>
        <v>303</v>
      </c>
      <c r="P190" s="11">
        <f>IF(Table134[[#This Row],[check]]=1,Table134[[#This Row],[A0]]/Table134[[#This Row],[اصله مستقل]],Table134[[#This Row],[A_tree]])</f>
        <v>2.941747572815534</v>
      </c>
    </row>
    <row r="191" spans="2:16" ht="18.600000000000001" x14ac:dyDescent="0.3">
      <c r="B191" s="4" t="s">
        <v>231</v>
      </c>
      <c r="C191" s="4">
        <v>320</v>
      </c>
      <c r="D191" s="4">
        <v>222</v>
      </c>
      <c r="E191" s="4">
        <v>222</v>
      </c>
      <c r="F191" s="4">
        <v>222</v>
      </c>
      <c r="G191" s="2" t="s">
        <v>21</v>
      </c>
      <c r="H191" s="4">
        <v>9</v>
      </c>
      <c r="I191" s="4">
        <f>Table134[[#This Row],[اصله مستقل]]*Table134[[#This Row],[A_tree]]</f>
        <v>1998</v>
      </c>
      <c r="J191" s="4">
        <f>IF(Table134[[#This Row],[n * A_tree ]]&gt;Table134[[#This Row],[مساحت آدرس]],1,0)</f>
        <v>1</v>
      </c>
      <c r="K191" s="8">
        <f>IF(Table134[[#This Row],[check]]=1,1,Table134[[#This Row],[A_tree]]*Table134[[#This Row],[اصله مستقل]]/Table134[[#This Row],[مساحت آدرس]])</f>
        <v>1</v>
      </c>
      <c r="L191" s="14">
        <f>IF(Table134[[#This Row],[check]]=1,1,(Table134[[#This Row],[Psh]]+0.15*(1-Table134[[#This Row],[Psh]])))</f>
        <v>1</v>
      </c>
      <c r="M191" s="14">
        <f>IF(Table134[[#This Row],[check]]=1,0.65,1)</f>
        <v>0.65</v>
      </c>
      <c r="N191" s="4">
        <v>1</v>
      </c>
      <c r="O191" s="4">
        <f>IF(Table134[[#This Row],[check]]=1,Table134[[#This Row],[مساحت آدرس]]*Table134[[#This Row],[A0 Inc]],Table134[[#This Row],[A_tree]]*Table134[[#This Row],[اصله مستقل]])</f>
        <v>222</v>
      </c>
      <c r="P191" s="11">
        <f>IF(Table134[[#This Row],[check]]=1,Table134[[#This Row],[A0]]/Table134[[#This Row],[اصله مستقل]],Table134[[#This Row],[A_tree]])</f>
        <v>1</v>
      </c>
    </row>
    <row r="192" spans="2:16" ht="18.600000000000001" x14ac:dyDescent="0.3">
      <c r="B192" s="4" t="s">
        <v>232</v>
      </c>
      <c r="C192" s="4">
        <v>341</v>
      </c>
      <c r="D192" s="4">
        <v>21</v>
      </c>
      <c r="E192" s="4">
        <v>21</v>
      </c>
      <c r="F192" s="4">
        <v>1521</v>
      </c>
      <c r="G192" s="2" t="s">
        <v>21</v>
      </c>
      <c r="H192" s="4">
        <v>9</v>
      </c>
      <c r="I192" s="4">
        <f>Table134[[#This Row],[اصله مستقل]]*Table134[[#This Row],[A_tree]]</f>
        <v>189</v>
      </c>
      <c r="J192" s="4">
        <f>IF(Table134[[#This Row],[n * A_tree ]]&gt;Table134[[#This Row],[مساحت آدرس]],1,0)</f>
        <v>0</v>
      </c>
      <c r="K192" s="8">
        <f>IF(Table134[[#This Row],[check]]=1,1,Table134[[#This Row],[A_tree]]*Table134[[#This Row],[اصله مستقل]]/Table134[[#This Row],[مساحت آدرس]])</f>
        <v>0.1242603550295858</v>
      </c>
      <c r="L192" s="14">
        <f>IF(Table134[[#This Row],[check]]=1,1,(Table134[[#This Row],[Psh]]+0.15*(1-Table134[[#This Row],[Psh]])))</f>
        <v>0.25562130177514791</v>
      </c>
      <c r="M192" s="14">
        <f>IF(Table134[[#This Row],[check]]=1,0.65,1)</f>
        <v>1</v>
      </c>
      <c r="N192" s="4">
        <v>1</v>
      </c>
      <c r="O192" s="4">
        <f>IF(Table134[[#This Row],[check]]=1,Table134[[#This Row],[مساحت آدرس]]*Table134[[#This Row],[A0 Inc]],Table134[[#This Row],[A_tree]]*Table134[[#This Row],[اصله مستقل]])</f>
        <v>189</v>
      </c>
      <c r="P192" s="11">
        <f>IF(Table134[[#This Row],[check]]=1,Table134[[#This Row],[A0]]/Table134[[#This Row],[اصله مستقل]],Table134[[#This Row],[A_tree]])</f>
        <v>9</v>
      </c>
    </row>
    <row r="193" spans="2:16" ht="18.600000000000001" x14ac:dyDescent="0.3">
      <c r="B193" s="4" t="s">
        <v>233</v>
      </c>
      <c r="C193" s="4">
        <v>170</v>
      </c>
      <c r="D193" s="4">
        <v>30</v>
      </c>
      <c r="E193" s="4">
        <v>30</v>
      </c>
      <c r="F193" s="4">
        <v>3627</v>
      </c>
      <c r="G193" s="2" t="s">
        <v>66</v>
      </c>
      <c r="H193" s="4">
        <v>9</v>
      </c>
      <c r="I193" s="4">
        <f>Table134[[#This Row],[اصله مستقل]]*Table134[[#This Row],[A_tree]]</f>
        <v>270</v>
      </c>
      <c r="J193" s="4">
        <f>IF(Table134[[#This Row],[n * A_tree ]]&gt;Table134[[#This Row],[مساحت آدرس]],1,0)</f>
        <v>0</v>
      </c>
      <c r="K193" s="8">
        <f>IF(Table134[[#This Row],[check]]=1,1,Table134[[#This Row],[A_tree]]*Table134[[#This Row],[اصله مستقل]]/Table134[[#This Row],[مساحت آدرس]])</f>
        <v>7.4441687344913146E-2</v>
      </c>
      <c r="L193" s="14">
        <f>IF(Table134[[#This Row],[check]]=1,1,(Table134[[#This Row],[Psh]]+0.15*(1-Table134[[#This Row],[Psh]])))</f>
        <v>0.21327543424317619</v>
      </c>
      <c r="M193" s="14">
        <f>IF(Table134[[#This Row],[check]]=1,0.65,1)</f>
        <v>1</v>
      </c>
      <c r="N193" s="4">
        <v>1</v>
      </c>
      <c r="O193" s="4">
        <f>IF(Table134[[#This Row],[check]]=1,Table134[[#This Row],[مساحت آدرس]]*Table134[[#This Row],[A0 Inc]],Table134[[#This Row],[A_tree]]*Table134[[#This Row],[اصله مستقل]])</f>
        <v>270</v>
      </c>
      <c r="P193" s="11">
        <f>IF(Table134[[#This Row],[check]]=1,Table134[[#This Row],[A0]]/Table134[[#This Row],[اصله مستقل]],Table134[[#This Row],[A_tree]])</f>
        <v>9</v>
      </c>
    </row>
    <row r="194" spans="2:16" ht="18.600000000000001" x14ac:dyDescent="0.3">
      <c r="B194" s="4" t="s">
        <v>240</v>
      </c>
      <c r="C194" s="4">
        <v>1372</v>
      </c>
      <c r="D194" s="4">
        <v>1372</v>
      </c>
      <c r="E194" s="4">
        <v>9500</v>
      </c>
      <c r="F194" s="4">
        <v>14805</v>
      </c>
      <c r="G194" s="2" t="s">
        <v>3</v>
      </c>
      <c r="H194" s="4">
        <v>9</v>
      </c>
      <c r="I194" s="4">
        <f>Table134[[#This Row],[اصله مستقل]]*Table134[[#This Row],[A_tree]]</f>
        <v>12348</v>
      </c>
      <c r="J194" s="4">
        <f>IF(Table134[[#This Row],[n * A_tree ]]&gt;Table134[[#This Row],[مساحت آدرس]],1,0)</f>
        <v>0</v>
      </c>
      <c r="K194" s="8">
        <f>IF(Table134[[#This Row],[check]]=1,1,Table134[[#This Row],[A_tree]]*Table134[[#This Row],[اصله مستقل]]/Table134[[#This Row],[مساحت آدرس]])</f>
        <v>0.83404255319148934</v>
      </c>
      <c r="L194" s="14">
        <f>IF(Table134[[#This Row],[check]]=1,1,(Table134[[#This Row],[Psh]]+0.15*(1-Table134[[#This Row],[Psh]])))</f>
        <v>0.85893617021276591</v>
      </c>
      <c r="M194" s="14">
        <f>IF(Table134[[#This Row],[check]]=1,0.65,1)</f>
        <v>1</v>
      </c>
      <c r="N194" s="4">
        <v>1</v>
      </c>
      <c r="O194" s="4">
        <f>IF(Table134[[#This Row],[check]]=1,Table134[[#This Row],[مساحت آدرس]]*Table134[[#This Row],[A0 Inc]],Table134[[#This Row],[A_tree]]*Table134[[#This Row],[اصله مستقل]])</f>
        <v>12348</v>
      </c>
      <c r="P194" s="11">
        <f>IF(Table134[[#This Row],[check]]=1,Table134[[#This Row],[A0]]/Table134[[#This Row],[اصله مستقل]],Table134[[#This Row],[A_tree]])</f>
        <v>9</v>
      </c>
    </row>
    <row r="195" spans="2:16" ht="18.600000000000001" x14ac:dyDescent="0.3">
      <c r="B195" s="4" t="s">
        <v>241</v>
      </c>
      <c r="C195" s="4">
        <v>116</v>
      </c>
      <c r="D195" s="4">
        <v>116</v>
      </c>
      <c r="E195" s="4">
        <v>60</v>
      </c>
      <c r="F195" s="4">
        <v>401</v>
      </c>
      <c r="G195" s="2" t="s">
        <v>21</v>
      </c>
      <c r="H195" s="4">
        <v>9</v>
      </c>
      <c r="I195" s="4">
        <f>Table134[[#This Row],[اصله مستقل]]*Table134[[#This Row],[A_tree]]</f>
        <v>1044</v>
      </c>
      <c r="J195" s="4">
        <f>IF(Table134[[#This Row],[n * A_tree ]]&gt;Table134[[#This Row],[مساحت آدرس]],1,0)</f>
        <v>1</v>
      </c>
      <c r="K195" s="8">
        <f>IF(Table134[[#This Row],[check]]=1,1,Table134[[#This Row],[A_tree]]*Table134[[#This Row],[اصله مستقل]]/Table134[[#This Row],[مساحت آدرس]])</f>
        <v>1</v>
      </c>
      <c r="L195" s="14">
        <f>IF(Table134[[#This Row],[check]]=1,1,(Table134[[#This Row],[Psh]]+0.15*(1-Table134[[#This Row],[Psh]])))</f>
        <v>1</v>
      </c>
      <c r="M195" s="14">
        <f>IF(Table134[[#This Row],[check]]=1,0.65,1)</f>
        <v>0.65</v>
      </c>
      <c r="N195" s="4">
        <v>1</v>
      </c>
      <c r="O195" s="4">
        <f>IF(Table134[[#This Row],[check]]=1,Table134[[#This Row],[مساحت آدرس]]*Table134[[#This Row],[A0 Inc]],Table134[[#This Row],[A_tree]]*Table134[[#This Row],[اصله مستقل]])</f>
        <v>401</v>
      </c>
      <c r="P195" s="11">
        <f>IF(Table134[[#This Row],[check]]=1,Table134[[#This Row],[A0]]/Table134[[#This Row],[اصله مستقل]],Table134[[#This Row],[A_tree]])</f>
        <v>3.4568965517241379</v>
      </c>
    </row>
    <row r="196" spans="2:16" ht="18.600000000000001" x14ac:dyDescent="0.3">
      <c r="B196" s="4" t="s">
        <v>242</v>
      </c>
      <c r="C196" s="4">
        <v>665</v>
      </c>
      <c r="D196" s="4">
        <v>665</v>
      </c>
      <c r="E196" s="4">
        <v>1600</v>
      </c>
      <c r="F196" s="4">
        <v>1620</v>
      </c>
      <c r="G196" s="2" t="s">
        <v>21</v>
      </c>
      <c r="H196" s="4">
        <v>9</v>
      </c>
      <c r="I196" s="4">
        <f>Table134[[#This Row],[اصله مستقل]]*Table134[[#This Row],[A_tree]]</f>
        <v>5985</v>
      </c>
      <c r="J196" s="4">
        <f>IF(Table134[[#This Row],[n * A_tree ]]&gt;Table134[[#This Row],[مساحت آدرس]],1,0)</f>
        <v>1</v>
      </c>
      <c r="K196" s="8">
        <f>IF(Table134[[#This Row],[check]]=1,1,Table134[[#This Row],[A_tree]]*Table134[[#This Row],[اصله مستقل]]/Table134[[#This Row],[مساحت آدرس]])</f>
        <v>1</v>
      </c>
      <c r="L196" s="14">
        <f>IF(Table134[[#This Row],[check]]=1,1,(Table134[[#This Row],[Psh]]+0.15*(1-Table134[[#This Row],[Psh]])))</f>
        <v>1</v>
      </c>
      <c r="M196" s="14">
        <f>IF(Table134[[#This Row],[check]]=1,0.65,1)</f>
        <v>0.65</v>
      </c>
      <c r="N196" s="4">
        <v>1</v>
      </c>
      <c r="O196" s="4">
        <f>IF(Table134[[#This Row],[check]]=1,Table134[[#This Row],[مساحت آدرس]]*Table134[[#This Row],[A0 Inc]],Table134[[#This Row],[A_tree]]*Table134[[#This Row],[اصله مستقل]])</f>
        <v>1620</v>
      </c>
      <c r="P196" s="11">
        <f>IF(Table134[[#This Row],[check]]=1,Table134[[#This Row],[A0]]/Table134[[#This Row],[اصله مستقل]],Table134[[#This Row],[A_tree]])</f>
        <v>2.4360902255639099</v>
      </c>
    </row>
    <row r="197" spans="2:16" ht="18.600000000000001" x14ac:dyDescent="0.3">
      <c r="B197" s="4" t="s">
        <v>243</v>
      </c>
      <c r="C197" s="4">
        <v>750</v>
      </c>
      <c r="D197" s="4">
        <v>750</v>
      </c>
      <c r="E197" s="4">
        <v>846</v>
      </c>
      <c r="F197" s="4">
        <v>1006</v>
      </c>
      <c r="G197" s="2" t="s">
        <v>21</v>
      </c>
      <c r="H197" s="4">
        <v>9</v>
      </c>
      <c r="I197" s="4">
        <f>Table134[[#This Row],[اصله مستقل]]*Table134[[#This Row],[A_tree]]</f>
        <v>6750</v>
      </c>
      <c r="J197" s="4">
        <f>IF(Table134[[#This Row],[n * A_tree ]]&gt;Table134[[#This Row],[مساحت آدرس]],1,0)</f>
        <v>1</v>
      </c>
      <c r="K197" s="8">
        <f>IF(Table134[[#This Row],[check]]=1,1,Table134[[#This Row],[A_tree]]*Table134[[#This Row],[اصله مستقل]]/Table134[[#This Row],[مساحت آدرس]])</f>
        <v>1</v>
      </c>
      <c r="L197" s="14">
        <f>IF(Table134[[#This Row],[check]]=1,1,(Table134[[#This Row],[Psh]]+0.15*(1-Table134[[#This Row],[Psh]])))</f>
        <v>1</v>
      </c>
      <c r="M197" s="14">
        <f>IF(Table134[[#This Row],[check]]=1,0.65,1)</f>
        <v>0.65</v>
      </c>
      <c r="N197" s="4">
        <v>1</v>
      </c>
      <c r="O197" s="4">
        <f>IF(Table134[[#This Row],[check]]=1,Table134[[#This Row],[مساحت آدرس]]*Table134[[#This Row],[A0 Inc]],Table134[[#This Row],[A_tree]]*Table134[[#This Row],[اصله مستقل]])</f>
        <v>1006</v>
      </c>
      <c r="P197" s="11">
        <f>IF(Table134[[#This Row],[check]]=1,Table134[[#This Row],[A0]]/Table134[[#This Row],[اصله مستقل]],Table134[[#This Row],[A_tree]])</f>
        <v>1.3413333333333333</v>
      </c>
    </row>
    <row r="198" spans="2:16" ht="18.600000000000001" x14ac:dyDescent="0.3">
      <c r="B198" s="4" t="s">
        <v>244</v>
      </c>
      <c r="C198" s="4">
        <v>605</v>
      </c>
      <c r="D198" s="4">
        <v>358</v>
      </c>
      <c r="E198" s="4">
        <v>650</v>
      </c>
      <c r="F198" s="4">
        <v>4400</v>
      </c>
      <c r="G198" s="2" t="s">
        <v>21</v>
      </c>
      <c r="H198" s="4">
        <v>9</v>
      </c>
      <c r="I198" s="4">
        <f>Table134[[#This Row],[اصله مستقل]]*Table134[[#This Row],[A_tree]]</f>
        <v>3222</v>
      </c>
      <c r="J198" s="4">
        <f>IF(Table134[[#This Row],[n * A_tree ]]&gt;Table134[[#This Row],[مساحت آدرس]],1,0)</f>
        <v>0</v>
      </c>
      <c r="K198" s="8">
        <f>IF(Table134[[#This Row],[check]]=1,1,Table134[[#This Row],[A_tree]]*Table134[[#This Row],[اصله مستقل]]/Table134[[#This Row],[مساحت آدرس]])</f>
        <v>0.7322727272727273</v>
      </c>
      <c r="L198" s="14">
        <f>IF(Table134[[#This Row],[check]]=1,1,(Table134[[#This Row],[Psh]]+0.15*(1-Table134[[#This Row],[Psh]])))</f>
        <v>0.77243181818181816</v>
      </c>
      <c r="M198" s="14">
        <f>IF(Table134[[#This Row],[check]]=1,0.65,1)</f>
        <v>1</v>
      </c>
      <c r="N198" s="4">
        <v>1</v>
      </c>
      <c r="O198" s="4">
        <f>IF(Table134[[#This Row],[check]]=1,Table134[[#This Row],[مساحت آدرس]]*Table134[[#This Row],[A0 Inc]],Table134[[#This Row],[A_tree]]*Table134[[#This Row],[اصله مستقل]])</f>
        <v>3222</v>
      </c>
      <c r="P198" s="11">
        <f>IF(Table134[[#This Row],[check]]=1,Table134[[#This Row],[A0]]/Table134[[#This Row],[اصله مستقل]],Table134[[#This Row],[A_tree]])</f>
        <v>9</v>
      </c>
    </row>
    <row r="199" spans="2:16" ht="18.600000000000001" x14ac:dyDescent="0.3">
      <c r="B199" s="4" t="s">
        <v>245</v>
      </c>
      <c r="C199" s="4">
        <v>195</v>
      </c>
      <c r="D199" s="4">
        <v>195</v>
      </c>
      <c r="E199" s="4">
        <v>158</v>
      </c>
      <c r="F199" s="4">
        <v>243</v>
      </c>
      <c r="G199" s="2" t="s">
        <v>21</v>
      </c>
      <c r="H199" s="4">
        <v>9</v>
      </c>
      <c r="I199" s="4">
        <f>Table134[[#This Row],[اصله مستقل]]*Table134[[#This Row],[A_tree]]</f>
        <v>1755</v>
      </c>
      <c r="J199" s="4">
        <f>IF(Table134[[#This Row],[n * A_tree ]]&gt;Table134[[#This Row],[مساحت آدرس]],1,0)</f>
        <v>1</v>
      </c>
      <c r="K199" s="8">
        <f>IF(Table134[[#This Row],[check]]=1,1,Table134[[#This Row],[A_tree]]*Table134[[#This Row],[اصله مستقل]]/Table134[[#This Row],[مساحت آدرس]])</f>
        <v>1</v>
      </c>
      <c r="L199" s="14">
        <f>IF(Table134[[#This Row],[check]]=1,1,(Table134[[#This Row],[Psh]]+0.15*(1-Table134[[#This Row],[Psh]])))</f>
        <v>1</v>
      </c>
      <c r="M199" s="14">
        <f>IF(Table134[[#This Row],[check]]=1,0.65,1)</f>
        <v>0.65</v>
      </c>
      <c r="N199" s="4">
        <v>1</v>
      </c>
      <c r="O199" s="4">
        <f>IF(Table134[[#This Row],[check]]=1,Table134[[#This Row],[مساحت آدرس]]*Table134[[#This Row],[A0 Inc]],Table134[[#This Row],[A_tree]]*Table134[[#This Row],[اصله مستقل]])</f>
        <v>243</v>
      </c>
      <c r="P199" s="11">
        <f>IF(Table134[[#This Row],[check]]=1,Table134[[#This Row],[A0]]/Table134[[#This Row],[اصله مستقل]],Table134[[#This Row],[A_tree]])</f>
        <v>1.2461538461538462</v>
      </c>
    </row>
    <row r="200" spans="2:16" ht="18.600000000000001" x14ac:dyDescent="0.3">
      <c r="B200" s="4" t="s">
        <v>246</v>
      </c>
      <c r="C200" s="4">
        <v>916</v>
      </c>
      <c r="D200" s="4">
        <v>680</v>
      </c>
      <c r="E200" s="4">
        <v>2936</v>
      </c>
      <c r="F200" s="4">
        <v>4319</v>
      </c>
      <c r="G200" s="2" t="s">
        <v>21</v>
      </c>
      <c r="H200" s="4">
        <v>9</v>
      </c>
      <c r="I200" s="4">
        <f>Table134[[#This Row],[اصله مستقل]]*Table134[[#This Row],[A_tree]]</f>
        <v>6120</v>
      </c>
      <c r="J200" s="4">
        <f>IF(Table134[[#This Row],[n * A_tree ]]&gt;Table134[[#This Row],[مساحت آدرس]],1,0)</f>
        <v>1</v>
      </c>
      <c r="K200" s="8">
        <f>IF(Table134[[#This Row],[check]]=1,1,Table134[[#This Row],[A_tree]]*Table134[[#This Row],[اصله مستقل]]/Table134[[#This Row],[مساحت آدرس]])</f>
        <v>1</v>
      </c>
      <c r="L200" s="14">
        <f>IF(Table134[[#This Row],[check]]=1,1,(Table134[[#This Row],[Psh]]+0.15*(1-Table134[[#This Row],[Psh]])))</f>
        <v>1</v>
      </c>
      <c r="M200" s="14">
        <f>IF(Table134[[#This Row],[check]]=1,0.65,1)</f>
        <v>0.65</v>
      </c>
      <c r="N200" s="4">
        <v>1</v>
      </c>
      <c r="O200" s="4">
        <f>IF(Table134[[#This Row],[check]]=1,Table134[[#This Row],[مساحت آدرس]]*Table134[[#This Row],[A0 Inc]],Table134[[#This Row],[A_tree]]*Table134[[#This Row],[اصله مستقل]])</f>
        <v>4319</v>
      </c>
      <c r="P200" s="11">
        <f>IF(Table134[[#This Row],[check]]=1,Table134[[#This Row],[A0]]/Table134[[#This Row],[اصله مستقل]],Table134[[#This Row],[A_tree]])</f>
        <v>6.3514705882352942</v>
      </c>
    </row>
    <row r="201" spans="2:16" ht="18.600000000000001" x14ac:dyDescent="0.3">
      <c r="B201" s="4" t="s">
        <v>247</v>
      </c>
      <c r="C201" s="4">
        <v>335</v>
      </c>
      <c r="D201" s="4">
        <v>335</v>
      </c>
      <c r="E201" s="4">
        <v>392</v>
      </c>
      <c r="F201" s="4">
        <v>424</v>
      </c>
      <c r="G201" s="2" t="s">
        <v>21</v>
      </c>
      <c r="H201" s="4">
        <v>9</v>
      </c>
      <c r="I201" s="4">
        <f>Table134[[#This Row],[اصله مستقل]]*Table134[[#This Row],[A_tree]]</f>
        <v>3015</v>
      </c>
      <c r="J201" s="4">
        <f>IF(Table134[[#This Row],[n * A_tree ]]&gt;Table134[[#This Row],[مساحت آدرس]],1,0)</f>
        <v>1</v>
      </c>
      <c r="K201" s="8">
        <f>IF(Table134[[#This Row],[check]]=1,1,Table134[[#This Row],[A_tree]]*Table134[[#This Row],[اصله مستقل]]/Table134[[#This Row],[مساحت آدرس]])</f>
        <v>1</v>
      </c>
      <c r="L201" s="14">
        <f>IF(Table134[[#This Row],[check]]=1,1,(Table134[[#This Row],[Psh]]+0.15*(1-Table134[[#This Row],[Psh]])))</f>
        <v>1</v>
      </c>
      <c r="M201" s="14">
        <f>IF(Table134[[#This Row],[check]]=1,0.65,1)</f>
        <v>0.65</v>
      </c>
      <c r="N201" s="4">
        <v>1</v>
      </c>
      <c r="O201" s="4">
        <f>IF(Table134[[#This Row],[check]]=1,Table134[[#This Row],[مساحت آدرس]]*Table134[[#This Row],[A0 Inc]],Table134[[#This Row],[A_tree]]*Table134[[#This Row],[اصله مستقل]])</f>
        <v>424</v>
      </c>
      <c r="P201" s="11">
        <f>IF(Table134[[#This Row],[check]]=1,Table134[[#This Row],[A0]]/Table134[[#This Row],[اصله مستقل]],Table134[[#This Row],[A_tree]])</f>
        <v>1.2656716417910447</v>
      </c>
    </row>
    <row r="202" spans="2:16" ht="18.600000000000001" x14ac:dyDescent="0.3">
      <c r="B202" s="4" t="s">
        <v>248</v>
      </c>
      <c r="C202" s="4">
        <v>255</v>
      </c>
      <c r="D202" s="4">
        <v>152</v>
      </c>
      <c r="E202" s="4">
        <v>150</v>
      </c>
      <c r="F202" s="4">
        <v>550</v>
      </c>
      <c r="G202" s="2" t="s">
        <v>21</v>
      </c>
      <c r="H202" s="4">
        <v>9</v>
      </c>
      <c r="I202" s="4">
        <f>Table134[[#This Row],[اصله مستقل]]*Table134[[#This Row],[A_tree]]</f>
        <v>1368</v>
      </c>
      <c r="J202" s="4">
        <f>IF(Table134[[#This Row],[n * A_tree ]]&gt;Table134[[#This Row],[مساحت آدرس]],1,0)</f>
        <v>1</v>
      </c>
      <c r="K202" s="8">
        <f>IF(Table134[[#This Row],[check]]=1,1,Table134[[#This Row],[A_tree]]*Table134[[#This Row],[اصله مستقل]]/Table134[[#This Row],[مساحت آدرس]])</f>
        <v>1</v>
      </c>
      <c r="L202" s="14">
        <f>IF(Table134[[#This Row],[check]]=1,1,(Table134[[#This Row],[Psh]]+0.15*(1-Table134[[#This Row],[Psh]])))</f>
        <v>1</v>
      </c>
      <c r="M202" s="14">
        <f>IF(Table134[[#This Row],[check]]=1,0.65,1)</f>
        <v>0.65</v>
      </c>
      <c r="N202" s="4">
        <v>1</v>
      </c>
      <c r="O202" s="4">
        <f>IF(Table134[[#This Row],[check]]=1,Table134[[#This Row],[مساحت آدرس]]*Table134[[#This Row],[A0 Inc]],Table134[[#This Row],[A_tree]]*Table134[[#This Row],[اصله مستقل]])</f>
        <v>550</v>
      </c>
      <c r="P202" s="11">
        <f>IF(Table134[[#This Row],[check]]=1,Table134[[#This Row],[A0]]/Table134[[#This Row],[اصله مستقل]],Table134[[#This Row],[A_tree]])</f>
        <v>3.6184210526315788</v>
      </c>
    </row>
    <row r="203" spans="2:16" ht="18.600000000000001" x14ac:dyDescent="0.3">
      <c r="B203" s="4" t="s">
        <v>249</v>
      </c>
      <c r="C203" s="4">
        <v>700</v>
      </c>
      <c r="D203" s="4">
        <v>700</v>
      </c>
      <c r="E203" s="4">
        <v>1116</v>
      </c>
      <c r="F203" s="4">
        <v>1116</v>
      </c>
      <c r="G203" s="2" t="s">
        <v>21</v>
      </c>
      <c r="H203" s="4">
        <v>9</v>
      </c>
      <c r="I203" s="4">
        <f>Table134[[#This Row],[اصله مستقل]]*Table134[[#This Row],[A_tree]]</f>
        <v>6300</v>
      </c>
      <c r="J203" s="4">
        <f>IF(Table134[[#This Row],[n * A_tree ]]&gt;Table134[[#This Row],[مساحت آدرس]],1,0)</f>
        <v>1</v>
      </c>
      <c r="K203" s="8">
        <f>IF(Table134[[#This Row],[check]]=1,1,Table134[[#This Row],[A_tree]]*Table134[[#This Row],[اصله مستقل]]/Table134[[#This Row],[مساحت آدرس]])</f>
        <v>1</v>
      </c>
      <c r="L203" s="14">
        <f>IF(Table134[[#This Row],[check]]=1,1,(Table134[[#This Row],[Psh]]+0.15*(1-Table134[[#This Row],[Psh]])))</f>
        <v>1</v>
      </c>
      <c r="M203" s="14">
        <f>IF(Table134[[#This Row],[check]]=1,0.65,1)</f>
        <v>0.65</v>
      </c>
      <c r="N203" s="4">
        <v>1</v>
      </c>
      <c r="O203" s="4">
        <f>IF(Table134[[#This Row],[check]]=1,Table134[[#This Row],[مساحت آدرس]]*Table134[[#This Row],[A0 Inc]],Table134[[#This Row],[A_tree]]*Table134[[#This Row],[اصله مستقل]])</f>
        <v>1116</v>
      </c>
      <c r="P203" s="11">
        <f>IF(Table134[[#This Row],[check]]=1,Table134[[#This Row],[A0]]/Table134[[#This Row],[اصله مستقل]],Table134[[#This Row],[A_tree]])</f>
        <v>1.5942857142857143</v>
      </c>
    </row>
    <row r="204" spans="2:16" ht="18.600000000000001" x14ac:dyDescent="0.3">
      <c r="B204" s="4" t="s">
        <v>250</v>
      </c>
      <c r="C204" s="4">
        <v>275</v>
      </c>
      <c r="D204" s="4">
        <v>275</v>
      </c>
      <c r="E204" s="4">
        <v>648</v>
      </c>
      <c r="F204" s="4">
        <v>648</v>
      </c>
      <c r="G204" s="2" t="s">
        <v>21</v>
      </c>
      <c r="H204" s="4">
        <v>9</v>
      </c>
      <c r="I204" s="4">
        <f>Table134[[#This Row],[اصله مستقل]]*Table134[[#This Row],[A_tree]]</f>
        <v>2475</v>
      </c>
      <c r="J204" s="4">
        <f>IF(Table134[[#This Row],[n * A_tree ]]&gt;Table134[[#This Row],[مساحت آدرس]],1,0)</f>
        <v>1</v>
      </c>
      <c r="K204" s="8">
        <f>IF(Table134[[#This Row],[check]]=1,1,Table134[[#This Row],[A_tree]]*Table134[[#This Row],[اصله مستقل]]/Table134[[#This Row],[مساحت آدرس]])</f>
        <v>1</v>
      </c>
      <c r="L204" s="14">
        <f>IF(Table134[[#This Row],[check]]=1,1,(Table134[[#This Row],[Psh]]+0.15*(1-Table134[[#This Row],[Psh]])))</f>
        <v>1</v>
      </c>
      <c r="M204" s="14">
        <f>IF(Table134[[#This Row],[check]]=1,0.65,1)</f>
        <v>0.65</v>
      </c>
      <c r="N204" s="4">
        <v>1</v>
      </c>
      <c r="O204" s="4">
        <f>IF(Table134[[#This Row],[check]]=1,Table134[[#This Row],[مساحت آدرس]]*Table134[[#This Row],[A0 Inc]],Table134[[#This Row],[A_tree]]*Table134[[#This Row],[اصله مستقل]])</f>
        <v>648</v>
      </c>
      <c r="P204" s="11">
        <f>IF(Table134[[#This Row],[check]]=1,Table134[[#This Row],[A0]]/Table134[[#This Row],[اصله مستقل]],Table134[[#This Row],[A_tree]])</f>
        <v>2.3563636363636364</v>
      </c>
    </row>
    <row r="205" spans="2:16" ht="18.600000000000001" x14ac:dyDescent="0.3">
      <c r="B205" s="4" t="s">
        <v>251</v>
      </c>
      <c r="C205" s="4">
        <v>947</v>
      </c>
      <c r="D205" s="4">
        <v>947</v>
      </c>
      <c r="E205" s="4">
        <v>4739</v>
      </c>
      <c r="F205" s="4">
        <v>5295</v>
      </c>
      <c r="G205" s="2" t="s">
        <v>21</v>
      </c>
      <c r="H205" s="4">
        <v>9</v>
      </c>
      <c r="I205" s="4">
        <f>Table134[[#This Row],[اصله مستقل]]*Table134[[#This Row],[A_tree]]</f>
        <v>8523</v>
      </c>
      <c r="J205" s="4">
        <f>IF(Table134[[#This Row],[n * A_tree ]]&gt;Table134[[#This Row],[مساحت آدرس]],1,0)</f>
        <v>1</v>
      </c>
      <c r="K205" s="8">
        <f>IF(Table134[[#This Row],[check]]=1,1,Table134[[#This Row],[A_tree]]*Table134[[#This Row],[اصله مستقل]]/Table134[[#This Row],[مساحت آدرس]])</f>
        <v>1</v>
      </c>
      <c r="L205" s="14">
        <f>IF(Table134[[#This Row],[check]]=1,1,(Table134[[#This Row],[Psh]]+0.15*(1-Table134[[#This Row],[Psh]])))</f>
        <v>1</v>
      </c>
      <c r="M205" s="14">
        <f>IF(Table134[[#This Row],[check]]=1,0.65,1)</f>
        <v>0.65</v>
      </c>
      <c r="N205" s="4">
        <v>1</v>
      </c>
      <c r="O205" s="4">
        <f>IF(Table134[[#This Row],[check]]=1,Table134[[#This Row],[مساحت آدرس]]*Table134[[#This Row],[A0 Inc]],Table134[[#This Row],[A_tree]]*Table134[[#This Row],[اصله مستقل]])</f>
        <v>5295</v>
      </c>
      <c r="P205" s="11">
        <f>IF(Table134[[#This Row],[check]]=1,Table134[[#This Row],[A0]]/Table134[[#This Row],[اصله مستقل]],Table134[[#This Row],[A_tree]])</f>
        <v>5.5913410770855334</v>
      </c>
    </row>
    <row r="206" spans="2:16" ht="18.600000000000001" x14ac:dyDescent="0.3">
      <c r="B206" s="4" t="s">
        <v>252</v>
      </c>
      <c r="C206" s="4">
        <v>94</v>
      </c>
      <c r="D206" s="4">
        <v>94</v>
      </c>
      <c r="E206" s="4">
        <v>2150</v>
      </c>
      <c r="F206" s="4">
        <v>2150</v>
      </c>
      <c r="G206" s="2" t="s">
        <v>62</v>
      </c>
      <c r="H206" s="4">
        <v>9</v>
      </c>
      <c r="I206" s="4">
        <f>Table134[[#This Row],[اصله مستقل]]*Table134[[#This Row],[A_tree]]</f>
        <v>846</v>
      </c>
      <c r="J206" s="4">
        <f>IF(Table134[[#This Row],[n * A_tree ]]&gt;Table134[[#This Row],[مساحت آدرس]],1,0)</f>
        <v>0</v>
      </c>
      <c r="K206" s="8">
        <f>IF(Table134[[#This Row],[check]]=1,1,Table134[[#This Row],[A_tree]]*Table134[[#This Row],[اصله مستقل]]/Table134[[#This Row],[مساحت آدرس]])</f>
        <v>0.39348837209302323</v>
      </c>
      <c r="L206" s="14">
        <f>IF(Table134[[#This Row],[check]]=1,1,(Table134[[#This Row],[Psh]]+0.15*(1-Table134[[#This Row],[Psh]])))</f>
        <v>0.48446511627906974</v>
      </c>
      <c r="M206" s="14">
        <f>IF(Table134[[#This Row],[check]]=1,0.65,1)</f>
        <v>1</v>
      </c>
      <c r="N206" s="4">
        <v>1</v>
      </c>
      <c r="O206" s="4">
        <f>IF(Table134[[#This Row],[check]]=1,Table134[[#This Row],[مساحت آدرس]]*Table134[[#This Row],[A0 Inc]],Table134[[#This Row],[A_tree]]*Table134[[#This Row],[اصله مستقل]])</f>
        <v>846</v>
      </c>
      <c r="P206" s="11">
        <f>IF(Table134[[#This Row],[check]]=1,Table134[[#This Row],[A0]]/Table134[[#This Row],[اصله مستقل]],Table134[[#This Row],[A_tree]])</f>
        <v>9</v>
      </c>
    </row>
    <row r="207" spans="2:16" ht="18.600000000000001" x14ac:dyDescent="0.3">
      <c r="B207" s="4" t="s">
        <v>253</v>
      </c>
      <c r="C207" s="4">
        <v>298</v>
      </c>
      <c r="D207" s="4">
        <v>298</v>
      </c>
      <c r="E207" s="4">
        <v>2980</v>
      </c>
      <c r="F207" s="4">
        <v>3089</v>
      </c>
      <c r="G207" s="2" t="s">
        <v>62</v>
      </c>
      <c r="H207" s="4">
        <v>9</v>
      </c>
      <c r="I207" s="4">
        <f>Table134[[#This Row],[اصله مستقل]]*Table134[[#This Row],[A_tree]]</f>
        <v>2682</v>
      </c>
      <c r="J207" s="4">
        <f>IF(Table134[[#This Row],[n * A_tree ]]&gt;Table134[[#This Row],[مساحت آدرس]],1,0)</f>
        <v>0</v>
      </c>
      <c r="K207" s="8">
        <f>IF(Table134[[#This Row],[check]]=1,1,Table134[[#This Row],[A_tree]]*Table134[[#This Row],[اصله مستقل]]/Table134[[#This Row],[مساحت آدرس]])</f>
        <v>0.86824214956296542</v>
      </c>
      <c r="L207" s="14">
        <f>IF(Table134[[#This Row],[check]]=1,1,(Table134[[#This Row],[Psh]]+0.15*(1-Table134[[#This Row],[Psh]])))</f>
        <v>0.88800582712852061</v>
      </c>
      <c r="M207" s="14">
        <f>IF(Table134[[#This Row],[check]]=1,0.65,1)</f>
        <v>1</v>
      </c>
      <c r="N207" s="4">
        <v>1</v>
      </c>
      <c r="O207" s="4">
        <f>IF(Table134[[#This Row],[check]]=1,Table134[[#This Row],[مساحت آدرس]]*Table134[[#This Row],[A0 Inc]],Table134[[#This Row],[A_tree]]*Table134[[#This Row],[اصله مستقل]])</f>
        <v>2682</v>
      </c>
      <c r="P207" s="11">
        <f>IF(Table134[[#This Row],[check]]=1,Table134[[#This Row],[A0]]/Table134[[#This Row],[اصله مستقل]],Table134[[#This Row],[A_tree]])</f>
        <v>9</v>
      </c>
    </row>
    <row r="208" spans="2:16" ht="18.600000000000001" x14ac:dyDescent="0.3">
      <c r="B208" s="4" t="s">
        <v>254</v>
      </c>
      <c r="C208" s="4">
        <v>87</v>
      </c>
      <c r="D208" s="4">
        <v>44</v>
      </c>
      <c r="E208" s="4">
        <v>42</v>
      </c>
      <c r="F208" s="4">
        <v>1721</v>
      </c>
      <c r="G208" s="2" t="s">
        <v>62</v>
      </c>
      <c r="H208" s="4">
        <v>9</v>
      </c>
      <c r="I208" s="4">
        <f>Table134[[#This Row],[اصله مستقل]]*Table134[[#This Row],[A_tree]]</f>
        <v>396</v>
      </c>
      <c r="J208" s="4">
        <f>IF(Table134[[#This Row],[n * A_tree ]]&gt;Table134[[#This Row],[مساحت آدرس]],1,0)</f>
        <v>0</v>
      </c>
      <c r="K208" s="8">
        <f>IF(Table134[[#This Row],[check]]=1,1,Table134[[#This Row],[A_tree]]*Table134[[#This Row],[اصله مستقل]]/Table134[[#This Row],[مساحت آدرس]])</f>
        <v>0.23009877977919815</v>
      </c>
      <c r="L208" s="14">
        <f>IF(Table134[[#This Row],[check]]=1,1,(Table134[[#This Row],[Psh]]+0.15*(1-Table134[[#This Row],[Psh]])))</f>
        <v>0.3455839628123184</v>
      </c>
      <c r="M208" s="14">
        <f>IF(Table134[[#This Row],[check]]=1,0.65,1)</f>
        <v>1</v>
      </c>
      <c r="N208" s="4">
        <v>1</v>
      </c>
      <c r="O208" s="4">
        <f>IF(Table134[[#This Row],[check]]=1,Table134[[#This Row],[مساحت آدرس]]*Table134[[#This Row],[A0 Inc]],Table134[[#This Row],[A_tree]]*Table134[[#This Row],[اصله مستقل]])</f>
        <v>396</v>
      </c>
      <c r="P208" s="11">
        <f>IF(Table134[[#This Row],[check]]=1,Table134[[#This Row],[A0]]/Table134[[#This Row],[اصله مستقل]],Table134[[#This Row],[A_tree]])</f>
        <v>9</v>
      </c>
    </row>
    <row r="209" spans="2:16" ht="18.600000000000001" x14ac:dyDescent="0.3">
      <c r="B209" s="4" t="s">
        <v>255</v>
      </c>
      <c r="C209" s="4">
        <v>56</v>
      </c>
      <c r="D209" s="4">
        <v>56</v>
      </c>
      <c r="E209" s="4">
        <v>484</v>
      </c>
      <c r="F209" s="4">
        <v>990</v>
      </c>
      <c r="G209" s="2" t="s">
        <v>62</v>
      </c>
      <c r="H209" s="4">
        <v>9</v>
      </c>
      <c r="I209" s="4">
        <f>Table134[[#This Row],[اصله مستقل]]*Table134[[#This Row],[A_tree]]</f>
        <v>504</v>
      </c>
      <c r="J209" s="4">
        <f>IF(Table134[[#This Row],[n * A_tree ]]&gt;Table134[[#This Row],[مساحت آدرس]],1,0)</f>
        <v>0</v>
      </c>
      <c r="K209" s="8">
        <f>IF(Table134[[#This Row],[check]]=1,1,Table134[[#This Row],[A_tree]]*Table134[[#This Row],[اصله مستقل]]/Table134[[#This Row],[مساحت آدرس]])</f>
        <v>0.50909090909090904</v>
      </c>
      <c r="L209" s="14">
        <f>IF(Table134[[#This Row],[check]]=1,1,(Table134[[#This Row],[Psh]]+0.15*(1-Table134[[#This Row],[Psh]])))</f>
        <v>0.58272727272727265</v>
      </c>
      <c r="M209" s="14">
        <f>IF(Table134[[#This Row],[check]]=1,0.65,1)</f>
        <v>1</v>
      </c>
      <c r="N209" s="4">
        <v>1</v>
      </c>
      <c r="O209" s="4">
        <f>IF(Table134[[#This Row],[check]]=1,Table134[[#This Row],[مساحت آدرس]]*Table134[[#This Row],[A0 Inc]],Table134[[#This Row],[A_tree]]*Table134[[#This Row],[اصله مستقل]])</f>
        <v>504</v>
      </c>
      <c r="P209" s="11">
        <f>IF(Table134[[#This Row],[check]]=1,Table134[[#This Row],[A0]]/Table134[[#This Row],[اصله مستقل]],Table134[[#This Row],[A_tree]])</f>
        <v>9</v>
      </c>
    </row>
    <row r="210" spans="2:16" ht="18.600000000000001" x14ac:dyDescent="0.3">
      <c r="B210" s="4" t="s">
        <v>256</v>
      </c>
      <c r="C210" s="4">
        <v>75</v>
      </c>
      <c r="D210" s="4">
        <v>45</v>
      </c>
      <c r="E210" s="4">
        <v>200</v>
      </c>
      <c r="F210" s="4">
        <v>900</v>
      </c>
      <c r="G210" s="2" t="s">
        <v>62</v>
      </c>
      <c r="H210" s="4">
        <v>9</v>
      </c>
      <c r="I210" s="4">
        <f>Table134[[#This Row],[اصله مستقل]]*Table134[[#This Row],[A_tree]]</f>
        <v>405</v>
      </c>
      <c r="J210" s="4">
        <f>IF(Table134[[#This Row],[n * A_tree ]]&gt;Table134[[#This Row],[مساحت آدرس]],1,0)</f>
        <v>0</v>
      </c>
      <c r="K210" s="8">
        <f>IF(Table134[[#This Row],[check]]=1,1,Table134[[#This Row],[A_tree]]*Table134[[#This Row],[اصله مستقل]]/Table134[[#This Row],[مساحت آدرس]])</f>
        <v>0.45</v>
      </c>
      <c r="L210" s="14">
        <f>IF(Table134[[#This Row],[check]]=1,1,(Table134[[#This Row],[Psh]]+0.15*(1-Table134[[#This Row],[Psh]])))</f>
        <v>0.53249999999999997</v>
      </c>
      <c r="M210" s="14">
        <f>IF(Table134[[#This Row],[check]]=1,0.65,1)</f>
        <v>1</v>
      </c>
      <c r="N210" s="4">
        <v>1</v>
      </c>
      <c r="O210" s="4">
        <f>IF(Table134[[#This Row],[check]]=1,Table134[[#This Row],[مساحت آدرس]]*Table134[[#This Row],[A0 Inc]],Table134[[#This Row],[A_tree]]*Table134[[#This Row],[اصله مستقل]])</f>
        <v>405</v>
      </c>
      <c r="P210" s="11">
        <f>IF(Table134[[#This Row],[check]]=1,Table134[[#This Row],[A0]]/Table134[[#This Row],[اصله مستقل]],Table134[[#This Row],[A_tree]])</f>
        <v>9</v>
      </c>
    </row>
    <row r="211" spans="2:16" ht="18.600000000000001" x14ac:dyDescent="0.3">
      <c r="B211" s="4" t="s">
        <v>257</v>
      </c>
      <c r="C211" s="4">
        <v>138</v>
      </c>
      <c r="D211" s="4">
        <v>7</v>
      </c>
      <c r="E211" s="4">
        <v>25</v>
      </c>
      <c r="F211" s="4">
        <v>2360</v>
      </c>
      <c r="G211" s="2" t="s">
        <v>62</v>
      </c>
      <c r="H211" s="4">
        <v>9</v>
      </c>
      <c r="I211" s="4">
        <f>Table134[[#This Row],[اصله مستقل]]*Table134[[#This Row],[A_tree]]</f>
        <v>63</v>
      </c>
      <c r="J211" s="4">
        <f>IF(Table134[[#This Row],[n * A_tree ]]&gt;Table134[[#This Row],[مساحت آدرس]],1,0)</f>
        <v>0</v>
      </c>
      <c r="K211" s="8">
        <f>IF(Table134[[#This Row],[check]]=1,1,Table134[[#This Row],[A_tree]]*Table134[[#This Row],[اصله مستقل]]/Table134[[#This Row],[مساحت آدرس]])</f>
        <v>2.6694915254237287E-2</v>
      </c>
      <c r="L211" s="14">
        <f>IF(Table134[[#This Row],[check]]=1,1,(Table134[[#This Row],[Psh]]+0.15*(1-Table134[[#This Row],[Psh]])))</f>
        <v>0.17269067796610169</v>
      </c>
      <c r="M211" s="14">
        <f>IF(Table134[[#This Row],[check]]=1,0.65,1)</f>
        <v>1</v>
      </c>
      <c r="N211" s="4">
        <v>1</v>
      </c>
      <c r="O211" s="4">
        <f>IF(Table134[[#This Row],[check]]=1,Table134[[#This Row],[مساحت آدرس]]*Table134[[#This Row],[A0 Inc]],Table134[[#This Row],[A_tree]]*Table134[[#This Row],[اصله مستقل]])</f>
        <v>63</v>
      </c>
      <c r="P211" s="11">
        <f>IF(Table134[[#This Row],[check]]=1,Table134[[#This Row],[A0]]/Table134[[#This Row],[اصله مستقل]],Table134[[#This Row],[A_tree]])</f>
        <v>9</v>
      </c>
    </row>
    <row r="212" spans="2:16" ht="18.600000000000001" x14ac:dyDescent="0.3">
      <c r="B212" s="4" t="s">
        <v>261</v>
      </c>
      <c r="C212" s="4">
        <v>427</v>
      </c>
      <c r="D212" s="4">
        <v>427</v>
      </c>
      <c r="E212" s="4">
        <v>5842</v>
      </c>
      <c r="F212" s="4">
        <v>5884</v>
      </c>
      <c r="G212" s="2" t="s">
        <v>62</v>
      </c>
      <c r="H212" s="4">
        <v>9</v>
      </c>
      <c r="I212" s="4">
        <f>Table134[[#This Row],[اصله مستقل]]*Table134[[#This Row],[A_tree]]</f>
        <v>3843</v>
      </c>
      <c r="J212" s="4">
        <f>IF(Table134[[#This Row],[n * A_tree ]]&gt;Table134[[#This Row],[مساحت آدرس]],1,0)</f>
        <v>0</v>
      </c>
      <c r="K212" s="8">
        <f>IF(Table134[[#This Row],[check]]=1,1,Table134[[#This Row],[A_tree]]*Table134[[#This Row],[اصله مستقل]]/Table134[[#This Row],[مساحت آدرس]])</f>
        <v>0.65312712440516651</v>
      </c>
      <c r="L212" s="14">
        <f>IF(Table134[[#This Row],[check]]=1,1,(Table134[[#This Row],[Psh]]+0.15*(1-Table134[[#This Row],[Psh]])))</f>
        <v>0.7051580557443915</v>
      </c>
      <c r="M212" s="14">
        <f>IF(Table134[[#This Row],[check]]=1,0.65,1)</f>
        <v>1</v>
      </c>
      <c r="N212" s="4">
        <v>1</v>
      </c>
      <c r="O212" s="4">
        <f>IF(Table134[[#This Row],[check]]=1,Table134[[#This Row],[مساحت آدرس]]*Table134[[#This Row],[A0 Inc]],Table134[[#This Row],[A_tree]]*Table134[[#This Row],[اصله مستقل]])</f>
        <v>3843</v>
      </c>
      <c r="P212" s="11">
        <f>IF(Table134[[#This Row],[check]]=1,Table134[[#This Row],[A0]]/Table134[[#This Row],[اصله مستقل]],Table134[[#This Row],[A_tree]])</f>
        <v>9</v>
      </c>
    </row>
    <row r="213" spans="2:16" ht="18.600000000000001" x14ac:dyDescent="0.3">
      <c r="B213" s="4" t="s">
        <v>262</v>
      </c>
      <c r="C213" s="4">
        <v>1729</v>
      </c>
      <c r="D213" s="4">
        <v>1729</v>
      </c>
      <c r="E213" s="4">
        <v>18076</v>
      </c>
      <c r="F213" s="4">
        <v>22945</v>
      </c>
      <c r="G213" s="2" t="s">
        <v>3</v>
      </c>
      <c r="H213" s="4">
        <v>9</v>
      </c>
      <c r="I213" s="4">
        <f>Table134[[#This Row],[اصله مستقل]]*Table134[[#This Row],[A_tree]]</f>
        <v>15561</v>
      </c>
      <c r="J213" s="4">
        <f>IF(Table134[[#This Row],[n * A_tree ]]&gt;Table134[[#This Row],[مساحت آدرس]],1,0)</f>
        <v>0</v>
      </c>
      <c r="K213" s="8">
        <f>IF(Table134[[#This Row],[check]]=1,1,Table134[[#This Row],[A_tree]]*Table134[[#This Row],[اصله مستقل]]/Table134[[#This Row],[مساحت آدرس]])</f>
        <v>0.67818696883852692</v>
      </c>
      <c r="L213" s="14">
        <f>IF(Table134[[#This Row],[check]]=1,1,(Table134[[#This Row],[Psh]]+0.15*(1-Table134[[#This Row],[Psh]])))</f>
        <v>0.72645892351274788</v>
      </c>
      <c r="M213" s="14">
        <f>IF(Table134[[#This Row],[check]]=1,0.65,1)</f>
        <v>1</v>
      </c>
      <c r="N213" s="4">
        <v>1</v>
      </c>
      <c r="O213" s="4">
        <f>IF(Table134[[#This Row],[check]]=1,Table134[[#This Row],[مساحت آدرس]]*Table134[[#This Row],[A0 Inc]],Table134[[#This Row],[A_tree]]*Table134[[#This Row],[اصله مستقل]])</f>
        <v>15561</v>
      </c>
      <c r="P213" s="11">
        <f>IF(Table134[[#This Row],[check]]=1,Table134[[#This Row],[A0]]/Table134[[#This Row],[اصله مستقل]],Table134[[#This Row],[A_tree]])</f>
        <v>9</v>
      </c>
    </row>
    <row r="214" spans="2:16" ht="18.600000000000001" x14ac:dyDescent="0.3">
      <c r="B214" s="4" t="s">
        <v>263</v>
      </c>
      <c r="C214" s="4">
        <v>1027</v>
      </c>
      <c r="D214" s="4">
        <v>966</v>
      </c>
      <c r="E214" s="4">
        <v>3900</v>
      </c>
      <c r="F214" s="4">
        <v>3965</v>
      </c>
      <c r="G214" s="2" t="s">
        <v>21</v>
      </c>
      <c r="H214" s="4">
        <v>9</v>
      </c>
      <c r="I214" s="4">
        <f>Table134[[#This Row],[اصله مستقل]]*Table134[[#This Row],[A_tree]]</f>
        <v>8694</v>
      </c>
      <c r="J214" s="4">
        <f>IF(Table134[[#This Row],[n * A_tree ]]&gt;Table134[[#This Row],[مساحت آدرس]],1,0)</f>
        <v>1</v>
      </c>
      <c r="K214" s="8">
        <f>IF(Table134[[#This Row],[check]]=1,1,Table134[[#This Row],[A_tree]]*Table134[[#This Row],[اصله مستقل]]/Table134[[#This Row],[مساحت آدرس]])</f>
        <v>1</v>
      </c>
      <c r="L214" s="14">
        <f>IF(Table134[[#This Row],[check]]=1,1,(Table134[[#This Row],[Psh]]+0.15*(1-Table134[[#This Row],[Psh]])))</f>
        <v>1</v>
      </c>
      <c r="M214" s="14">
        <f>IF(Table134[[#This Row],[check]]=1,0.65,1)</f>
        <v>0.65</v>
      </c>
      <c r="N214" s="4">
        <v>1</v>
      </c>
      <c r="O214" s="4">
        <f>IF(Table134[[#This Row],[check]]=1,Table134[[#This Row],[مساحت آدرس]]*Table134[[#This Row],[A0 Inc]],Table134[[#This Row],[A_tree]]*Table134[[#This Row],[اصله مستقل]])</f>
        <v>3965</v>
      </c>
      <c r="P214" s="11">
        <f>IF(Table134[[#This Row],[check]]=1,Table134[[#This Row],[A0]]/Table134[[#This Row],[اصله مستقل]],Table134[[#This Row],[A_tree]])</f>
        <v>4.104554865424431</v>
      </c>
    </row>
    <row r="215" spans="2:16" ht="18.600000000000001" x14ac:dyDescent="0.3">
      <c r="B215" s="4" t="s">
        <v>264</v>
      </c>
      <c r="C215" s="4">
        <v>368</v>
      </c>
      <c r="D215" s="4">
        <v>383</v>
      </c>
      <c r="E215" s="4">
        <v>1700</v>
      </c>
      <c r="F215" s="4">
        <v>1900</v>
      </c>
      <c r="G215" s="2" t="s">
        <v>21</v>
      </c>
      <c r="H215" s="4">
        <v>9</v>
      </c>
      <c r="I215" s="4">
        <f>Table134[[#This Row],[اصله مستقل]]*Table134[[#This Row],[A_tree]]</f>
        <v>3447</v>
      </c>
      <c r="J215" s="4">
        <f>IF(Table134[[#This Row],[n * A_tree ]]&gt;Table134[[#This Row],[مساحت آدرس]],1,0)</f>
        <v>1</v>
      </c>
      <c r="K215" s="8">
        <f>IF(Table134[[#This Row],[check]]=1,1,Table134[[#This Row],[A_tree]]*Table134[[#This Row],[اصله مستقل]]/Table134[[#This Row],[مساحت آدرس]])</f>
        <v>1</v>
      </c>
      <c r="L215" s="14">
        <f>IF(Table134[[#This Row],[check]]=1,1,(Table134[[#This Row],[Psh]]+0.15*(1-Table134[[#This Row],[Psh]])))</f>
        <v>1</v>
      </c>
      <c r="M215" s="14">
        <f>IF(Table134[[#This Row],[check]]=1,0.65,1)</f>
        <v>0.65</v>
      </c>
      <c r="N215" s="4">
        <v>1</v>
      </c>
      <c r="O215" s="4">
        <f>IF(Table134[[#This Row],[check]]=1,Table134[[#This Row],[مساحت آدرس]]*Table134[[#This Row],[A0 Inc]],Table134[[#This Row],[A_tree]]*Table134[[#This Row],[اصله مستقل]])</f>
        <v>1900</v>
      </c>
      <c r="P215" s="11">
        <f>IF(Table134[[#This Row],[check]]=1,Table134[[#This Row],[A0]]/Table134[[#This Row],[اصله مستقل]],Table134[[#This Row],[A_tree]])</f>
        <v>4.9608355091383816</v>
      </c>
    </row>
    <row r="216" spans="2:16" ht="18.600000000000001" x14ac:dyDescent="0.3">
      <c r="B216" s="4" t="s">
        <v>265</v>
      </c>
      <c r="C216" s="4">
        <v>368</v>
      </c>
      <c r="D216" s="4">
        <v>188</v>
      </c>
      <c r="E216" s="4">
        <v>390</v>
      </c>
      <c r="F216" s="4">
        <v>2190</v>
      </c>
      <c r="G216" s="2" t="s">
        <v>21</v>
      </c>
      <c r="H216" s="4">
        <v>9</v>
      </c>
      <c r="I216" s="4">
        <f>Table134[[#This Row],[اصله مستقل]]*Table134[[#This Row],[A_tree]]</f>
        <v>1692</v>
      </c>
      <c r="J216" s="4">
        <f>IF(Table134[[#This Row],[n * A_tree ]]&gt;Table134[[#This Row],[مساحت آدرس]],1,0)</f>
        <v>0</v>
      </c>
      <c r="K216" s="8">
        <f>IF(Table134[[#This Row],[check]]=1,1,Table134[[#This Row],[A_tree]]*Table134[[#This Row],[اصله مستقل]]/Table134[[#This Row],[مساحت آدرس]])</f>
        <v>0.77260273972602744</v>
      </c>
      <c r="L216" s="14">
        <f>IF(Table134[[#This Row],[check]]=1,1,(Table134[[#This Row],[Psh]]+0.15*(1-Table134[[#This Row],[Psh]])))</f>
        <v>0.80671232876712329</v>
      </c>
      <c r="M216" s="14">
        <f>IF(Table134[[#This Row],[check]]=1,0.65,1)</f>
        <v>1</v>
      </c>
      <c r="N216" s="4">
        <v>1</v>
      </c>
      <c r="O216" s="4">
        <f>IF(Table134[[#This Row],[check]]=1,Table134[[#This Row],[مساحت آدرس]]*Table134[[#This Row],[A0 Inc]],Table134[[#This Row],[A_tree]]*Table134[[#This Row],[اصله مستقل]])</f>
        <v>1692</v>
      </c>
      <c r="P216" s="11">
        <f>IF(Table134[[#This Row],[check]]=1,Table134[[#This Row],[A0]]/Table134[[#This Row],[اصله مستقل]],Table134[[#This Row],[A_tree]])</f>
        <v>9</v>
      </c>
    </row>
    <row r="217" spans="2:16" ht="18.600000000000001" x14ac:dyDescent="0.3">
      <c r="B217" s="4" t="s">
        <v>266</v>
      </c>
      <c r="C217" s="4">
        <v>492</v>
      </c>
      <c r="D217" s="4">
        <v>492</v>
      </c>
      <c r="E217" s="4">
        <v>984</v>
      </c>
      <c r="F217" s="4">
        <v>984</v>
      </c>
      <c r="G217" s="2" t="s">
        <v>21</v>
      </c>
      <c r="H217" s="4">
        <v>9</v>
      </c>
      <c r="I217" s="4">
        <f>Table134[[#This Row],[اصله مستقل]]*Table134[[#This Row],[A_tree]]</f>
        <v>4428</v>
      </c>
      <c r="J217" s="4">
        <f>IF(Table134[[#This Row],[n * A_tree ]]&gt;Table134[[#This Row],[مساحت آدرس]],1,0)</f>
        <v>1</v>
      </c>
      <c r="K217" s="8">
        <f>IF(Table134[[#This Row],[check]]=1,1,Table134[[#This Row],[A_tree]]*Table134[[#This Row],[اصله مستقل]]/Table134[[#This Row],[مساحت آدرس]])</f>
        <v>1</v>
      </c>
      <c r="L217" s="14">
        <f>IF(Table134[[#This Row],[check]]=1,1,(Table134[[#This Row],[Psh]]+0.15*(1-Table134[[#This Row],[Psh]])))</f>
        <v>1</v>
      </c>
      <c r="M217" s="14">
        <f>IF(Table134[[#This Row],[check]]=1,0.65,1)</f>
        <v>0.65</v>
      </c>
      <c r="N217" s="4">
        <v>1</v>
      </c>
      <c r="O217" s="4">
        <f>IF(Table134[[#This Row],[check]]=1,Table134[[#This Row],[مساحت آدرس]]*Table134[[#This Row],[A0 Inc]],Table134[[#This Row],[A_tree]]*Table134[[#This Row],[اصله مستقل]])</f>
        <v>984</v>
      </c>
      <c r="P217" s="11">
        <f>IF(Table134[[#This Row],[check]]=1,Table134[[#This Row],[A0]]/Table134[[#This Row],[اصله مستقل]],Table134[[#This Row],[A_tree]])</f>
        <v>2</v>
      </c>
    </row>
    <row r="218" spans="2:16" ht="18.600000000000001" x14ac:dyDescent="0.3">
      <c r="B218" s="4" t="s">
        <v>267</v>
      </c>
      <c r="C218" s="4">
        <v>501</v>
      </c>
      <c r="D218" s="4">
        <v>501</v>
      </c>
      <c r="E218" s="4">
        <v>2350</v>
      </c>
      <c r="F218" s="4">
        <v>4410</v>
      </c>
      <c r="G218" s="2" t="s">
        <v>21</v>
      </c>
      <c r="H218" s="4">
        <v>9</v>
      </c>
      <c r="I218" s="4">
        <f>Table134[[#This Row],[اصله مستقل]]*Table134[[#This Row],[A_tree]]</f>
        <v>4509</v>
      </c>
      <c r="J218" s="4">
        <f>IF(Table134[[#This Row],[n * A_tree ]]&gt;Table134[[#This Row],[مساحت آدرس]],1,0)</f>
        <v>1</v>
      </c>
      <c r="K218" s="8">
        <f>IF(Table134[[#This Row],[check]]=1,1,Table134[[#This Row],[A_tree]]*Table134[[#This Row],[اصله مستقل]]/Table134[[#This Row],[مساحت آدرس]])</f>
        <v>1</v>
      </c>
      <c r="L218" s="14">
        <f>IF(Table134[[#This Row],[check]]=1,1,(Table134[[#This Row],[Psh]]+0.15*(1-Table134[[#This Row],[Psh]])))</f>
        <v>1</v>
      </c>
      <c r="M218" s="14">
        <f>IF(Table134[[#This Row],[check]]=1,0.65,1)</f>
        <v>0.65</v>
      </c>
      <c r="N218" s="4">
        <v>1</v>
      </c>
      <c r="O218" s="4">
        <f>IF(Table134[[#This Row],[check]]=1,Table134[[#This Row],[مساحت آدرس]]*Table134[[#This Row],[A0 Inc]],Table134[[#This Row],[A_tree]]*Table134[[#This Row],[اصله مستقل]])</f>
        <v>4410</v>
      </c>
      <c r="P218" s="11">
        <f>IF(Table134[[#This Row],[check]]=1,Table134[[#This Row],[A0]]/Table134[[#This Row],[اصله مستقل]],Table134[[#This Row],[A_tree]])</f>
        <v>8.8023952095808387</v>
      </c>
    </row>
    <row r="219" spans="2:16" ht="18.600000000000001" x14ac:dyDescent="0.3">
      <c r="B219" s="4" t="s">
        <v>268</v>
      </c>
      <c r="C219" s="4">
        <v>271</v>
      </c>
      <c r="D219" s="4">
        <v>10</v>
      </c>
      <c r="E219" s="4">
        <v>40</v>
      </c>
      <c r="F219" s="4">
        <v>1480</v>
      </c>
      <c r="G219" s="2" t="s">
        <v>21</v>
      </c>
      <c r="H219" s="4">
        <v>9</v>
      </c>
      <c r="I219" s="4">
        <f>Table134[[#This Row],[اصله مستقل]]*Table134[[#This Row],[A_tree]]</f>
        <v>90</v>
      </c>
      <c r="J219" s="4">
        <f>IF(Table134[[#This Row],[n * A_tree ]]&gt;Table134[[#This Row],[مساحت آدرس]],1,0)</f>
        <v>0</v>
      </c>
      <c r="K219" s="8">
        <f>IF(Table134[[#This Row],[check]]=1,1,Table134[[#This Row],[A_tree]]*Table134[[#This Row],[اصله مستقل]]/Table134[[#This Row],[مساحت آدرس]])</f>
        <v>6.0810810810810814E-2</v>
      </c>
      <c r="L219" s="14">
        <f>IF(Table134[[#This Row],[check]]=1,1,(Table134[[#This Row],[Psh]]+0.15*(1-Table134[[#This Row],[Psh]])))</f>
        <v>0.20168918918918916</v>
      </c>
      <c r="M219" s="14">
        <f>IF(Table134[[#This Row],[check]]=1,0.65,1)</f>
        <v>1</v>
      </c>
      <c r="N219" s="4">
        <v>1</v>
      </c>
      <c r="O219" s="4">
        <f>IF(Table134[[#This Row],[check]]=1,Table134[[#This Row],[مساحت آدرس]]*Table134[[#This Row],[A0 Inc]],Table134[[#This Row],[A_tree]]*Table134[[#This Row],[اصله مستقل]])</f>
        <v>90</v>
      </c>
      <c r="P219" s="11">
        <f>IF(Table134[[#This Row],[check]]=1,Table134[[#This Row],[A0]]/Table134[[#This Row],[اصله مستقل]],Table134[[#This Row],[A_tree]])</f>
        <v>9</v>
      </c>
    </row>
    <row r="220" spans="2:16" ht="18.600000000000001" x14ac:dyDescent="0.3">
      <c r="B220" s="4" t="s">
        <v>269</v>
      </c>
      <c r="C220" s="4">
        <v>452</v>
      </c>
      <c r="D220" s="4">
        <v>308</v>
      </c>
      <c r="E220" s="4">
        <v>2320</v>
      </c>
      <c r="F220" s="4">
        <v>4357</v>
      </c>
      <c r="G220" s="2" t="s">
        <v>21</v>
      </c>
      <c r="H220" s="4">
        <v>9</v>
      </c>
      <c r="I220" s="4">
        <f>Table134[[#This Row],[اصله مستقل]]*Table134[[#This Row],[A_tree]]</f>
        <v>2772</v>
      </c>
      <c r="J220" s="4">
        <f>IF(Table134[[#This Row],[n * A_tree ]]&gt;Table134[[#This Row],[مساحت آدرس]],1,0)</f>
        <v>0</v>
      </c>
      <c r="K220" s="8">
        <f>IF(Table134[[#This Row],[check]]=1,1,Table134[[#This Row],[A_tree]]*Table134[[#This Row],[اصله مستقل]]/Table134[[#This Row],[مساحت آدرس]])</f>
        <v>0.63621758090429192</v>
      </c>
      <c r="L220" s="14">
        <f>IF(Table134[[#This Row],[check]]=1,1,(Table134[[#This Row],[Psh]]+0.15*(1-Table134[[#This Row],[Psh]])))</f>
        <v>0.69078494376864819</v>
      </c>
      <c r="M220" s="14">
        <f>IF(Table134[[#This Row],[check]]=1,0.65,1)</f>
        <v>1</v>
      </c>
      <c r="N220" s="4">
        <v>1</v>
      </c>
      <c r="O220" s="4">
        <f>IF(Table134[[#This Row],[check]]=1,Table134[[#This Row],[مساحت آدرس]]*Table134[[#This Row],[A0 Inc]],Table134[[#This Row],[A_tree]]*Table134[[#This Row],[اصله مستقل]])</f>
        <v>2772</v>
      </c>
      <c r="P220" s="11">
        <f>IF(Table134[[#This Row],[check]]=1,Table134[[#This Row],[A0]]/Table134[[#This Row],[اصله مستقل]],Table134[[#This Row],[A_tree]])</f>
        <v>9</v>
      </c>
    </row>
    <row r="221" spans="2:16" ht="18.600000000000001" x14ac:dyDescent="0.3">
      <c r="B221" s="4" t="s">
        <v>270</v>
      </c>
      <c r="C221" s="4">
        <v>933</v>
      </c>
      <c r="D221" s="4">
        <v>897</v>
      </c>
      <c r="E221" s="4">
        <v>1776</v>
      </c>
      <c r="F221" s="4">
        <v>3710</v>
      </c>
      <c r="G221" s="2" t="s">
        <v>21</v>
      </c>
      <c r="H221" s="4">
        <v>9</v>
      </c>
      <c r="I221" s="4">
        <f>Table134[[#This Row],[اصله مستقل]]*Table134[[#This Row],[A_tree]]</f>
        <v>8073</v>
      </c>
      <c r="J221" s="4">
        <f>IF(Table134[[#This Row],[n * A_tree ]]&gt;Table134[[#This Row],[مساحت آدرس]],1,0)</f>
        <v>1</v>
      </c>
      <c r="K221" s="8">
        <f>IF(Table134[[#This Row],[check]]=1,1,Table134[[#This Row],[A_tree]]*Table134[[#This Row],[اصله مستقل]]/Table134[[#This Row],[مساحت آدرس]])</f>
        <v>1</v>
      </c>
      <c r="L221" s="14">
        <f>IF(Table134[[#This Row],[check]]=1,1,(Table134[[#This Row],[Psh]]+0.15*(1-Table134[[#This Row],[Psh]])))</f>
        <v>1</v>
      </c>
      <c r="M221" s="14">
        <f>IF(Table134[[#This Row],[check]]=1,0.65,1)</f>
        <v>0.65</v>
      </c>
      <c r="N221" s="4">
        <v>1</v>
      </c>
      <c r="O221" s="4">
        <f>IF(Table134[[#This Row],[check]]=1,Table134[[#This Row],[مساحت آدرس]]*Table134[[#This Row],[A0 Inc]],Table134[[#This Row],[A_tree]]*Table134[[#This Row],[اصله مستقل]])</f>
        <v>3710</v>
      </c>
      <c r="P221" s="11">
        <f>IF(Table134[[#This Row],[check]]=1,Table134[[#This Row],[A0]]/Table134[[#This Row],[اصله مستقل]],Table134[[#This Row],[A_tree]])</f>
        <v>4.1360089186176143</v>
      </c>
    </row>
    <row r="222" spans="2:16" ht="18.600000000000001" x14ac:dyDescent="0.3">
      <c r="B222" s="4" t="s">
        <v>272</v>
      </c>
      <c r="C222" s="4">
        <v>402</v>
      </c>
      <c r="D222" s="4">
        <v>402</v>
      </c>
      <c r="E222" s="4">
        <v>402</v>
      </c>
      <c r="F222" s="4">
        <v>2294</v>
      </c>
      <c r="G222" s="2" t="s">
        <v>62</v>
      </c>
      <c r="H222" s="4">
        <v>9</v>
      </c>
      <c r="I222" s="4">
        <f>Table134[[#This Row],[اصله مستقل]]*Table134[[#This Row],[A_tree]]</f>
        <v>3618</v>
      </c>
      <c r="J222" s="4">
        <f>IF(Table134[[#This Row],[n * A_tree ]]&gt;Table134[[#This Row],[مساحت آدرس]],1,0)</f>
        <v>1</v>
      </c>
      <c r="K222" s="8">
        <f>IF(Table134[[#This Row],[check]]=1,1,Table134[[#This Row],[A_tree]]*Table134[[#This Row],[اصله مستقل]]/Table134[[#This Row],[مساحت آدرس]])</f>
        <v>1</v>
      </c>
      <c r="L222" s="14">
        <f>IF(Table134[[#This Row],[check]]=1,1,(Table134[[#This Row],[Psh]]+0.15*(1-Table134[[#This Row],[Psh]])))</f>
        <v>1</v>
      </c>
      <c r="M222" s="14">
        <f>IF(Table134[[#This Row],[check]]=1,0.65,1)</f>
        <v>0.65</v>
      </c>
      <c r="N222" s="4">
        <v>1</v>
      </c>
      <c r="O222" s="4">
        <f>IF(Table134[[#This Row],[check]]=1,Table134[[#This Row],[مساحت آدرس]]*Table134[[#This Row],[A0 Inc]],Table134[[#This Row],[A_tree]]*Table134[[#This Row],[اصله مستقل]])</f>
        <v>2294</v>
      </c>
      <c r="P222" s="11">
        <f>IF(Table134[[#This Row],[check]]=1,Table134[[#This Row],[A0]]/Table134[[#This Row],[اصله مستقل]],Table134[[#This Row],[A_tree]])</f>
        <v>5.7064676616915424</v>
      </c>
    </row>
    <row r="223" spans="2:16" ht="18.600000000000001" x14ac:dyDescent="0.3">
      <c r="B223" s="4" t="s">
        <v>273</v>
      </c>
      <c r="C223" s="4">
        <v>108</v>
      </c>
      <c r="D223" s="4">
        <v>108</v>
      </c>
      <c r="E223" s="4">
        <v>1575</v>
      </c>
      <c r="F223" s="4">
        <v>1575</v>
      </c>
      <c r="G223" s="2" t="s">
        <v>62</v>
      </c>
      <c r="H223" s="4">
        <v>9</v>
      </c>
      <c r="I223" s="4">
        <f>Table134[[#This Row],[اصله مستقل]]*Table134[[#This Row],[A_tree]]</f>
        <v>972</v>
      </c>
      <c r="J223" s="4">
        <f>IF(Table134[[#This Row],[n * A_tree ]]&gt;Table134[[#This Row],[مساحت آدرس]],1,0)</f>
        <v>0</v>
      </c>
      <c r="K223" s="8">
        <f>IF(Table134[[#This Row],[check]]=1,1,Table134[[#This Row],[A_tree]]*Table134[[#This Row],[اصله مستقل]]/Table134[[#This Row],[مساحت آدرس]])</f>
        <v>0.6171428571428571</v>
      </c>
      <c r="L223" s="14">
        <f>IF(Table134[[#This Row],[check]]=1,1,(Table134[[#This Row],[Psh]]+0.15*(1-Table134[[#This Row],[Psh]])))</f>
        <v>0.67457142857142849</v>
      </c>
      <c r="M223" s="14">
        <f>IF(Table134[[#This Row],[check]]=1,0.65,1)</f>
        <v>1</v>
      </c>
      <c r="N223" s="4">
        <v>1</v>
      </c>
      <c r="O223" s="4">
        <f>IF(Table134[[#This Row],[check]]=1,Table134[[#This Row],[مساحت آدرس]]*Table134[[#This Row],[A0 Inc]],Table134[[#This Row],[A_tree]]*Table134[[#This Row],[اصله مستقل]])</f>
        <v>972</v>
      </c>
      <c r="P223" s="11">
        <f>IF(Table134[[#This Row],[check]]=1,Table134[[#This Row],[A0]]/Table134[[#This Row],[اصله مستقل]],Table134[[#This Row],[A_tree]])</f>
        <v>9</v>
      </c>
    </row>
    <row r="224" spans="2:16" ht="18.600000000000001" x14ac:dyDescent="0.3">
      <c r="B224" s="4" t="s">
        <v>274</v>
      </c>
      <c r="C224" s="4">
        <v>21</v>
      </c>
      <c r="D224" s="4">
        <v>21</v>
      </c>
      <c r="E224" s="4">
        <v>100</v>
      </c>
      <c r="F224" s="4">
        <v>350</v>
      </c>
      <c r="G224" s="2" t="s">
        <v>62</v>
      </c>
      <c r="H224" s="4">
        <v>9</v>
      </c>
      <c r="I224" s="4">
        <f>Table134[[#This Row],[اصله مستقل]]*Table134[[#This Row],[A_tree]]</f>
        <v>189</v>
      </c>
      <c r="J224" s="4">
        <f>IF(Table134[[#This Row],[n * A_tree ]]&gt;Table134[[#This Row],[مساحت آدرس]],1,0)</f>
        <v>0</v>
      </c>
      <c r="K224" s="8">
        <f>IF(Table134[[#This Row],[check]]=1,1,Table134[[#This Row],[A_tree]]*Table134[[#This Row],[اصله مستقل]]/Table134[[#This Row],[مساحت آدرس]])</f>
        <v>0.54</v>
      </c>
      <c r="L224" s="14">
        <f>IF(Table134[[#This Row],[check]]=1,1,(Table134[[#This Row],[Psh]]+0.15*(1-Table134[[#This Row],[Psh]])))</f>
        <v>0.60899999999999999</v>
      </c>
      <c r="M224" s="14">
        <f>IF(Table134[[#This Row],[check]]=1,0.65,1)</f>
        <v>1</v>
      </c>
      <c r="N224" s="4">
        <v>1</v>
      </c>
      <c r="O224" s="4">
        <f>IF(Table134[[#This Row],[check]]=1,Table134[[#This Row],[مساحت آدرس]]*Table134[[#This Row],[A0 Inc]],Table134[[#This Row],[A_tree]]*Table134[[#This Row],[اصله مستقل]])</f>
        <v>189</v>
      </c>
      <c r="P224" s="11">
        <f>IF(Table134[[#This Row],[check]]=1,Table134[[#This Row],[A0]]/Table134[[#This Row],[اصله مستقل]],Table134[[#This Row],[A_tree]])</f>
        <v>9</v>
      </c>
    </row>
    <row r="225" spans="2:16" ht="18.600000000000001" x14ac:dyDescent="0.3">
      <c r="B225" s="4" t="s">
        <v>275</v>
      </c>
      <c r="C225" s="4">
        <v>758</v>
      </c>
      <c r="D225" s="4">
        <v>15</v>
      </c>
      <c r="E225" s="4">
        <v>60</v>
      </c>
      <c r="F225" s="4">
        <v>28064</v>
      </c>
      <c r="G225" s="2" t="s">
        <v>66</v>
      </c>
      <c r="H225" s="4">
        <v>9</v>
      </c>
      <c r="I225" s="4">
        <f>Table134[[#This Row],[اصله مستقل]]*Table134[[#This Row],[A_tree]]</f>
        <v>135</v>
      </c>
      <c r="J225" s="4">
        <f>IF(Table134[[#This Row],[n * A_tree ]]&gt;Table134[[#This Row],[مساحت آدرس]],1,0)</f>
        <v>0</v>
      </c>
      <c r="K225" s="8">
        <f>IF(Table134[[#This Row],[check]]=1,1,Table134[[#This Row],[A_tree]]*Table134[[#This Row],[اصله مستقل]]/Table134[[#This Row],[مساحت آدرس]])</f>
        <v>4.8104332953249713E-3</v>
      </c>
      <c r="L225" s="14">
        <f>IF(Table134[[#This Row],[check]]=1,1,(Table134[[#This Row],[Psh]]+0.15*(1-Table134[[#This Row],[Psh]])))</f>
        <v>0.15408886830102622</v>
      </c>
      <c r="M225" s="14">
        <f>IF(Table134[[#This Row],[check]]=1,0.65,1)</f>
        <v>1</v>
      </c>
      <c r="N225" s="4">
        <v>1</v>
      </c>
      <c r="O225" s="4">
        <f>IF(Table134[[#This Row],[check]]=1,Table134[[#This Row],[مساحت آدرس]]*Table134[[#This Row],[A0 Inc]],Table134[[#This Row],[A_tree]]*Table134[[#This Row],[اصله مستقل]])</f>
        <v>135</v>
      </c>
      <c r="P225" s="11">
        <f>IF(Table134[[#This Row],[check]]=1,Table134[[#This Row],[A0]]/Table134[[#This Row],[اصله مستقل]],Table134[[#This Row],[A_tree]])</f>
        <v>9</v>
      </c>
    </row>
    <row r="226" spans="2:16" ht="18.600000000000001" x14ac:dyDescent="0.3">
      <c r="B226" s="4" t="s">
        <v>277</v>
      </c>
      <c r="C226" s="4">
        <v>181</v>
      </c>
      <c r="D226" s="4">
        <v>43</v>
      </c>
      <c r="E226" s="4">
        <v>172</v>
      </c>
      <c r="F226" s="4">
        <v>3425</v>
      </c>
      <c r="G226" s="2" t="s">
        <v>62</v>
      </c>
      <c r="H226" s="4">
        <v>9</v>
      </c>
      <c r="I226" s="4">
        <f>Table134[[#This Row],[اصله مستقل]]*Table134[[#This Row],[A_tree]]</f>
        <v>387</v>
      </c>
      <c r="J226" s="4">
        <f>IF(Table134[[#This Row],[n * A_tree ]]&gt;Table134[[#This Row],[مساحت آدرس]],1,0)</f>
        <v>0</v>
      </c>
      <c r="K226" s="8">
        <f>IF(Table134[[#This Row],[check]]=1,1,Table134[[#This Row],[A_tree]]*Table134[[#This Row],[اصله مستقل]]/Table134[[#This Row],[مساحت آدرس]])</f>
        <v>0.11299270072992701</v>
      </c>
      <c r="L226" s="14">
        <f>IF(Table134[[#This Row],[check]]=1,1,(Table134[[#This Row],[Psh]]+0.15*(1-Table134[[#This Row],[Psh]])))</f>
        <v>0.24604379562043796</v>
      </c>
      <c r="M226" s="14">
        <f>IF(Table134[[#This Row],[check]]=1,0.65,1)</f>
        <v>1</v>
      </c>
      <c r="N226" s="4">
        <v>1</v>
      </c>
      <c r="O226" s="4">
        <f>IF(Table134[[#This Row],[check]]=1,Table134[[#This Row],[مساحت آدرس]]*Table134[[#This Row],[A0 Inc]],Table134[[#This Row],[A_tree]]*Table134[[#This Row],[اصله مستقل]])</f>
        <v>387</v>
      </c>
      <c r="P226" s="11">
        <f>IF(Table134[[#This Row],[check]]=1,Table134[[#This Row],[A0]]/Table134[[#This Row],[اصله مستقل]],Table134[[#This Row],[A_tree]])</f>
        <v>9</v>
      </c>
    </row>
    <row r="227" spans="2:16" ht="18.600000000000001" x14ac:dyDescent="0.3">
      <c r="B227" s="4" t="s">
        <v>278</v>
      </c>
      <c r="C227" s="4">
        <v>152</v>
      </c>
      <c r="D227" s="4">
        <v>152</v>
      </c>
      <c r="E227" s="4">
        <v>1800</v>
      </c>
      <c r="F227" s="4">
        <v>2400</v>
      </c>
      <c r="G227" s="2" t="s">
        <v>3</v>
      </c>
      <c r="H227" s="4">
        <v>9</v>
      </c>
      <c r="I227" s="4">
        <f>Table134[[#This Row],[اصله مستقل]]*Table134[[#This Row],[A_tree]]</f>
        <v>1368</v>
      </c>
      <c r="J227" s="4">
        <f>IF(Table134[[#This Row],[n * A_tree ]]&gt;Table134[[#This Row],[مساحت آدرس]],1,0)</f>
        <v>0</v>
      </c>
      <c r="K227" s="8">
        <f>IF(Table134[[#This Row],[check]]=1,1,Table134[[#This Row],[A_tree]]*Table134[[#This Row],[اصله مستقل]]/Table134[[#This Row],[مساحت آدرس]])</f>
        <v>0.56999999999999995</v>
      </c>
      <c r="L227" s="14">
        <f>IF(Table134[[#This Row],[check]]=1,1,(Table134[[#This Row],[Psh]]+0.15*(1-Table134[[#This Row],[Psh]])))</f>
        <v>0.63449999999999995</v>
      </c>
      <c r="M227" s="14">
        <f>IF(Table134[[#This Row],[check]]=1,0.65,1)</f>
        <v>1</v>
      </c>
      <c r="N227" s="4">
        <v>1</v>
      </c>
      <c r="O227" s="4">
        <f>IF(Table134[[#This Row],[check]]=1,Table134[[#This Row],[مساحت آدرس]]*Table134[[#This Row],[A0 Inc]],Table134[[#This Row],[A_tree]]*Table134[[#This Row],[اصله مستقل]])</f>
        <v>1368</v>
      </c>
      <c r="P227" s="11">
        <f>IF(Table134[[#This Row],[check]]=1,Table134[[#This Row],[A0]]/Table134[[#This Row],[اصله مستقل]],Table134[[#This Row],[A_tree]])</f>
        <v>9</v>
      </c>
    </row>
    <row r="228" spans="2:16" ht="18.600000000000001" x14ac:dyDescent="0.3">
      <c r="B228" s="4" t="s">
        <v>279</v>
      </c>
      <c r="C228" s="4">
        <v>44</v>
      </c>
      <c r="D228" s="4">
        <v>22</v>
      </c>
      <c r="E228" s="4">
        <v>33</v>
      </c>
      <c r="F228" s="4">
        <v>923</v>
      </c>
      <c r="G228" s="2" t="s">
        <v>3</v>
      </c>
      <c r="H228" s="4">
        <v>9</v>
      </c>
      <c r="I228" s="4">
        <f>Table134[[#This Row],[اصله مستقل]]*Table134[[#This Row],[A_tree]]</f>
        <v>198</v>
      </c>
      <c r="J228" s="4">
        <f>IF(Table134[[#This Row],[n * A_tree ]]&gt;Table134[[#This Row],[مساحت آدرس]],1,0)</f>
        <v>0</v>
      </c>
      <c r="K228" s="8">
        <f>IF(Table134[[#This Row],[check]]=1,1,Table134[[#This Row],[A_tree]]*Table134[[#This Row],[اصله مستقل]]/Table134[[#This Row],[مساحت آدرس]])</f>
        <v>0.21451787648970747</v>
      </c>
      <c r="L228" s="14">
        <f>IF(Table134[[#This Row],[check]]=1,1,(Table134[[#This Row],[Psh]]+0.15*(1-Table134[[#This Row],[Psh]])))</f>
        <v>0.33234019501625134</v>
      </c>
      <c r="M228" s="14">
        <f>IF(Table134[[#This Row],[check]]=1,0.65,1)</f>
        <v>1</v>
      </c>
      <c r="N228" s="4">
        <v>1</v>
      </c>
      <c r="O228" s="4">
        <f>IF(Table134[[#This Row],[check]]=1,Table134[[#This Row],[مساحت آدرس]]*Table134[[#This Row],[A0 Inc]],Table134[[#This Row],[A_tree]]*Table134[[#This Row],[اصله مستقل]])</f>
        <v>198</v>
      </c>
      <c r="P228" s="11">
        <f>IF(Table134[[#This Row],[check]]=1,Table134[[#This Row],[A0]]/Table134[[#This Row],[اصله مستقل]],Table134[[#This Row],[A_tree]])</f>
        <v>9</v>
      </c>
    </row>
    <row r="229" spans="2:16" ht="18.600000000000001" x14ac:dyDescent="0.3">
      <c r="B229" s="4" t="s">
        <v>280</v>
      </c>
      <c r="C229" s="4">
        <v>80</v>
      </c>
      <c r="D229" s="4">
        <v>42</v>
      </c>
      <c r="E229" s="4">
        <v>60</v>
      </c>
      <c r="F229" s="4">
        <v>1085</v>
      </c>
      <c r="G229" s="2" t="s">
        <v>3</v>
      </c>
      <c r="H229" s="4">
        <v>9</v>
      </c>
      <c r="I229" s="4">
        <f>Table134[[#This Row],[اصله مستقل]]*Table134[[#This Row],[A_tree]]</f>
        <v>378</v>
      </c>
      <c r="J229" s="4">
        <f>IF(Table134[[#This Row],[n * A_tree ]]&gt;Table134[[#This Row],[مساحت آدرس]],1,0)</f>
        <v>0</v>
      </c>
      <c r="K229" s="8">
        <f>IF(Table134[[#This Row],[check]]=1,1,Table134[[#This Row],[A_tree]]*Table134[[#This Row],[اصله مستقل]]/Table134[[#This Row],[مساحت آدرس]])</f>
        <v>0.34838709677419355</v>
      </c>
      <c r="L229" s="14">
        <f>IF(Table134[[#This Row],[check]]=1,1,(Table134[[#This Row],[Psh]]+0.15*(1-Table134[[#This Row],[Psh]])))</f>
        <v>0.4461290322580645</v>
      </c>
      <c r="M229" s="14">
        <f>IF(Table134[[#This Row],[check]]=1,0.65,1)</f>
        <v>1</v>
      </c>
      <c r="N229" s="4">
        <v>1</v>
      </c>
      <c r="O229" s="4">
        <f>IF(Table134[[#This Row],[check]]=1,Table134[[#This Row],[مساحت آدرس]]*Table134[[#This Row],[A0 Inc]],Table134[[#This Row],[A_tree]]*Table134[[#This Row],[اصله مستقل]])</f>
        <v>378</v>
      </c>
      <c r="P229" s="11">
        <f>IF(Table134[[#This Row],[check]]=1,Table134[[#This Row],[A0]]/Table134[[#This Row],[اصله مستقل]],Table134[[#This Row],[A_tree]])</f>
        <v>9</v>
      </c>
    </row>
    <row r="230" spans="2:16" ht="18.600000000000001" x14ac:dyDescent="0.3">
      <c r="B230" s="4" t="s">
        <v>281</v>
      </c>
      <c r="C230" s="4">
        <v>200</v>
      </c>
      <c r="D230" s="4">
        <v>108</v>
      </c>
      <c r="E230" s="4">
        <v>523</v>
      </c>
      <c r="F230" s="4">
        <v>1526</v>
      </c>
      <c r="G230" s="2" t="s">
        <v>3</v>
      </c>
      <c r="H230" s="4">
        <v>9</v>
      </c>
      <c r="I230" s="4">
        <f>Table134[[#This Row],[اصله مستقل]]*Table134[[#This Row],[A_tree]]</f>
        <v>972</v>
      </c>
      <c r="J230" s="4">
        <f>IF(Table134[[#This Row],[n * A_tree ]]&gt;Table134[[#This Row],[مساحت آدرس]],1,0)</f>
        <v>0</v>
      </c>
      <c r="K230" s="8">
        <f>IF(Table134[[#This Row],[check]]=1,1,Table134[[#This Row],[A_tree]]*Table134[[#This Row],[اصله مستقل]]/Table134[[#This Row],[مساحت آدرس]])</f>
        <v>0.63695937090432508</v>
      </c>
      <c r="L230" s="14">
        <f>IF(Table134[[#This Row],[check]]=1,1,(Table134[[#This Row],[Psh]]+0.15*(1-Table134[[#This Row],[Psh]])))</f>
        <v>0.69141546526867637</v>
      </c>
      <c r="M230" s="14">
        <f>IF(Table134[[#This Row],[check]]=1,0.65,1)</f>
        <v>1</v>
      </c>
      <c r="N230" s="4">
        <v>1</v>
      </c>
      <c r="O230" s="4">
        <f>IF(Table134[[#This Row],[check]]=1,Table134[[#This Row],[مساحت آدرس]]*Table134[[#This Row],[A0 Inc]],Table134[[#This Row],[A_tree]]*Table134[[#This Row],[اصله مستقل]])</f>
        <v>972</v>
      </c>
      <c r="P230" s="11">
        <f>IF(Table134[[#This Row],[check]]=1,Table134[[#This Row],[A0]]/Table134[[#This Row],[اصله مستقل]],Table134[[#This Row],[A_tree]])</f>
        <v>9</v>
      </c>
    </row>
    <row r="231" spans="2:16" ht="18.600000000000001" x14ac:dyDescent="0.3">
      <c r="B231" s="4" t="s">
        <v>282</v>
      </c>
      <c r="C231" s="4">
        <v>4150</v>
      </c>
      <c r="D231" s="4">
        <v>4150</v>
      </c>
      <c r="E231" s="4">
        <v>20515</v>
      </c>
      <c r="F231" s="4">
        <v>28037</v>
      </c>
      <c r="G231" s="2" t="s">
        <v>283</v>
      </c>
      <c r="H231" s="4">
        <v>9</v>
      </c>
      <c r="I231" s="4">
        <f>Table134[[#This Row],[اصله مستقل]]*Table134[[#This Row],[A_tree]]</f>
        <v>37350</v>
      </c>
      <c r="J231" s="4">
        <f>IF(Table134[[#This Row],[n * A_tree ]]&gt;Table134[[#This Row],[مساحت آدرس]],1,0)</f>
        <v>1</v>
      </c>
      <c r="K231" s="8">
        <f>IF(Table134[[#This Row],[check]]=1,1,Table134[[#This Row],[A_tree]]*Table134[[#This Row],[اصله مستقل]]/Table134[[#This Row],[مساحت آدرس]])</f>
        <v>1</v>
      </c>
      <c r="L231" s="14">
        <f>IF(Table134[[#This Row],[check]]=1,1,(Table134[[#This Row],[Psh]]+0.15*(1-Table134[[#This Row],[Psh]])))</f>
        <v>1</v>
      </c>
      <c r="M231" s="14">
        <f>IF(Table134[[#This Row],[check]]=1,0.65,1)</f>
        <v>0.65</v>
      </c>
      <c r="N231" s="4">
        <v>1</v>
      </c>
      <c r="O231" s="4">
        <f>IF(Table134[[#This Row],[check]]=1,Table134[[#This Row],[مساحت آدرس]]*Table134[[#This Row],[A0 Inc]],Table134[[#This Row],[A_tree]]*Table134[[#This Row],[اصله مستقل]])</f>
        <v>28037</v>
      </c>
      <c r="P231" s="11">
        <f>IF(Table134[[#This Row],[check]]=1,Table134[[#This Row],[A0]]/Table134[[#This Row],[اصله مستقل]],Table134[[#This Row],[A_tree]])</f>
        <v>6.7559036144578313</v>
      </c>
    </row>
    <row r="232" spans="2:16" ht="18.600000000000001" x14ac:dyDescent="0.3">
      <c r="B232" s="4" t="s">
        <v>284</v>
      </c>
      <c r="C232" s="4">
        <v>5550</v>
      </c>
      <c r="D232" s="4">
        <v>5550</v>
      </c>
      <c r="E232" s="4">
        <v>33000</v>
      </c>
      <c r="F232" s="4">
        <v>43645</v>
      </c>
      <c r="G232" s="2" t="s">
        <v>283</v>
      </c>
      <c r="H232" s="4">
        <v>9</v>
      </c>
      <c r="I232" s="4">
        <f>Table134[[#This Row],[اصله مستقل]]*Table134[[#This Row],[A_tree]]</f>
        <v>49950</v>
      </c>
      <c r="J232" s="4">
        <f>IF(Table134[[#This Row],[n * A_tree ]]&gt;Table134[[#This Row],[مساحت آدرس]],1,0)</f>
        <v>1</v>
      </c>
      <c r="K232" s="8">
        <f>IF(Table134[[#This Row],[check]]=1,1,Table134[[#This Row],[A_tree]]*Table134[[#This Row],[اصله مستقل]]/Table134[[#This Row],[مساحت آدرس]])</f>
        <v>1</v>
      </c>
      <c r="L232" s="14">
        <f>IF(Table134[[#This Row],[check]]=1,1,(Table134[[#This Row],[Psh]]+0.15*(1-Table134[[#This Row],[Psh]])))</f>
        <v>1</v>
      </c>
      <c r="M232" s="14">
        <f>IF(Table134[[#This Row],[check]]=1,0.65,1)</f>
        <v>0.65</v>
      </c>
      <c r="N232" s="4">
        <v>1</v>
      </c>
      <c r="O232" s="4">
        <f>IF(Table134[[#This Row],[check]]=1,Table134[[#This Row],[مساحت آدرس]]*Table134[[#This Row],[A0 Inc]],Table134[[#This Row],[A_tree]]*Table134[[#This Row],[اصله مستقل]])</f>
        <v>43645</v>
      </c>
      <c r="P232" s="11">
        <f>IF(Table134[[#This Row],[check]]=1,Table134[[#This Row],[A0]]/Table134[[#This Row],[اصله مستقل]],Table134[[#This Row],[A_tree]])</f>
        <v>7.8639639639639638</v>
      </c>
    </row>
    <row r="233" spans="2:16" ht="18.600000000000001" x14ac:dyDescent="0.3">
      <c r="B233" s="4" t="s">
        <v>296</v>
      </c>
      <c r="C233" s="4">
        <v>93</v>
      </c>
      <c r="D233" s="4">
        <v>93</v>
      </c>
      <c r="E233" s="4">
        <v>93</v>
      </c>
      <c r="F233" s="4">
        <v>93</v>
      </c>
      <c r="G233" s="2" t="s">
        <v>21</v>
      </c>
      <c r="H233" s="4">
        <v>9</v>
      </c>
      <c r="I233" s="4">
        <f>Table134[[#This Row],[اصله مستقل]]*Table134[[#This Row],[A_tree]]</f>
        <v>837</v>
      </c>
      <c r="J233" s="4">
        <f>IF(Table134[[#This Row],[n * A_tree ]]&gt;Table134[[#This Row],[مساحت آدرس]],1,0)</f>
        <v>1</v>
      </c>
      <c r="K233" s="8">
        <f>IF(Table134[[#This Row],[check]]=1,1,Table134[[#This Row],[A_tree]]*Table134[[#This Row],[اصله مستقل]]/Table134[[#This Row],[مساحت آدرس]])</f>
        <v>1</v>
      </c>
      <c r="L233" s="14">
        <f>IF(Table134[[#This Row],[check]]=1,1,(Table134[[#This Row],[Psh]]+0.15*(1-Table134[[#This Row],[Psh]])))</f>
        <v>1</v>
      </c>
      <c r="M233" s="14">
        <f>IF(Table134[[#This Row],[check]]=1,0.65,1)</f>
        <v>0.65</v>
      </c>
      <c r="N233" s="4">
        <v>1</v>
      </c>
      <c r="O233" s="4">
        <f>IF(Table134[[#This Row],[check]]=1,Table134[[#This Row],[مساحت آدرس]]*Table134[[#This Row],[A0 Inc]],Table134[[#This Row],[A_tree]]*Table134[[#This Row],[اصله مستقل]])</f>
        <v>93</v>
      </c>
      <c r="P233" s="11">
        <f>IF(Table134[[#This Row],[check]]=1,Table134[[#This Row],[A0]]/Table134[[#This Row],[اصله مستقل]],Table134[[#This Row],[A_tree]])</f>
        <v>1</v>
      </c>
    </row>
    <row r="234" spans="2:16" ht="18.600000000000001" x14ac:dyDescent="0.3">
      <c r="B234" s="4" t="s">
        <v>297</v>
      </c>
      <c r="C234" s="4">
        <v>90</v>
      </c>
      <c r="D234" s="4">
        <v>90</v>
      </c>
      <c r="E234" s="4">
        <v>90</v>
      </c>
      <c r="F234" s="4">
        <v>90</v>
      </c>
      <c r="G234" s="2" t="s">
        <v>21</v>
      </c>
      <c r="H234" s="4">
        <v>9</v>
      </c>
      <c r="I234" s="4">
        <f>Table134[[#This Row],[اصله مستقل]]*Table134[[#This Row],[A_tree]]</f>
        <v>810</v>
      </c>
      <c r="J234" s="4">
        <f>IF(Table134[[#This Row],[n * A_tree ]]&gt;Table134[[#This Row],[مساحت آدرس]],1,0)</f>
        <v>1</v>
      </c>
      <c r="K234" s="8">
        <f>IF(Table134[[#This Row],[check]]=1,1,Table134[[#This Row],[A_tree]]*Table134[[#This Row],[اصله مستقل]]/Table134[[#This Row],[مساحت آدرس]])</f>
        <v>1</v>
      </c>
      <c r="L234" s="14">
        <f>IF(Table134[[#This Row],[check]]=1,1,(Table134[[#This Row],[Psh]]+0.15*(1-Table134[[#This Row],[Psh]])))</f>
        <v>1</v>
      </c>
      <c r="M234" s="14">
        <f>IF(Table134[[#This Row],[check]]=1,0.65,1)</f>
        <v>0.65</v>
      </c>
      <c r="N234" s="4">
        <v>1</v>
      </c>
      <c r="O234" s="4">
        <f>IF(Table134[[#This Row],[check]]=1,Table134[[#This Row],[مساحت آدرس]]*Table134[[#This Row],[A0 Inc]],Table134[[#This Row],[A_tree]]*Table134[[#This Row],[اصله مستقل]])</f>
        <v>90</v>
      </c>
      <c r="P234" s="11">
        <f>IF(Table134[[#This Row],[check]]=1,Table134[[#This Row],[A0]]/Table134[[#This Row],[اصله مستقل]],Table134[[#This Row],[A_tree]])</f>
        <v>1</v>
      </c>
    </row>
    <row r="235" spans="2:16" ht="18.600000000000001" x14ac:dyDescent="0.3">
      <c r="B235" s="4" t="s">
        <v>298</v>
      </c>
      <c r="C235" s="4">
        <v>86</v>
      </c>
      <c r="D235" s="4">
        <v>86</v>
      </c>
      <c r="E235" s="4">
        <v>86</v>
      </c>
      <c r="F235" s="4">
        <v>111</v>
      </c>
      <c r="G235" s="2" t="s">
        <v>21</v>
      </c>
      <c r="H235" s="4">
        <v>9</v>
      </c>
      <c r="I235" s="4">
        <f>Table134[[#This Row],[اصله مستقل]]*Table134[[#This Row],[A_tree]]</f>
        <v>774</v>
      </c>
      <c r="J235" s="4">
        <f>IF(Table134[[#This Row],[n * A_tree ]]&gt;Table134[[#This Row],[مساحت آدرس]],1,0)</f>
        <v>1</v>
      </c>
      <c r="K235" s="8">
        <f>IF(Table134[[#This Row],[check]]=1,1,Table134[[#This Row],[A_tree]]*Table134[[#This Row],[اصله مستقل]]/Table134[[#This Row],[مساحت آدرس]])</f>
        <v>1</v>
      </c>
      <c r="L235" s="14">
        <f>IF(Table134[[#This Row],[check]]=1,1,(Table134[[#This Row],[Psh]]+0.15*(1-Table134[[#This Row],[Psh]])))</f>
        <v>1</v>
      </c>
      <c r="M235" s="14">
        <f>IF(Table134[[#This Row],[check]]=1,0.65,1)</f>
        <v>0.65</v>
      </c>
      <c r="N235" s="4">
        <v>1</v>
      </c>
      <c r="O235" s="4">
        <f>IF(Table134[[#This Row],[check]]=1,Table134[[#This Row],[مساحت آدرس]]*Table134[[#This Row],[A0 Inc]],Table134[[#This Row],[A_tree]]*Table134[[#This Row],[اصله مستقل]])</f>
        <v>111</v>
      </c>
      <c r="P235" s="11">
        <f>IF(Table134[[#This Row],[check]]=1,Table134[[#This Row],[A0]]/Table134[[#This Row],[اصله مستقل]],Table134[[#This Row],[A_tree]])</f>
        <v>1.2906976744186047</v>
      </c>
    </row>
    <row r="236" spans="2:16" ht="18.600000000000001" x14ac:dyDescent="0.3">
      <c r="B236" s="4" t="s">
        <v>299</v>
      </c>
      <c r="C236" s="4">
        <v>2599</v>
      </c>
      <c r="D236" s="4">
        <v>2599</v>
      </c>
      <c r="E236" s="4">
        <v>32537</v>
      </c>
      <c r="F236" s="4">
        <v>35897</v>
      </c>
      <c r="G236" s="2" t="s">
        <v>300</v>
      </c>
      <c r="H236" s="4">
        <v>9</v>
      </c>
      <c r="I236" s="4">
        <f>Table134[[#This Row],[اصله مستقل]]*Table134[[#This Row],[A_tree]]</f>
        <v>23391</v>
      </c>
      <c r="J236" s="4">
        <f>IF(Table134[[#This Row],[n * A_tree ]]&gt;Table134[[#This Row],[مساحت آدرس]],1,0)</f>
        <v>0</v>
      </c>
      <c r="K236" s="8">
        <f>IF(Table134[[#This Row],[check]]=1,1,Table134[[#This Row],[A_tree]]*Table134[[#This Row],[اصله مستقل]]/Table134[[#This Row],[مساحت آدرس]])</f>
        <v>0.65161434103128391</v>
      </c>
      <c r="L236" s="14">
        <f>IF(Table134[[#This Row],[check]]=1,1,(Table134[[#This Row],[Psh]]+0.15*(1-Table134[[#This Row],[Psh]])))</f>
        <v>0.70387218987659128</v>
      </c>
      <c r="M236" s="14">
        <f>IF(Table134[[#This Row],[check]]=1,0.65,1)</f>
        <v>1</v>
      </c>
      <c r="N236" s="4">
        <v>1</v>
      </c>
      <c r="O236" s="4">
        <f>IF(Table134[[#This Row],[check]]=1,Table134[[#This Row],[مساحت آدرس]]*Table134[[#This Row],[A0 Inc]],Table134[[#This Row],[A_tree]]*Table134[[#This Row],[اصله مستقل]])</f>
        <v>23391</v>
      </c>
      <c r="P236" s="11">
        <f>IF(Table134[[#This Row],[check]]=1,Table134[[#This Row],[A0]]/Table134[[#This Row],[اصله مستقل]],Table134[[#This Row],[A_tree]])</f>
        <v>9</v>
      </c>
    </row>
    <row r="237" spans="2:16" ht="18.600000000000001" x14ac:dyDescent="0.3">
      <c r="B237" s="4" t="s">
        <v>301</v>
      </c>
      <c r="C237" s="4">
        <v>47</v>
      </c>
      <c r="D237" s="4">
        <v>47</v>
      </c>
      <c r="E237" s="4">
        <v>47</v>
      </c>
      <c r="F237" s="4">
        <v>47</v>
      </c>
      <c r="G237" s="2" t="s">
        <v>21</v>
      </c>
      <c r="H237" s="4">
        <v>9</v>
      </c>
      <c r="I237" s="4">
        <f>Table134[[#This Row],[اصله مستقل]]*Table134[[#This Row],[A_tree]]</f>
        <v>423</v>
      </c>
      <c r="J237" s="4">
        <f>IF(Table134[[#This Row],[n * A_tree ]]&gt;Table134[[#This Row],[مساحت آدرس]],1,0)</f>
        <v>1</v>
      </c>
      <c r="K237" s="8">
        <f>IF(Table134[[#This Row],[check]]=1,1,Table134[[#This Row],[A_tree]]*Table134[[#This Row],[اصله مستقل]]/Table134[[#This Row],[مساحت آدرس]])</f>
        <v>1</v>
      </c>
      <c r="L237" s="14">
        <f>IF(Table134[[#This Row],[check]]=1,1,(Table134[[#This Row],[Psh]]+0.15*(1-Table134[[#This Row],[Psh]])))</f>
        <v>1</v>
      </c>
      <c r="M237" s="14">
        <f>IF(Table134[[#This Row],[check]]=1,0.65,1)</f>
        <v>0.65</v>
      </c>
      <c r="N237" s="4">
        <v>1</v>
      </c>
      <c r="O237" s="4">
        <f>IF(Table134[[#This Row],[check]]=1,Table134[[#This Row],[مساحت آدرس]]*Table134[[#This Row],[A0 Inc]],Table134[[#This Row],[A_tree]]*Table134[[#This Row],[اصله مستقل]])</f>
        <v>47</v>
      </c>
      <c r="P237" s="11">
        <f>IF(Table134[[#This Row],[check]]=1,Table134[[#This Row],[A0]]/Table134[[#This Row],[اصله مستقل]],Table134[[#This Row],[A_tree]])</f>
        <v>1</v>
      </c>
    </row>
    <row r="238" spans="2:16" ht="18.600000000000001" x14ac:dyDescent="0.3">
      <c r="B238" s="4" t="s">
        <v>302</v>
      </c>
      <c r="C238" s="4">
        <v>258</v>
      </c>
      <c r="D238" s="4">
        <v>258</v>
      </c>
      <c r="E238" s="4">
        <v>258</v>
      </c>
      <c r="F238" s="4">
        <v>258</v>
      </c>
      <c r="G238" s="2" t="s">
        <v>21</v>
      </c>
      <c r="H238" s="4">
        <v>9</v>
      </c>
      <c r="I238" s="4">
        <f>Table134[[#This Row],[اصله مستقل]]*Table134[[#This Row],[A_tree]]</f>
        <v>2322</v>
      </c>
      <c r="J238" s="4">
        <f>IF(Table134[[#This Row],[n * A_tree ]]&gt;Table134[[#This Row],[مساحت آدرس]],1,0)</f>
        <v>1</v>
      </c>
      <c r="K238" s="8">
        <f>IF(Table134[[#This Row],[check]]=1,1,Table134[[#This Row],[A_tree]]*Table134[[#This Row],[اصله مستقل]]/Table134[[#This Row],[مساحت آدرس]])</f>
        <v>1</v>
      </c>
      <c r="L238" s="14">
        <f>IF(Table134[[#This Row],[check]]=1,1,(Table134[[#This Row],[Psh]]+0.15*(1-Table134[[#This Row],[Psh]])))</f>
        <v>1</v>
      </c>
      <c r="M238" s="14">
        <f>IF(Table134[[#This Row],[check]]=1,0.65,1)</f>
        <v>0.65</v>
      </c>
      <c r="N238" s="4">
        <v>1</v>
      </c>
      <c r="O238" s="4">
        <f>IF(Table134[[#This Row],[check]]=1,Table134[[#This Row],[مساحت آدرس]]*Table134[[#This Row],[A0 Inc]],Table134[[#This Row],[A_tree]]*Table134[[#This Row],[اصله مستقل]])</f>
        <v>258</v>
      </c>
      <c r="P238" s="11">
        <f>IF(Table134[[#This Row],[check]]=1,Table134[[#This Row],[A0]]/Table134[[#This Row],[اصله مستقل]],Table134[[#This Row],[A_tree]])</f>
        <v>1</v>
      </c>
    </row>
    <row r="239" spans="2:16" ht="18.600000000000001" x14ac:dyDescent="0.3">
      <c r="B239" s="4" t="s">
        <v>303</v>
      </c>
      <c r="C239" s="4">
        <v>42</v>
      </c>
      <c r="D239" s="4">
        <v>42</v>
      </c>
      <c r="E239" s="4">
        <v>42</v>
      </c>
      <c r="F239" s="4">
        <v>102</v>
      </c>
      <c r="G239" s="2" t="s">
        <v>21</v>
      </c>
      <c r="H239" s="4">
        <v>9</v>
      </c>
      <c r="I239" s="4">
        <f>Table134[[#This Row],[اصله مستقل]]*Table134[[#This Row],[A_tree]]</f>
        <v>378</v>
      </c>
      <c r="J239" s="4">
        <f>IF(Table134[[#This Row],[n * A_tree ]]&gt;Table134[[#This Row],[مساحت آدرس]],1,0)</f>
        <v>1</v>
      </c>
      <c r="K239" s="8">
        <f>IF(Table134[[#This Row],[check]]=1,1,Table134[[#This Row],[A_tree]]*Table134[[#This Row],[اصله مستقل]]/Table134[[#This Row],[مساحت آدرس]])</f>
        <v>1</v>
      </c>
      <c r="L239" s="14">
        <f>IF(Table134[[#This Row],[check]]=1,1,(Table134[[#This Row],[Psh]]+0.15*(1-Table134[[#This Row],[Psh]])))</f>
        <v>1</v>
      </c>
      <c r="M239" s="14">
        <f>IF(Table134[[#This Row],[check]]=1,0.65,1)</f>
        <v>0.65</v>
      </c>
      <c r="N239" s="4">
        <v>1</v>
      </c>
      <c r="O239" s="4">
        <f>IF(Table134[[#This Row],[check]]=1,Table134[[#This Row],[مساحت آدرس]]*Table134[[#This Row],[A0 Inc]],Table134[[#This Row],[A_tree]]*Table134[[#This Row],[اصله مستقل]])</f>
        <v>102</v>
      </c>
      <c r="P239" s="11">
        <f>IF(Table134[[#This Row],[check]]=1,Table134[[#This Row],[A0]]/Table134[[#This Row],[اصله مستقل]],Table134[[#This Row],[A_tree]])</f>
        <v>2.4285714285714284</v>
      </c>
    </row>
    <row r="240" spans="2:16" ht="18.600000000000001" x14ac:dyDescent="0.3">
      <c r="B240" s="4" t="s">
        <v>304</v>
      </c>
      <c r="C240" s="4">
        <v>39</v>
      </c>
      <c r="D240" s="4">
        <v>39</v>
      </c>
      <c r="E240" s="4">
        <v>39</v>
      </c>
      <c r="F240" s="4">
        <v>39</v>
      </c>
      <c r="G240" s="2" t="s">
        <v>21</v>
      </c>
      <c r="H240" s="4">
        <v>9</v>
      </c>
      <c r="I240" s="4">
        <f>Table134[[#This Row],[اصله مستقل]]*Table134[[#This Row],[A_tree]]</f>
        <v>351</v>
      </c>
      <c r="J240" s="4">
        <f>IF(Table134[[#This Row],[n * A_tree ]]&gt;Table134[[#This Row],[مساحت آدرس]],1,0)</f>
        <v>1</v>
      </c>
      <c r="K240" s="8">
        <f>IF(Table134[[#This Row],[check]]=1,1,Table134[[#This Row],[A_tree]]*Table134[[#This Row],[اصله مستقل]]/Table134[[#This Row],[مساحت آدرس]])</f>
        <v>1</v>
      </c>
      <c r="L240" s="14">
        <f>IF(Table134[[#This Row],[check]]=1,1,(Table134[[#This Row],[Psh]]+0.15*(1-Table134[[#This Row],[Psh]])))</f>
        <v>1</v>
      </c>
      <c r="M240" s="14">
        <f>IF(Table134[[#This Row],[check]]=1,0.65,1)</f>
        <v>0.65</v>
      </c>
      <c r="N240" s="4">
        <v>1</v>
      </c>
      <c r="O240" s="4">
        <f>IF(Table134[[#This Row],[check]]=1,Table134[[#This Row],[مساحت آدرس]]*Table134[[#This Row],[A0 Inc]],Table134[[#This Row],[A_tree]]*Table134[[#This Row],[اصله مستقل]])</f>
        <v>39</v>
      </c>
      <c r="P240" s="11">
        <f>IF(Table134[[#This Row],[check]]=1,Table134[[#This Row],[A0]]/Table134[[#This Row],[اصله مستقل]],Table134[[#This Row],[A_tree]])</f>
        <v>1</v>
      </c>
    </row>
    <row r="241" spans="2:16" ht="18.600000000000001" x14ac:dyDescent="0.3">
      <c r="B241" s="4" t="s">
        <v>305</v>
      </c>
      <c r="C241" s="4">
        <v>236</v>
      </c>
      <c r="D241" s="4">
        <v>236</v>
      </c>
      <c r="E241" s="4">
        <v>236</v>
      </c>
      <c r="F241" s="4">
        <v>236</v>
      </c>
      <c r="G241" s="2" t="s">
        <v>21</v>
      </c>
      <c r="H241" s="4">
        <v>9</v>
      </c>
      <c r="I241" s="4">
        <f>Table134[[#This Row],[اصله مستقل]]*Table134[[#This Row],[A_tree]]</f>
        <v>2124</v>
      </c>
      <c r="J241" s="4">
        <f>IF(Table134[[#This Row],[n * A_tree ]]&gt;Table134[[#This Row],[مساحت آدرس]],1,0)</f>
        <v>1</v>
      </c>
      <c r="K241" s="8">
        <f>IF(Table134[[#This Row],[check]]=1,1,Table134[[#This Row],[A_tree]]*Table134[[#This Row],[اصله مستقل]]/Table134[[#This Row],[مساحت آدرس]])</f>
        <v>1</v>
      </c>
      <c r="L241" s="14">
        <f>IF(Table134[[#This Row],[check]]=1,1,(Table134[[#This Row],[Psh]]+0.15*(1-Table134[[#This Row],[Psh]])))</f>
        <v>1</v>
      </c>
      <c r="M241" s="14">
        <f>IF(Table134[[#This Row],[check]]=1,0.65,1)</f>
        <v>0.65</v>
      </c>
      <c r="N241" s="4">
        <v>1</v>
      </c>
      <c r="O241" s="4">
        <f>IF(Table134[[#This Row],[check]]=1,Table134[[#This Row],[مساحت آدرس]]*Table134[[#This Row],[A0 Inc]],Table134[[#This Row],[A_tree]]*Table134[[#This Row],[اصله مستقل]])</f>
        <v>236</v>
      </c>
      <c r="P241" s="11">
        <f>IF(Table134[[#This Row],[check]]=1,Table134[[#This Row],[A0]]/Table134[[#This Row],[اصله مستقل]],Table134[[#This Row],[A_tree]])</f>
        <v>1</v>
      </c>
    </row>
    <row r="242" spans="2:16" ht="18.600000000000001" x14ac:dyDescent="0.3">
      <c r="B242" s="4" t="s">
        <v>306</v>
      </c>
      <c r="C242" s="4">
        <v>55</v>
      </c>
      <c r="D242" s="4">
        <v>55</v>
      </c>
      <c r="E242" s="4">
        <v>55</v>
      </c>
      <c r="F242" s="4">
        <v>55</v>
      </c>
      <c r="G242" s="2" t="s">
        <v>21</v>
      </c>
      <c r="H242" s="4">
        <v>9</v>
      </c>
      <c r="I242" s="4">
        <f>Table134[[#This Row],[اصله مستقل]]*Table134[[#This Row],[A_tree]]</f>
        <v>495</v>
      </c>
      <c r="J242" s="4">
        <f>IF(Table134[[#This Row],[n * A_tree ]]&gt;Table134[[#This Row],[مساحت آدرس]],1,0)</f>
        <v>1</v>
      </c>
      <c r="K242" s="8">
        <f>IF(Table134[[#This Row],[check]]=1,1,Table134[[#This Row],[A_tree]]*Table134[[#This Row],[اصله مستقل]]/Table134[[#This Row],[مساحت آدرس]])</f>
        <v>1</v>
      </c>
      <c r="L242" s="14">
        <f>IF(Table134[[#This Row],[check]]=1,1,(Table134[[#This Row],[Psh]]+0.15*(1-Table134[[#This Row],[Psh]])))</f>
        <v>1</v>
      </c>
      <c r="M242" s="14">
        <f>IF(Table134[[#This Row],[check]]=1,0.65,1)</f>
        <v>0.65</v>
      </c>
      <c r="N242" s="4">
        <v>1</v>
      </c>
      <c r="O242" s="4">
        <f>IF(Table134[[#This Row],[check]]=1,Table134[[#This Row],[مساحت آدرس]]*Table134[[#This Row],[A0 Inc]],Table134[[#This Row],[A_tree]]*Table134[[#This Row],[اصله مستقل]])</f>
        <v>55</v>
      </c>
      <c r="P242" s="11">
        <f>IF(Table134[[#This Row],[check]]=1,Table134[[#This Row],[A0]]/Table134[[#This Row],[اصله مستقل]],Table134[[#This Row],[A_tree]])</f>
        <v>1</v>
      </c>
    </row>
    <row r="243" spans="2:16" ht="18.600000000000001" x14ac:dyDescent="0.3">
      <c r="B243" s="4" t="s">
        <v>307</v>
      </c>
      <c r="C243" s="4">
        <v>1884</v>
      </c>
      <c r="D243" s="4">
        <v>1763</v>
      </c>
      <c r="E243" s="4">
        <v>11121</v>
      </c>
      <c r="F243" s="4">
        <v>34805</v>
      </c>
      <c r="G243" s="2" t="s">
        <v>300</v>
      </c>
      <c r="H243" s="4">
        <v>9</v>
      </c>
      <c r="I243" s="4">
        <f>Table134[[#This Row],[اصله مستقل]]*Table134[[#This Row],[A_tree]]</f>
        <v>15867</v>
      </c>
      <c r="J243" s="4">
        <f>IF(Table134[[#This Row],[n * A_tree ]]&gt;Table134[[#This Row],[مساحت آدرس]],1,0)</f>
        <v>0</v>
      </c>
      <c r="K243" s="8">
        <f>IF(Table134[[#This Row],[check]]=1,1,Table134[[#This Row],[A_tree]]*Table134[[#This Row],[اصله مستقل]]/Table134[[#This Row],[مساحت آدرس]])</f>
        <v>0.45588277546329553</v>
      </c>
      <c r="L243" s="14">
        <f>IF(Table134[[#This Row],[check]]=1,1,(Table134[[#This Row],[Psh]]+0.15*(1-Table134[[#This Row],[Psh]])))</f>
        <v>0.53750035914380123</v>
      </c>
      <c r="M243" s="14">
        <f>IF(Table134[[#This Row],[check]]=1,0.65,1)</f>
        <v>1</v>
      </c>
      <c r="N243" s="4">
        <v>1</v>
      </c>
      <c r="O243" s="4">
        <f>IF(Table134[[#This Row],[check]]=1,Table134[[#This Row],[مساحت آدرس]]*Table134[[#This Row],[A0 Inc]],Table134[[#This Row],[A_tree]]*Table134[[#This Row],[اصله مستقل]])</f>
        <v>15867</v>
      </c>
      <c r="P243" s="11">
        <f>IF(Table134[[#This Row],[check]]=1,Table134[[#This Row],[A0]]/Table134[[#This Row],[اصله مستقل]],Table134[[#This Row],[A_tree]])</f>
        <v>9</v>
      </c>
    </row>
    <row r="244" spans="2:16" ht="18.600000000000001" x14ac:dyDescent="0.3">
      <c r="B244" s="4" t="s">
        <v>308</v>
      </c>
      <c r="C244" s="4">
        <v>296</v>
      </c>
      <c r="D244" s="4">
        <v>1852</v>
      </c>
      <c r="E244" s="4">
        <v>500</v>
      </c>
      <c r="F244" s="4">
        <v>15145</v>
      </c>
      <c r="G244" s="2" t="s">
        <v>300</v>
      </c>
      <c r="H244" s="4">
        <v>9</v>
      </c>
      <c r="I244" s="4">
        <f>Table134[[#This Row],[اصله مستقل]]*Table134[[#This Row],[A_tree]]</f>
        <v>16668</v>
      </c>
      <c r="J244" s="4">
        <f>IF(Table134[[#This Row],[n * A_tree ]]&gt;Table134[[#This Row],[مساحت آدرس]],1,0)</f>
        <v>1</v>
      </c>
      <c r="K244" s="8">
        <f>IF(Table134[[#This Row],[check]]=1,1,Table134[[#This Row],[A_tree]]*Table134[[#This Row],[اصله مستقل]]/Table134[[#This Row],[مساحت آدرس]])</f>
        <v>1</v>
      </c>
      <c r="L244" s="14">
        <f>IF(Table134[[#This Row],[check]]=1,1,(Table134[[#This Row],[Psh]]+0.15*(1-Table134[[#This Row],[Psh]])))</f>
        <v>1</v>
      </c>
      <c r="M244" s="14">
        <f>IF(Table134[[#This Row],[check]]=1,0.65,1)</f>
        <v>0.65</v>
      </c>
      <c r="N244" s="4">
        <v>1</v>
      </c>
      <c r="O244" s="4">
        <f>IF(Table134[[#This Row],[check]]=1,Table134[[#This Row],[مساحت آدرس]]*Table134[[#This Row],[A0 Inc]],Table134[[#This Row],[A_tree]]*Table134[[#This Row],[اصله مستقل]])</f>
        <v>15145</v>
      </c>
      <c r="P244" s="11">
        <f>IF(Table134[[#This Row],[check]]=1,Table134[[#This Row],[A0]]/Table134[[#This Row],[اصله مستقل]],Table134[[#This Row],[A_tree]])</f>
        <v>8.1776457883369336</v>
      </c>
    </row>
    <row r="245" spans="2:16" ht="18.600000000000001" x14ac:dyDescent="0.3">
      <c r="B245" s="4" t="s">
        <v>309</v>
      </c>
      <c r="C245" s="4">
        <v>81</v>
      </c>
      <c r="D245" s="4">
        <v>81</v>
      </c>
      <c r="E245" s="4">
        <v>81</v>
      </c>
      <c r="F245" s="4">
        <v>501</v>
      </c>
      <c r="G245" s="2" t="s">
        <v>21</v>
      </c>
      <c r="H245" s="4">
        <v>9</v>
      </c>
      <c r="I245" s="4">
        <f>Table134[[#This Row],[اصله مستقل]]*Table134[[#This Row],[A_tree]]</f>
        <v>729</v>
      </c>
      <c r="J245" s="4">
        <f>IF(Table134[[#This Row],[n * A_tree ]]&gt;Table134[[#This Row],[مساحت آدرس]],1,0)</f>
        <v>1</v>
      </c>
      <c r="K245" s="8">
        <f>IF(Table134[[#This Row],[check]]=1,1,Table134[[#This Row],[A_tree]]*Table134[[#This Row],[اصله مستقل]]/Table134[[#This Row],[مساحت آدرس]])</f>
        <v>1</v>
      </c>
      <c r="L245" s="14">
        <f>IF(Table134[[#This Row],[check]]=1,1,(Table134[[#This Row],[Psh]]+0.15*(1-Table134[[#This Row],[Psh]])))</f>
        <v>1</v>
      </c>
      <c r="M245" s="14">
        <f>IF(Table134[[#This Row],[check]]=1,0.65,1)</f>
        <v>0.65</v>
      </c>
      <c r="N245" s="4">
        <v>1</v>
      </c>
      <c r="O245" s="4">
        <f>IF(Table134[[#This Row],[check]]=1,Table134[[#This Row],[مساحت آدرس]]*Table134[[#This Row],[A0 Inc]],Table134[[#This Row],[A_tree]]*Table134[[#This Row],[اصله مستقل]])</f>
        <v>501</v>
      </c>
      <c r="P245" s="11">
        <f>IF(Table134[[#This Row],[check]]=1,Table134[[#This Row],[A0]]/Table134[[#This Row],[اصله مستقل]],Table134[[#This Row],[A_tree]])</f>
        <v>6.1851851851851851</v>
      </c>
    </row>
    <row r="246" spans="2:16" ht="18.600000000000001" x14ac:dyDescent="0.3">
      <c r="B246" s="4" t="s">
        <v>310</v>
      </c>
      <c r="C246" s="4">
        <v>61</v>
      </c>
      <c r="D246" s="4">
        <v>30</v>
      </c>
      <c r="E246" s="4">
        <v>40</v>
      </c>
      <c r="F246" s="4">
        <v>1387</v>
      </c>
      <c r="G246" s="2" t="s">
        <v>62</v>
      </c>
      <c r="H246" s="4">
        <v>9</v>
      </c>
      <c r="I246" s="4">
        <f>Table134[[#This Row],[اصله مستقل]]*Table134[[#This Row],[A_tree]]</f>
        <v>270</v>
      </c>
      <c r="J246" s="4">
        <f>IF(Table134[[#This Row],[n * A_tree ]]&gt;Table134[[#This Row],[مساحت آدرس]],1,0)</f>
        <v>0</v>
      </c>
      <c r="K246" s="8">
        <f>IF(Table134[[#This Row],[check]]=1,1,Table134[[#This Row],[A_tree]]*Table134[[#This Row],[اصله مستقل]]/Table134[[#This Row],[مساحت آدرس]])</f>
        <v>0.19466474405191059</v>
      </c>
      <c r="L246" s="14">
        <f>IF(Table134[[#This Row],[check]]=1,1,(Table134[[#This Row],[Psh]]+0.15*(1-Table134[[#This Row],[Psh]])))</f>
        <v>0.31546503244412399</v>
      </c>
      <c r="M246" s="14">
        <f>IF(Table134[[#This Row],[check]]=1,0.65,1)</f>
        <v>1</v>
      </c>
      <c r="N246" s="4">
        <v>1</v>
      </c>
      <c r="O246" s="4">
        <f>IF(Table134[[#This Row],[check]]=1,Table134[[#This Row],[مساحت آدرس]]*Table134[[#This Row],[A0 Inc]],Table134[[#This Row],[A_tree]]*Table134[[#This Row],[اصله مستقل]])</f>
        <v>270</v>
      </c>
      <c r="P246" s="11">
        <f>IF(Table134[[#This Row],[check]]=1,Table134[[#This Row],[A0]]/Table134[[#This Row],[اصله مستقل]],Table134[[#This Row],[A_tree]])</f>
        <v>9</v>
      </c>
    </row>
    <row r="247" spans="2:16" ht="18.600000000000001" x14ac:dyDescent="0.3">
      <c r="B247" s="4" t="s">
        <v>311</v>
      </c>
      <c r="C247" s="4">
        <v>1007</v>
      </c>
      <c r="D247" s="4">
        <v>121</v>
      </c>
      <c r="E247" s="4">
        <v>3158</v>
      </c>
      <c r="F247" s="4">
        <v>6618</v>
      </c>
      <c r="G247" s="2" t="s">
        <v>300</v>
      </c>
      <c r="H247" s="4">
        <v>9</v>
      </c>
      <c r="I247" s="4">
        <f>Table134[[#This Row],[اصله مستقل]]*Table134[[#This Row],[A_tree]]</f>
        <v>1089</v>
      </c>
      <c r="J247" s="4">
        <f>IF(Table134[[#This Row],[n * A_tree ]]&gt;Table134[[#This Row],[مساحت آدرس]],1,0)</f>
        <v>0</v>
      </c>
      <c r="K247" s="8">
        <f>IF(Table134[[#This Row],[check]]=1,1,Table134[[#This Row],[A_tree]]*Table134[[#This Row],[اصله مستقل]]/Table134[[#This Row],[مساحت آدرس]])</f>
        <v>0.16455122393472349</v>
      </c>
      <c r="L247" s="14">
        <f>IF(Table134[[#This Row],[check]]=1,1,(Table134[[#This Row],[Psh]]+0.15*(1-Table134[[#This Row],[Psh]])))</f>
        <v>0.28986854034451492</v>
      </c>
      <c r="M247" s="14">
        <f>IF(Table134[[#This Row],[check]]=1,0.65,1)</f>
        <v>1</v>
      </c>
      <c r="N247" s="4">
        <v>1</v>
      </c>
      <c r="O247" s="4">
        <f>IF(Table134[[#This Row],[check]]=1,Table134[[#This Row],[مساحت آدرس]]*Table134[[#This Row],[A0 Inc]],Table134[[#This Row],[A_tree]]*Table134[[#This Row],[اصله مستقل]])</f>
        <v>1089</v>
      </c>
      <c r="P247" s="11">
        <f>IF(Table134[[#This Row],[check]]=1,Table134[[#This Row],[A0]]/Table134[[#This Row],[اصله مستقل]],Table134[[#This Row],[A_tree]])</f>
        <v>9</v>
      </c>
    </row>
    <row r="248" spans="2:16" ht="18.600000000000001" x14ac:dyDescent="0.3">
      <c r="B248" s="4" t="s">
        <v>312</v>
      </c>
      <c r="C248" s="4">
        <v>176</v>
      </c>
      <c r="D248" s="4">
        <v>176</v>
      </c>
      <c r="E248" s="4">
        <v>912</v>
      </c>
      <c r="F248" s="4">
        <v>2422</v>
      </c>
      <c r="G248" s="2" t="s">
        <v>300</v>
      </c>
      <c r="H248" s="4">
        <v>9</v>
      </c>
      <c r="I248" s="4">
        <f>Table134[[#This Row],[اصله مستقل]]*Table134[[#This Row],[A_tree]]</f>
        <v>1584</v>
      </c>
      <c r="J248" s="4">
        <f>IF(Table134[[#This Row],[n * A_tree ]]&gt;Table134[[#This Row],[مساحت آدرس]],1,0)</f>
        <v>0</v>
      </c>
      <c r="K248" s="8">
        <f>IF(Table134[[#This Row],[check]]=1,1,Table134[[#This Row],[A_tree]]*Table134[[#This Row],[اصله مستقل]]/Table134[[#This Row],[مساحت آدرس]])</f>
        <v>0.65400495458298924</v>
      </c>
      <c r="L248" s="14">
        <f>IF(Table134[[#This Row],[check]]=1,1,(Table134[[#This Row],[Psh]]+0.15*(1-Table134[[#This Row],[Psh]])))</f>
        <v>0.70590421139554083</v>
      </c>
      <c r="M248" s="14">
        <f>IF(Table134[[#This Row],[check]]=1,0.65,1)</f>
        <v>1</v>
      </c>
      <c r="N248" s="4">
        <v>1</v>
      </c>
      <c r="O248" s="4">
        <f>IF(Table134[[#This Row],[check]]=1,Table134[[#This Row],[مساحت آدرس]]*Table134[[#This Row],[A0 Inc]],Table134[[#This Row],[A_tree]]*Table134[[#This Row],[اصله مستقل]])</f>
        <v>1584</v>
      </c>
      <c r="P248" s="11">
        <f>IF(Table134[[#This Row],[check]]=1,Table134[[#This Row],[A0]]/Table134[[#This Row],[اصله مستقل]],Table134[[#This Row],[A_tree]])</f>
        <v>9</v>
      </c>
    </row>
    <row r="249" spans="2:16" ht="18.600000000000001" x14ac:dyDescent="0.3">
      <c r="B249" s="4" t="s">
        <v>313</v>
      </c>
      <c r="C249" s="4">
        <v>88</v>
      </c>
      <c r="D249" s="4">
        <v>88</v>
      </c>
      <c r="E249" s="4">
        <v>88</v>
      </c>
      <c r="F249" s="4">
        <v>320</v>
      </c>
      <c r="G249" s="2" t="s">
        <v>62</v>
      </c>
      <c r="H249" s="4">
        <v>9</v>
      </c>
      <c r="I249" s="4">
        <f>Table134[[#This Row],[اصله مستقل]]*Table134[[#This Row],[A_tree]]</f>
        <v>792</v>
      </c>
      <c r="J249" s="4">
        <f>IF(Table134[[#This Row],[n * A_tree ]]&gt;Table134[[#This Row],[مساحت آدرس]],1,0)</f>
        <v>1</v>
      </c>
      <c r="K249" s="8">
        <f>IF(Table134[[#This Row],[check]]=1,1,Table134[[#This Row],[A_tree]]*Table134[[#This Row],[اصله مستقل]]/Table134[[#This Row],[مساحت آدرس]])</f>
        <v>1</v>
      </c>
      <c r="L249" s="14">
        <f>IF(Table134[[#This Row],[check]]=1,1,(Table134[[#This Row],[Psh]]+0.15*(1-Table134[[#This Row],[Psh]])))</f>
        <v>1</v>
      </c>
      <c r="M249" s="14">
        <f>IF(Table134[[#This Row],[check]]=1,0.65,1)</f>
        <v>0.65</v>
      </c>
      <c r="N249" s="4">
        <v>1</v>
      </c>
      <c r="O249" s="4">
        <f>IF(Table134[[#This Row],[check]]=1,Table134[[#This Row],[مساحت آدرس]]*Table134[[#This Row],[A0 Inc]],Table134[[#This Row],[A_tree]]*Table134[[#This Row],[اصله مستقل]])</f>
        <v>320</v>
      </c>
      <c r="P249" s="11">
        <f>IF(Table134[[#This Row],[check]]=1,Table134[[#This Row],[A0]]/Table134[[#This Row],[اصله مستقل]],Table134[[#This Row],[A_tree]])</f>
        <v>3.6363636363636362</v>
      </c>
    </row>
    <row r="250" spans="2:16" ht="18.600000000000001" x14ac:dyDescent="0.3">
      <c r="B250" s="4" t="s">
        <v>314</v>
      </c>
      <c r="C250" s="4">
        <v>2600</v>
      </c>
      <c r="D250" s="4">
        <v>2600</v>
      </c>
      <c r="E250" s="4">
        <v>8586</v>
      </c>
      <c r="F250" s="4">
        <v>9831</v>
      </c>
      <c r="G250" s="2" t="s">
        <v>62</v>
      </c>
      <c r="H250" s="4">
        <v>9</v>
      </c>
      <c r="I250" s="4">
        <f>Table134[[#This Row],[اصله مستقل]]*Table134[[#This Row],[A_tree]]</f>
        <v>23400</v>
      </c>
      <c r="J250" s="4">
        <f>IF(Table134[[#This Row],[n * A_tree ]]&gt;Table134[[#This Row],[مساحت آدرس]],1,0)</f>
        <v>1</v>
      </c>
      <c r="K250" s="8">
        <f>IF(Table134[[#This Row],[check]]=1,1,Table134[[#This Row],[A_tree]]*Table134[[#This Row],[اصله مستقل]]/Table134[[#This Row],[مساحت آدرس]])</f>
        <v>1</v>
      </c>
      <c r="L250" s="14">
        <f>IF(Table134[[#This Row],[check]]=1,1,(Table134[[#This Row],[Psh]]+0.15*(1-Table134[[#This Row],[Psh]])))</f>
        <v>1</v>
      </c>
      <c r="M250" s="14">
        <f>IF(Table134[[#This Row],[check]]=1,0.65,1)</f>
        <v>0.65</v>
      </c>
      <c r="N250" s="4">
        <v>1</v>
      </c>
      <c r="O250" s="4">
        <f>IF(Table134[[#This Row],[check]]=1,Table134[[#This Row],[مساحت آدرس]]*Table134[[#This Row],[A0 Inc]],Table134[[#This Row],[A_tree]]*Table134[[#This Row],[اصله مستقل]])</f>
        <v>9831</v>
      </c>
      <c r="P250" s="11">
        <f>IF(Table134[[#This Row],[check]]=1,Table134[[#This Row],[A0]]/Table134[[#This Row],[اصله مستقل]],Table134[[#This Row],[A_tree]])</f>
        <v>3.7811538461538463</v>
      </c>
    </row>
    <row r="251" spans="2:16" ht="18.600000000000001" x14ac:dyDescent="0.3">
      <c r="B251" s="4" t="s">
        <v>315</v>
      </c>
      <c r="C251" s="4">
        <v>16</v>
      </c>
      <c r="D251" s="4">
        <v>15</v>
      </c>
      <c r="E251" s="4">
        <v>20</v>
      </c>
      <c r="F251" s="4">
        <v>3067</v>
      </c>
      <c r="G251" s="2" t="s">
        <v>66</v>
      </c>
      <c r="H251" s="4">
        <v>9</v>
      </c>
      <c r="I251" s="4">
        <f>Table134[[#This Row],[اصله مستقل]]*Table134[[#This Row],[A_tree]]</f>
        <v>135</v>
      </c>
      <c r="J251" s="4">
        <f>IF(Table134[[#This Row],[n * A_tree ]]&gt;Table134[[#This Row],[مساحت آدرس]],1,0)</f>
        <v>0</v>
      </c>
      <c r="K251" s="8">
        <f>IF(Table134[[#This Row],[check]]=1,1,Table134[[#This Row],[A_tree]]*Table134[[#This Row],[اصله مستقل]]/Table134[[#This Row],[مساحت آدرس]])</f>
        <v>4.401695467883926E-2</v>
      </c>
      <c r="L251" s="14">
        <f>IF(Table134[[#This Row],[check]]=1,1,(Table134[[#This Row],[Psh]]+0.15*(1-Table134[[#This Row],[Psh]])))</f>
        <v>0.18741441147701338</v>
      </c>
      <c r="M251" s="14">
        <f>IF(Table134[[#This Row],[check]]=1,0.65,1)</f>
        <v>1</v>
      </c>
      <c r="N251" s="4">
        <v>1</v>
      </c>
      <c r="O251" s="4">
        <f>IF(Table134[[#This Row],[check]]=1,Table134[[#This Row],[مساحت آدرس]]*Table134[[#This Row],[A0 Inc]],Table134[[#This Row],[A_tree]]*Table134[[#This Row],[اصله مستقل]])</f>
        <v>135</v>
      </c>
      <c r="P251" s="11">
        <f>IF(Table134[[#This Row],[check]]=1,Table134[[#This Row],[A0]]/Table134[[#This Row],[اصله مستقل]],Table134[[#This Row],[A_tree]])</f>
        <v>9</v>
      </c>
    </row>
    <row r="252" spans="2:16" ht="18.600000000000001" x14ac:dyDescent="0.3">
      <c r="B252" s="4" t="s">
        <v>316</v>
      </c>
      <c r="C252" s="4">
        <v>600</v>
      </c>
      <c r="D252" s="4">
        <v>600</v>
      </c>
      <c r="E252" s="4">
        <v>1200</v>
      </c>
      <c r="F252" s="4">
        <v>2353</v>
      </c>
      <c r="G252" s="2" t="s">
        <v>66</v>
      </c>
      <c r="H252" s="4">
        <v>9</v>
      </c>
      <c r="I252" s="4">
        <f>Table134[[#This Row],[اصله مستقل]]*Table134[[#This Row],[A_tree]]</f>
        <v>5400</v>
      </c>
      <c r="J252" s="4">
        <f>IF(Table134[[#This Row],[n * A_tree ]]&gt;Table134[[#This Row],[مساحت آدرس]],1,0)</f>
        <v>1</v>
      </c>
      <c r="K252" s="8">
        <f>IF(Table134[[#This Row],[check]]=1,1,Table134[[#This Row],[A_tree]]*Table134[[#This Row],[اصله مستقل]]/Table134[[#This Row],[مساحت آدرس]])</f>
        <v>1</v>
      </c>
      <c r="L252" s="14">
        <f>IF(Table134[[#This Row],[check]]=1,1,(Table134[[#This Row],[Psh]]+0.15*(1-Table134[[#This Row],[Psh]])))</f>
        <v>1</v>
      </c>
      <c r="M252" s="14">
        <f>IF(Table134[[#This Row],[check]]=1,0.65,1)</f>
        <v>0.65</v>
      </c>
      <c r="N252" s="4">
        <v>1</v>
      </c>
      <c r="O252" s="4">
        <f>IF(Table134[[#This Row],[check]]=1,Table134[[#This Row],[مساحت آدرس]]*Table134[[#This Row],[A0 Inc]],Table134[[#This Row],[A_tree]]*Table134[[#This Row],[اصله مستقل]])</f>
        <v>2353</v>
      </c>
      <c r="P252" s="11">
        <f>IF(Table134[[#This Row],[check]]=1,Table134[[#This Row],[A0]]/Table134[[#This Row],[اصله مستقل]],Table134[[#This Row],[A_tree]])</f>
        <v>3.9216666666666669</v>
      </c>
    </row>
    <row r="253" spans="2:16" ht="18.600000000000001" x14ac:dyDescent="0.3">
      <c r="B253" s="4" t="s">
        <v>317</v>
      </c>
      <c r="C253" s="4">
        <v>150</v>
      </c>
      <c r="D253" s="4">
        <v>150</v>
      </c>
      <c r="E253" s="4">
        <v>800</v>
      </c>
      <c r="F253" s="4">
        <v>1321</v>
      </c>
      <c r="G253" s="2" t="s">
        <v>66</v>
      </c>
      <c r="H253" s="4">
        <v>9</v>
      </c>
      <c r="I253" s="4">
        <f>Table134[[#This Row],[اصله مستقل]]*Table134[[#This Row],[A_tree]]</f>
        <v>1350</v>
      </c>
      <c r="J253" s="4">
        <f>IF(Table134[[#This Row],[n * A_tree ]]&gt;Table134[[#This Row],[مساحت آدرس]],1,0)</f>
        <v>1</v>
      </c>
      <c r="K253" s="8">
        <f>IF(Table134[[#This Row],[check]]=1,1,Table134[[#This Row],[A_tree]]*Table134[[#This Row],[اصله مستقل]]/Table134[[#This Row],[مساحت آدرس]])</f>
        <v>1</v>
      </c>
      <c r="L253" s="14">
        <f>IF(Table134[[#This Row],[check]]=1,1,(Table134[[#This Row],[Psh]]+0.15*(1-Table134[[#This Row],[Psh]])))</f>
        <v>1</v>
      </c>
      <c r="M253" s="14">
        <f>IF(Table134[[#This Row],[check]]=1,0.65,1)</f>
        <v>0.65</v>
      </c>
      <c r="N253" s="4">
        <v>1</v>
      </c>
      <c r="O253" s="4">
        <f>IF(Table134[[#This Row],[check]]=1,Table134[[#This Row],[مساحت آدرس]]*Table134[[#This Row],[A0 Inc]],Table134[[#This Row],[A_tree]]*Table134[[#This Row],[اصله مستقل]])</f>
        <v>1321</v>
      </c>
      <c r="P253" s="11">
        <f>IF(Table134[[#This Row],[check]]=1,Table134[[#This Row],[A0]]/Table134[[#This Row],[اصله مستقل]],Table134[[#This Row],[A_tree]])</f>
        <v>8.8066666666666666</v>
      </c>
    </row>
    <row r="254" spans="2:16" ht="18.600000000000001" x14ac:dyDescent="0.3">
      <c r="B254" s="4" t="s">
        <v>320</v>
      </c>
      <c r="C254" s="4">
        <v>3150</v>
      </c>
      <c r="D254" s="4">
        <v>3150</v>
      </c>
      <c r="E254" s="4">
        <v>15480</v>
      </c>
      <c r="F254" s="4">
        <v>15880</v>
      </c>
      <c r="G254" s="2" t="s">
        <v>300</v>
      </c>
      <c r="H254" s="4">
        <v>9</v>
      </c>
      <c r="I254" s="4">
        <f>Table134[[#This Row],[اصله مستقل]]*Table134[[#This Row],[A_tree]]</f>
        <v>28350</v>
      </c>
      <c r="J254" s="4">
        <f>IF(Table134[[#This Row],[n * A_tree ]]&gt;Table134[[#This Row],[مساحت آدرس]],1,0)</f>
        <v>1</v>
      </c>
      <c r="K254" s="8">
        <f>IF(Table134[[#This Row],[check]]=1,1,Table134[[#This Row],[A_tree]]*Table134[[#This Row],[اصله مستقل]]/Table134[[#This Row],[مساحت آدرس]])</f>
        <v>1</v>
      </c>
      <c r="L254" s="14">
        <f>IF(Table134[[#This Row],[check]]=1,1,(Table134[[#This Row],[Psh]]+0.15*(1-Table134[[#This Row],[Psh]])))</f>
        <v>1</v>
      </c>
      <c r="M254" s="14">
        <f>IF(Table134[[#This Row],[check]]=1,0.65,1)</f>
        <v>0.65</v>
      </c>
      <c r="N254" s="4">
        <v>1</v>
      </c>
      <c r="O254" s="4">
        <f>IF(Table134[[#This Row],[check]]=1,Table134[[#This Row],[مساحت آدرس]]*Table134[[#This Row],[A0 Inc]],Table134[[#This Row],[A_tree]]*Table134[[#This Row],[اصله مستقل]])</f>
        <v>15880</v>
      </c>
      <c r="P254" s="11">
        <f>IF(Table134[[#This Row],[check]]=1,Table134[[#This Row],[A0]]/Table134[[#This Row],[اصله مستقل]],Table134[[#This Row],[A_tree]])</f>
        <v>5.0412698412698411</v>
      </c>
    </row>
    <row r="255" spans="2:16" ht="18.600000000000001" x14ac:dyDescent="0.3">
      <c r="B255" s="4" t="s">
        <v>321</v>
      </c>
      <c r="C255" s="4">
        <v>1874</v>
      </c>
      <c r="D255" s="4">
        <v>1874</v>
      </c>
      <c r="E255" s="4">
        <v>8121</v>
      </c>
      <c r="F255" s="4">
        <v>12672</v>
      </c>
      <c r="G255" s="2" t="s">
        <v>300</v>
      </c>
      <c r="H255" s="4">
        <v>9</v>
      </c>
      <c r="I255" s="4">
        <f>Table134[[#This Row],[اصله مستقل]]*Table134[[#This Row],[A_tree]]</f>
        <v>16866</v>
      </c>
      <c r="J255" s="4">
        <f>IF(Table134[[#This Row],[n * A_tree ]]&gt;Table134[[#This Row],[مساحت آدرس]],1,0)</f>
        <v>1</v>
      </c>
      <c r="K255" s="8">
        <f>IF(Table134[[#This Row],[check]]=1,1,Table134[[#This Row],[A_tree]]*Table134[[#This Row],[اصله مستقل]]/Table134[[#This Row],[مساحت آدرس]])</f>
        <v>1</v>
      </c>
      <c r="L255" s="14">
        <f>IF(Table134[[#This Row],[check]]=1,1,(Table134[[#This Row],[Psh]]+0.15*(1-Table134[[#This Row],[Psh]])))</f>
        <v>1</v>
      </c>
      <c r="M255" s="14">
        <f>IF(Table134[[#This Row],[check]]=1,0.65,1)</f>
        <v>0.65</v>
      </c>
      <c r="N255" s="4">
        <v>1</v>
      </c>
      <c r="O255" s="4">
        <f>IF(Table134[[#This Row],[check]]=1,Table134[[#This Row],[مساحت آدرس]]*Table134[[#This Row],[A0 Inc]],Table134[[#This Row],[A_tree]]*Table134[[#This Row],[اصله مستقل]])</f>
        <v>12672</v>
      </c>
      <c r="P255" s="11">
        <f>IF(Table134[[#This Row],[check]]=1,Table134[[#This Row],[A0]]/Table134[[#This Row],[اصله مستقل]],Table134[[#This Row],[A_tree]])</f>
        <v>6.762006403415155</v>
      </c>
    </row>
    <row r="256" spans="2:16" ht="18.600000000000001" x14ac:dyDescent="0.3">
      <c r="B256" s="4" t="s">
        <v>322</v>
      </c>
      <c r="C256" s="4">
        <v>209</v>
      </c>
      <c r="D256" s="4">
        <v>209</v>
      </c>
      <c r="E256" s="4">
        <v>1848</v>
      </c>
      <c r="F256" s="4">
        <v>3248</v>
      </c>
      <c r="G256" s="2" t="s">
        <v>283</v>
      </c>
      <c r="H256" s="4">
        <v>9</v>
      </c>
      <c r="I256" s="4">
        <f>Table134[[#This Row],[اصله مستقل]]*Table134[[#This Row],[A_tree]]</f>
        <v>1881</v>
      </c>
      <c r="J256" s="4">
        <f>IF(Table134[[#This Row],[n * A_tree ]]&gt;Table134[[#This Row],[مساحت آدرس]],1,0)</f>
        <v>0</v>
      </c>
      <c r="K256" s="8">
        <f>IF(Table134[[#This Row],[check]]=1,1,Table134[[#This Row],[A_tree]]*Table134[[#This Row],[اصله مستقل]]/Table134[[#This Row],[مساحت آدرس]])</f>
        <v>0.57912561576354682</v>
      </c>
      <c r="L256" s="14">
        <f>IF(Table134[[#This Row],[check]]=1,1,(Table134[[#This Row],[Psh]]+0.15*(1-Table134[[#This Row],[Psh]])))</f>
        <v>0.64225677339901477</v>
      </c>
      <c r="M256" s="14">
        <f>IF(Table134[[#This Row],[check]]=1,0.65,1)</f>
        <v>1</v>
      </c>
      <c r="N256" s="4">
        <v>1</v>
      </c>
      <c r="O256" s="4">
        <f>IF(Table134[[#This Row],[check]]=1,Table134[[#This Row],[مساحت آدرس]]*Table134[[#This Row],[A0 Inc]],Table134[[#This Row],[A_tree]]*Table134[[#This Row],[اصله مستقل]])</f>
        <v>1881</v>
      </c>
      <c r="P256" s="11">
        <f>IF(Table134[[#This Row],[check]]=1,Table134[[#This Row],[A0]]/Table134[[#This Row],[اصله مستقل]],Table134[[#This Row],[A_tree]])</f>
        <v>9</v>
      </c>
    </row>
    <row r="257" spans="2:16" ht="18.600000000000001" x14ac:dyDescent="0.3">
      <c r="B257" s="4" t="s">
        <v>323</v>
      </c>
      <c r="C257" s="4">
        <v>77</v>
      </c>
      <c r="D257" s="4">
        <v>77</v>
      </c>
      <c r="E257" s="4">
        <v>920</v>
      </c>
      <c r="F257" s="4">
        <v>1620</v>
      </c>
      <c r="G257" s="2" t="s">
        <v>21</v>
      </c>
      <c r="H257" s="4">
        <v>9</v>
      </c>
      <c r="I257" s="4">
        <f>Table134[[#This Row],[اصله مستقل]]*Table134[[#This Row],[A_tree]]</f>
        <v>693</v>
      </c>
      <c r="J257" s="4">
        <f>IF(Table134[[#This Row],[n * A_tree ]]&gt;Table134[[#This Row],[مساحت آدرس]],1,0)</f>
        <v>0</v>
      </c>
      <c r="K257" s="8">
        <f>IF(Table134[[#This Row],[check]]=1,1,Table134[[#This Row],[A_tree]]*Table134[[#This Row],[اصله مستقل]]/Table134[[#This Row],[مساحت آدرس]])</f>
        <v>0.42777777777777776</v>
      </c>
      <c r="L257" s="14">
        <f>IF(Table134[[#This Row],[check]]=1,1,(Table134[[#This Row],[Psh]]+0.15*(1-Table134[[#This Row],[Psh]])))</f>
        <v>0.51361111111111113</v>
      </c>
      <c r="M257" s="14">
        <f>IF(Table134[[#This Row],[check]]=1,0.65,1)</f>
        <v>1</v>
      </c>
      <c r="N257" s="4">
        <v>1</v>
      </c>
      <c r="O257" s="4">
        <f>IF(Table134[[#This Row],[check]]=1,Table134[[#This Row],[مساحت آدرس]]*Table134[[#This Row],[A0 Inc]],Table134[[#This Row],[A_tree]]*Table134[[#This Row],[اصله مستقل]])</f>
        <v>693</v>
      </c>
      <c r="P257" s="11">
        <f>IF(Table134[[#This Row],[check]]=1,Table134[[#This Row],[A0]]/Table134[[#This Row],[اصله مستقل]],Table134[[#This Row],[A_tree]])</f>
        <v>9</v>
      </c>
    </row>
    <row r="258" spans="2:16" ht="18.600000000000001" x14ac:dyDescent="0.3">
      <c r="B258" s="4" t="s">
        <v>325</v>
      </c>
      <c r="C258" s="4">
        <v>341</v>
      </c>
      <c r="D258" s="4">
        <v>60</v>
      </c>
      <c r="E258" s="4">
        <v>60</v>
      </c>
      <c r="F258" s="4">
        <v>5751</v>
      </c>
      <c r="G258" s="2" t="s">
        <v>300</v>
      </c>
      <c r="H258" s="4">
        <v>9</v>
      </c>
      <c r="I258" s="4">
        <f>Table134[[#This Row],[اصله مستقل]]*Table134[[#This Row],[A_tree]]</f>
        <v>540</v>
      </c>
      <c r="J258" s="4">
        <f>IF(Table134[[#This Row],[n * A_tree ]]&gt;Table134[[#This Row],[مساحت آدرس]],1,0)</f>
        <v>0</v>
      </c>
      <c r="K258" s="8">
        <f>IF(Table134[[#This Row],[check]]=1,1,Table134[[#This Row],[A_tree]]*Table134[[#This Row],[اصله مستقل]]/Table134[[#This Row],[مساحت آدرس]])</f>
        <v>9.3896713615023469E-2</v>
      </c>
      <c r="L258" s="14">
        <f>IF(Table134[[#This Row],[check]]=1,1,(Table134[[#This Row],[Psh]]+0.15*(1-Table134[[#This Row],[Psh]])))</f>
        <v>0.22981220657276993</v>
      </c>
      <c r="M258" s="14">
        <f>IF(Table134[[#This Row],[check]]=1,0.65,1)</f>
        <v>1</v>
      </c>
      <c r="N258" s="4">
        <v>1</v>
      </c>
      <c r="O258" s="4">
        <f>IF(Table134[[#This Row],[check]]=1,Table134[[#This Row],[مساحت آدرس]]*Table134[[#This Row],[A0 Inc]],Table134[[#This Row],[A_tree]]*Table134[[#This Row],[اصله مستقل]])</f>
        <v>540</v>
      </c>
      <c r="P258" s="11">
        <f>IF(Table134[[#This Row],[check]]=1,Table134[[#This Row],[A0]]/Table134[[#This Row],[اصله مستقل]],Table134[[#This Row],[A_tree]])</f>
        <v>9</v>
      </c>
    </row>
    <row r="259" spans="2:16" ht="18.600000000000001" x14ac:dyDescent="0.3">
      <c r="B259" s="4" t="s">
        <v>326</v>
      </c>
      <c r="C259" s="4">
        <v>625</v>
      </c>
      <c r="D259" s="4">
        <v>414</v>
      </c>
      <c r="E259" s="4">
        <v>464</v>
      </c>
      <c r="F259" s="4">
        <v>7238</v>
      </c>
      <c r="G259" s="2" t="s">
        <v>300</v>
      </c>
      <c r="H259" s="4">
        <v>9</v>
      </c>
      <c r="I259" s="4">
        <f>Table134[[#This Row],[اصله مستقل]]*Table134[[#This Row],[A_tree]]</f>
        <v>3726</v>
      </c>
      <c r="J259" s="4">
        <f>IF(Table134[[#This Row],[n * A_tree ]]&gt;Table134[[#This Row],[مساحت آدرس]],1,0)</f>
        <v>0</v>
      </c>
      <c r="K259" s="8">
        <f>IF(Table134[[#This Row],[check]]=1,1,Table134[[#This Row],[A_tree]]*Table134[[#This Row],[اصله مستقل]]/Table134[[#This Row],[مساحت آدرس]])</f>
        <v>0.51478308925117433</v>
      </c>
      <c r="L259" s="14">
        <f>IF(Table134[[#This Row],[check]]=1,1,(Table134[[#This Row],[Psh]]+0.15*(1-Table134[[#This Row],[Psh]])))</f>
        <v>0.58756562586349814</v>
      </c>
      <c r="M259" s="14">
        <f>IF(Table134[[#This Row],[check]]=1,0.65,1)</f>
        <v>1</v>
      </c>
      <c r="N259" s="4">
        <v>1</v>
      </c>
      <c r="O259" s="4">
        <f>IF(Table134[[#This Row],[check]]=1,Table134[[#This Row],[مساحت آدرس]]*Table134[[#This Row],[A0 Inc]],Table134[[#This Row],[A_tree]]*Table134[[#This Row],[اصله مستقل]])</f>
        <v>3726</v>
      </c>
      <c r="P259" s="11">
        <f>IF(Table134[[#This Row],[check]]=1,Table134[[#This Row],[A0]]/Table134[[#This Row],[اصله مستقل]],Table134[[#This Row],[A_tree]])</f>
        <v>9</v>
      </c>
    </row>
    <row r="260" spans="2:16" ht="18.600000000000001" x14ac:dyDescent="0.3">
      <c r="B260" s="4" t="s">
        <v>327</v>
      </c>
      <c r="C260" s="4">
        <v>11</v>
      </c>
      <c r="D260" s="4">
        <v>1</v>
      </c>
      <c r="E260" s="4">
        <v>11</v>
      </c>
      <c r="F260" s="4">
        <v>203</v>
      </c>
      <c r="G260" s="2" t="s">
        <v>62</v>
      </c>
      <c r="H260" s="4">
        <v>9</v>
      </c>
      <c r="I260" s="4">
        <f>Table134[[#This Row],[اصله مستقل]]*Table134[[#This Row],[A_tree]]</f>
        <v>9</v>
      </c>
      <c r="J260" s="4">
        <f>IF(Table134[[#This Row],[n * A_tree ]]&gt;Table134[[#This Row],[مساحت آدرس]],1,0)</f>
        <v>0</v>
      </c>
      <c r="K260" s="8">
        <f>IF(Table134[[#This Row],[check]]=1,1,Table134[[#This Row],[A_tree]]*Table134[[#This Row],[اصله مستقل]]/Table134[[#This Row],[مساحت آدرس]])</f>
        <v>4.4334975369458129E-2</v>
      </c>
      <c r="L260" s="14">
        <f>IF(Table134[[#This Row],[check]]=1,1,(Table134[[#This Row],[Psh]]+0.15*(1-Table134[[#This Row],[Psh]])))</f>
        <v>0.18768472906403941</v>
      </c>
      <c r="M260" s="14">
        <f>IF(Table134[[#This Row],[check]]=1,0.65,1)</f>
        <v>1</v>
      </c>
      <c r="N260" s="4">
        <v>1</v>
      </c>
      <c r="O260" s="4">
        <f>IF(Table134[[#This Row],[check]]=1,Table134[[#This Row],[مساحت آدرس]]*Table134[[#This Row],[A0 Inc]],Table134[[#This Row],[A_tree]]*Table134[[#This Row],[اصله مستقل]])</f>
        <v>9</v>
      </c>
      <c r="P260" s="11">
        <f>IF(Table134[[#This Row],[check]]=1,Table134[[#This Row],[A0]]/Table134[[#This Row],[اصله مستقل]],Table134[[#This Row],[A_tree]])</f>
        <v>9</v>
      </c>
    </row>
    <row r="261" spans="2:16" ht="18.600000000000001" x14ac:dyDescent="0.3">
      <c r="B261" s="4" t="s">
        <v>328</v>
      </c>
      <c r="C261" s="4">
        <v>4914</v>
      </c>
      <c r="D261" s="4">
        <v>4914</v>
      </c>
      <c r="E261" s="4">
        <v>12600</v>
      </c>
      <c r="F261" s="4">
        <v>16100</v>
      </c>
      <c r="G261" s="2" t="s">
        <v>62</v>
      </c>
      <c r="H261" s="4">
        <v>9</v>
      </c>
      <c r="I261" s="4">
        <f>Table134[[#This Row],[اصله مستقل]]*Table134[[#This Row],[A_tree]]</f>
        <v>44226</v>
      </c>
      <c r="J261" s="4">
        <f>IF(Table134[[#This Row],[n * A_tree ]]&gt;Table134[[#This Row],[مساحت آدرس]],1,0)</f>
        <v>1</v>
      </c>
      <c r="K261" s="8">
        <f>IF(Table134[[#This Row],[check]]=1,1,Table134[[#This Row],[A_tree]]*Table134[[#This Row],[اصله مستقل]]/Table134[[#This Row],[مساحت آدرس]])</f>
        <v>1</v>
      </c>
      <c r="L261" s="14">
        <f>IF(Table134[[#This Row],[check]]=1,1,(Table134[[#This Row],[Psh]]+0.15*(1-Table134[[#This Row],[Psh]])))</f>
        <v>1</v>
      </c>
      <c r="M261" s="14">
        <f>IF(Table134[[#This Row],[check]]=1,0.65,1)</f>
        <v>0.65</v>
      </c>
      <c r="N261" s="4">
        <v>1</v>
      </c>
      <c r="O261" s="4">
        <f>IF(Table134[[#This Row],[check]]=1,Table134[[#This Row],[مساحت آدرس]]*Table134[[#This Row],[A0 Inc]],Table134[[#This Row],[A_tree]]*Table134[[#This Row],[اصله مستقل]])</f>
        <v>16100</v>
      </c>
      <c r="P261" s="11">
        <f>IF(Table134[[#This Row],[check]]=1,Table134[[#This Row],[A0]]/Table134[[#This Row],[اصله مستقل]],Table134[[#This Row],[A_tree]])</f>
        <v>3.2763532763532766</v>
      </c>
    </row>
    <row r="262" spans="2:16" ht="18.600000000000001" x14ac:dyDescent="0.3">
      <c r="B262" s="4" t="s">
        <v>329</v>
      </c>
      <c r="C262" s="4">
        <v>708</v>
      </c>
      <c r="D262" s="4">
        <v>708</v>
      </c>
      <c r="E262" s="4">
        <v>5000</v>
      </c>
      <c r="F262" s="4">
        <v>8040</v>
      </c>
      <c r="G262" s="2" t="s">
        <v>66</v>
      </c>
      <c r="H262" s="4">
        <v>9</v>
      </c>
      <c r="I262" s="4">
        <f>Table134[[#This Row],[اصله مستقل]]*Table134[[#This Row],[A_tree]]</f>
        <v>6372</v>
      </c>
      <c r="J262" s="4">
        <f>IF(Table134[[#This Row],[n * A_tree ]]&gt;Table134[[#This Row],[مساحت آدرس]],1,0)</f>
        <v>0</v>
      </c>
      <c r="K262" s="8">
        <f>IF(Table134[[#This Row],[check]]=1,1,Table134[[#This Row],[A_tree]]*Table134[[#This Row],[اصله مستقل]]/Table134[[#This Row],[مساحت آدرس]])</f>
        <v>0.79253731343283584</v>
      </c>
      <c r="L262" s="14">
        <f>IF(Table134[[#This Row],[check]]=1,1,(Table134[[#This Row],[Psh]]+0.15*(1-Table134[[#This Row],[Psh]])))</f>
        <v>0.82365671641791049</v>
      </c>
      <c r="M262" s="14">
        <f>IF(Table134[[#This Row],[check]]=1,0.65,1)</f>
        <v>1</v>
      </c>
      <c r="N262" s="4">
        <v>1</v>
      </c>
      <c r="O262" s="4">
        <f>IF(Table134[[#This Row],[check]]=1,Table134[[#This Row],[مساحت آدرس]]*Table134[[#This Row],[A0 Inc]],Table134[[#This Row],[A_tree]]*Table134[[#This Row],[اصله مستقل]])</f>
        <v>6372</v>
      </c>
      <c r="P262" s="11">
        <f>IF(Table134[[#This Row],[check]]=1,Table134[[#This Row],[A0]]/Table134[[#This Row],[اصله مستقل]],Table134[[#This Row],[A_tree]])</f>
        <v>9</v>
      </c>
    </row>
    <row r="263" spans="2:16" ht="18.600000000000001" x14ac:dyDescent="0.3">
      <c r="B263" s="4" t="s">
        <v>330</v>
      </c>
      <c r="C263" s="4">
        <v>315</v>
      </c>
      <c r="D263" s="4">
        <v>15</v>
      </c>
      <c r="E263" s="4">
        <v>15</v>
      </c>
      <c r="F263" s="4">
        <v>6019</v>
      </c>
      <c r="G263" s="2" t="s">
        <v>3</v>
      </c>
      <c r="H263" s="4">
        <v>9</v>
      </c>
      <c r="I263" s="4">
        <f>Table134[[#This Row],[اصله مستقل]]*Table134[[#This Row],[A_tree]]</f>
        <v>135</v>
      </c>
      <c r="J263" s="4">
        <f>IF(Table134[[#This Row],[n * A_tree ]]&gt;Table134[[#This Row],[مساحت آدرس]],1,0)</f>
        <v>0</v>
      </c>
      <c r="K263" s="8">
        <f>IF(Table134[[#This Row],[check]]=1,1,Table134[[#This Row],[A_tree]]*Table134[[#This Row],[اصله مستقل]]/Table134[[#This Row],[مساحت آدرس]])</f>
        <v>2.242897491277621E-2</v>
      </c>
      <c r="L263" s="14">
        <f>IF(Table134[[#This Row],[check]]=1,1,(Table134[[#This Row],[Psh]]+0.15*(1-Table134[[#This Row],[Psh]])))</f>
        <v>0.16906462867585978</v>
      </c>
      <c r="M263" s="14">
        <f>IF(Table134[[#This Row],[check]]=1,0.65,1)</f>
        <v>1</v>
      </c>
      <c r="N263" s="4">
        <v>1</v>
      </c>
      <c r="O263" s="4">
        <f>IF(Table134[[#This Row],[check]]=1,Table134[[#This Row],[مساحت آدرس]]*Table134[[#This Row],[A0 Inc]],Table134[[#This Row],[A_tree]]*Table134[[#This Row],[اصله مستقل]])</f>
        <v>135</v>
      </c>
      <c r="P263" s="11">
        <f>IF(Table134[[#This Row],[check]]=1,Table134[[#This Row],[A0]]/Table134[[#This Row],[اصله مستقل]],Table134[[#This Row],[A_tree]])</f>
        <v>9</v>
      </c>
    </row>
    <row r="264" spans="2:16" ht="18.600000000000001" x14ac:dyDescent="0.3">
      <c r="B264" s="4" t="s">
        <v>334</v>
      </c>
      <c r="C264" s="4">
        <v>115</v>
      </c>
      <c r="D264" s="4">
        <v>262</v>
      </c>
      <c r="E264" s="4">
        <v>395</v>
      </c>
      <c r="F264" s="4">
        <v>795</v>
      </c>
      <c r="G264" s="2" t="s">
        <v>21</v>
      </c>
      <c r="H264" s="4">
        <v>9</v>
      </c>
      <c r="I264" s="4">
        <f>Table134[[#This Row],[اصله مستقل]]*Table134[[#This Row],[A_tree]]</f>
        <v>2358</v>
      </c>
      <c r="J264" s="4">
        <f>IF(Table134[[#This Row],[n * A_tree ]]&gt;Table134[[#This Row],[مساحت آدرس]],1,0)</f>
        <v>1</v>
      </c>
      <c r="K264" s="8">
        <f>IF(Table134[[#This Row],[check]]=1,1,Table134[[#This Row],[A_tree]]*Table134[[#This Row],[اصله مستقل]]/Table134[[#This Row],[مساحت آدرس]])</f>
        <v>1</v>
      </c>
      <c r="L264" s="14">
        <f>IF(Table134[[#This Row],[check]]=1,1,(Table134[[#This Row],[Psh]]+0.15*(1-Table134[[#This Row],[Psh]])))</f>
        <v>1</v>
      </c>
      <c r="M264" s="14">
        <f>IF(Table134[[#This Row],[check]]=1,0.65,1)</f>
        <v>0.65</v>
      </c>
      <c r="N264" s="4">
        <v>1</v>
      </c>
      <c r="O264" s="4">
        <f>IF(Table134[[#This Row],[check]]=1,Table134[[#This Row],[مساحت آدرس]]*Table134[[#This Row],[A0 Inc]],Table134[[#This Row],[A_tree]]*Table134[[#This Row],[اصله مستقل]])</f>
        <v>795</v>
      </c>
      <c r="P264" s="11">
        <f>IF(Table134[[#This Row],[check]]=1,Table134[[#This Row],[A0]]/Table134[[#This Row],[اصله مستقل]],Table134[[#This Row],[A_tree]])</f>
        <v>3.0343511450381677</v>
      </c>
    </row>
    <row r="265" spans="2:16" ht="18.600000000000001" x14ac:dyDescent="0.3">
      <c r="B265" s="4" t="s">
        <v>335</v>
      </c>
      <c r="C265" s="4">
        <v>610</v>
      </c>
      <c r="D265" s="4">
        <v>90</v>
      </c>
      <c r="E265" s="4">
        <v>90</v>
      </c>
      <c r="F265" s="4">
        <v>2490</v>
      </c>
      <c r="G265" s="2" t="s">
        <v>21</v>
      </c>
      <c r="H265" s="4">
        <v>9</v>
      </c>
      <c r="I265" s="4">
        <f>Table134[[#This Row],[اصله مستقل]]*Table134[[#This Row],[A_tree]]</f>
        <v>810</v>
      </c>
      <c r="J265" s="4">
        <f>IF(Table134[[#This Row],[n * A_tree ]]&gt;Table134[[#This Row],[مساحت آدرس]],1,0)</f>
        <v>0</v>
      </c>
      <c r="K265" s="8">
        <f>IF(Table134[[#This Row],[check]]=1,1,Table134[[#This Row],[A_tree]]*Table134[[#This Row],[اصله مستقل]]/Table134[[#This Row],[مساحت آدرس]])</f>
        <v>0.3253012048192771</v>
      </c>
      <c r="L265" s="14">
        <f>IF(Table134[[#This Row],[check]]=1,1,(Table134[[#This Row],[Psh]]+0.15*(1-Table134[[#This Row],[Psh]])))</f>
        <v>0.42650602409638549</v>
      </c>
      <c r="M265" s="14">
        <f>IF(Table134[[#This Row],[check]]=1,0.65,1)</f>
        <v>1</v>
      </c>
      <c r="N265" s="4">
        <v>1</v>
      </c>
      <c r="O265" s="4">
        <f>IF(Table134[[#This Row],[check]]=1,Table134[[#This Row],[مساحت آدرس]]*Table134[[#This Row],[A0 Inc]],Table134[[#This Row],[A_tree]]*Table134[[#This Row],[اصله مستقل]])</f>
        <v>810</v>
      </c>
      <c r="P265" s="11">
        <f>IF(Table134[[#This Row],[check]]=1,Table134[[#This Row],[A0]]/Table134[[#This Row],[اصله مستقل]],Table134[[#This Row],[A_tree]])</f>
        <v>9</v>
      </c>
    </row>
    <row r="266" spans="2:16" ht="18.600000000000001" x14ac:dyDescent="0.3">
      <c r="B266" s="4" t="s">
        <v>336</v>
      </c>
      <c r="C266" s="4">
        <v>300</v>
      </c>
      <c r="D266" s="4">
        <v>371</v>
      </c>
      <c r="E266" s="4">
        <v>371</v>
      </c>
      <c r="F266" s="4">
        <v>1771</v>
      </c>
      <c r="G266" s="2" t="s">
        <v>21</v>
      </c>
      <c r="H266" s="4">
        <v>9</v>
      </c>
      <c r="I266" s="4">
        <f>Table134[[#This Row],[اصله مستقل]]*Table134[[#This Row],[A_tree]]</f>
        <v>3339</v>
      </c>
      <c r="J266" s="4">
        <f>IF(Table134[[#This Row],[n * A_tree ]]&gt;Table134[[#This Row],[مساحت آدرس]],1,0)</f>
        <v>1</v>
      </c>
      <c r="K266" s="8">
        <f>IF(Table134[[#This Row],[check]]=1,1,Table134[[#This Row],[A_tree]]*Table134[[#This Row],[اصله مستقل]]/Table134[[#This Row],[مساحت آدرس]])</f>
        <v>1</v>
      </c>
      <c r="L266" s="14">
        <f>IF(Table134[[#This Row],[check]]=1,1,(Table134[[#This Row],[Psh]]+0.15*(1-Table134[[#This Row],[Psh]])))</f>
        <v>1</v>
      </c>
      <c r="M266" s="14">
        <f>IF(Table134[[#This Row],[check]]=1,0.65,1)</f>
        <v>0.65</v>
      </c>
      <c r="N266" s="4">
        <v>1</v>
      </c>
      <c r="O266" s="4">
        <f>IF(Table134[[#This Row],[check]]=1,Table134[[#This Row],[مساحت آدرس]]*Table134[[#This Row],[A0 Inc]],Table134[[#This Row],[A_tree]]*Table134[[#This Row],[اصله مستقل]])</f>
        <v>1771</v>
      </c>
      <c r="P266" s="11">
        <f>IF(Table134[[#This Row],[check]]=1,Table134[[#This Row],[A0]]/Table134[[#This Row],[اصله مستقل]],Table134[[#This Row],[A_tree]])</f>
        <v>4.7735849056603774</v>
      </c>
    </row>
    <row r="267" spans="2:16" ht="18.600000000000001" x14ac:dyDescent="0.3">
      <c r="B267" s="4" t="s">
        <v>337</v>
      </c>
      <c r="C267" s="4">
        <v>100</v>
      </c>
      <c r="D267" s="4">
        <v>100</v>
      </c>
      <c r="E267" s="4">
        <v>100</v>
      </c>
      <c r="F267" s="4">
        <v>100</v>
      </c>
      <c r="G267" s="2" t="s">
        <v>62</v>
      </c>
      <c r="H267" s="4">
        <v>9</v>
      </c>
      <c r="I267" s="4">
        <f>Table134[[#This Row],[اصله مستقل]]*Table134[[#This Row],[A_tree]]</f>
        <v>900</v>
      </c>
      <c r="J267" s="4">
        <f>IF(Table134[[#This Row],[n * A_tree ]]&gt;Table134[[#This Row],[مساحت آدرس]],1,0)</f>
        <v>1</v>
      </c>
      <c r="K267" s="8">
        <f>IF(Table134[[#This Row],[check]]=1,1,Table134[[#This Row],[A_tree]]*Table134[[#This Row],[اصله مستقل]]/Table134[[#This Row],[مساحت آدرس]])</f>
        <v>1</v>
      </c>
      <c r="L267" s="14">
        <f>IF(Table134[[#This Row],[check]]=1,1,(Table134[[#This Row],[Psh]]+0.15*(1-Table134[[#This Row],[Psh]])))</f>
        <v>1</v>
      </c>
      <c r="M267" s="14">
        <f>IF(Table134[[#This Row],[check]]=1,0.65,1)</f>
        <v>0.65</v>
      </c>
      <c r="N267" s="4">
        <v>1</v>
      </c>
      <c r="O267" s="4">
        <f>IF(Table134[[#This Row],[check]]=1,Table134[[#This Row],[مساحت آدرس]]*Table134[[#This Row],[A0 Inc]],Table134[[#This Row],[A_tree]]*Table134[[#This Row],[اصله مستقل]])</f>
        <v>100</v>
      </c>
      <c r="P267" s="11">
        <f>IF(Table134[[#This Row],[check]]=1,Table134[[#This Row],[A0]]/Table134[[#This Row],[اصله مستقل]],Table134[[#This Row],[A_tree]])</f>
        <v>1</v>
      </c>
    </row>
    <row r="268" spans="2:16" ht="18.600000000000001" x14ac:dyDescent="0.3">
      <c r="B268" s="4" t="s">
        <v>338</v>
      </c>
      <c r="C268" s="4">
        <v>35</v>
      </c>
      <c r="D268" s="4">
        <v>33</v>
      </c>
      <c r="E268" s="4">
        <v>50</v>
      </c>
      <c r="F268" s="4">
        <v>314</v>
      </c>
      <c r="G268" s="2" t="s">
        <v>62</v>
      </c>
      <c r="H268" s="4">
        <v>9</v>
      </c>
      <c r="I268" s="4">
        <f>Table134[[#This Row],[اصله مستقل]]*Table134[[#This Row],[A_tree]]</f>
        <v>297</v>
      </c>
      <c r="J268" s="4">
        <f>IF(Table134[[#This Row],[n * A_tree ]]&gt;Table134[[#This Row],[مساحت آدرس]],1,0)</f>
        <v>0</v>
      </c>
      <c r="K268" s="8">
        <f>IF(Table134[[#This Row],[check]]=1,1,Table134[[#This Row],[A_tree]]*Table134[[#This Row],[اصله مستقل]]/Table134[[#This Row],[مساحت آدرس]])</f>
        <v>0.94585987261146498</v>
      </c>
      <c r="L268" s="14">
        <f>IF(Table134[[#This Row],[check]]=1,1,(Table134[[#This Row],[Psh]]+0.15*(1-Table134[[#This Row],[Psh]])))</f>
        <v>0.95398089171974521</v>
      </c>
      <c r="M268" s="14">
        <f>IF(Table134[[#This Row],[check]]=1,0.65,1)</f>
        <v>1</v>
      </c>
      <c r="N268" s="4">
        <v>1</v>
      </c>
      <c r="O268" s="4">
        <f>IF(Table134[[#This Row],[check]]=1,Table134[[#This Row],[مساحت آدرس]]*Table134[[#This Row],[A0 Inc]],Table134[[#This Row],[A_tree]]*Table134[[#This Row],[اصله مستقل]])</f>
        <v>297</v>
      </c>
      <c r="P268" s="11">
        <f>IF(Table134[[#This Row],[check]]=1,Table134[[#This Row],[A0]]/Table134[[#This Row],[اصله مستقل]],Table134[[#This Row],[A_tree]])</f>
        <v>9</v>
      </c>
    </row>
    <row r="269" spans="2:16" ht="18.600000000000001" x14ac:dyDescent="0.3">
      <c r="B269" s="4" t="s">
        <v>340</v>
      </c>
      <c r="C269" s="4">
        <v>1016</v>
      </c>
      <c r="D269" s="4">
        <v>562</v>
      </c>
      <c r="E269" s="4">
        <v>7207</v>
      </c>
      <c r="F269" s="4">
        <v>11421</v>
      </c>
      <c r="G269" s="2" t="s">
        <v>66</v>
      </c>
      <c r="H269" s="4">
        <v>9</v>
      </c>
      <c r="I269" s="4">
        <f>Table134[[#This Row],[اصله مستقل]]*Table134[[#This Row],[A_tree]]</f>
        <v>5058</v>
      </c>
      <c r="J269" s="4">
        <f>IF(Table134[[#This Row],[n * A_tree ]]&gt;Table134[[#This Row],[مساحت آدرس]],1,0)</f>
        <v>0</v>
      </c>
      <c r="K269" s="8">
        <f>IF(Table134[[#This Row],[check]]=1,1,Table134[[#This Row],[A_tree]]*Table134[[#This Row],[اصله مستقل]]/Table134[[#This Row],[مساحت آدرس]])</f>
        <v>0.4428684003152088</v>
      </c>
      <c r="L269" s="14">
        <f>IF(Table134[[#This Row],[check]]=1,1,(Table134[[#This Row],[Psh]]+0.15*(1-Table134[[#This Row],[Psh]])))</f>
        <v>0.52643814026792746</v>
      </c>
      <c r="M269" s="14">
        <f>IF(Table134[[#This Row],[check]]=1,0.65,1)</f>
        <v>1</v>
      </c>
      <c r="N269" s="4">
        <v>1</v>
      </c>
      <c r="O269" s="4">
        <f>IF(Table134[[#This Row],[check]]=1,Table134[[#This Row],[مساحت آدرس]]*Table134[[#This Row],[A0 Inc]],Table134[[#This Row],[A_tree]]*Table134[[#This Row],[اصله مستقل]])</f>
        <v>5058</v>
      </c>
      <c r="P269" s="11">
        <f>IF(Table134[[#This Row],[check]]=1,Table134[[#This Row],[A0]]/Table134[[#This Row],[اصله مستقل]],Table134[[#This Row],[A_tree]])</f>
        <v>9</v>
      </c>
    </row>
    <row r="270" spans="2:16" ht="18.600000000000001" x14ac:dyDescent="0.3">
      <c r="B270" s="4" t="s">
        <v>343</v>
      </c>
      <c r="C270" s="4">
        <v>1321</v>
      </c>
      <c r="D270" s="4">
        <v>891</v>
      </c>
      <c r="E270" s="4">
        <v>8019</v>
      </c>
      <c r="F270" s="4">
        <v>23223</v>
      </c>
      <c r="G270" s="2" t="s">
        <v>3</v>
      </c>
      <c r="H270" s="4">
        <v>9</v>
      </c>
      <c r="I270" s="4">
        <f>Table134[[#This Row],[اصله مستقل]]*Table134[[#This Row],[A_tree]]</f>
        <v>8019</v>
      </c>
      <c r="J270" s="4">
        <f>IF(Table134[[#This Row],[n * A_tree ]]&gt;Table134[[#This Row],[مساحت آدرس]],1,0)</f>
        <v>0</v>
      </c>
      <c r="K270" s="8">
        <f>IF(Table134[[#This Row],[check]]=1,1,Table134[[#This Row],[A_tree]]*Table134[[#This Row],[اصله مستقل]]/Table134[[#This Row],[مساحت آدرس]])</f>
        <v>0.34530422426043145</v>
      </c>
      <c r="L270" s="14">
        <f>IF(Table134[[#This Row],[check]]=1,1,(Table134[[#This Row],[Psh]]+0.15*(1-Table134[[#This Row],[Psh]])))</f>
        <v>0.44350859062136672</v>
      </c>
      <c r="M270" s="14">
        <f>IF(Table134[[#This Row],[check]]=1,0.65,1)</f>
        <v>1</v>
      </c>
      <c r="N270" s="4">
        <v>1</v>
      </c>
      <c r="O270" s="4">
        <f>IF(Table134[[#This Row],[check]]=1,Table134[[#This Row],[مساحت آدرس]]*Table134[[#This Row],[A0 Inc]],Table134[[#This Row],[A_tree]]*Table134[[#This Row],[اصله مستقل]])</f>
        <v>8019</v>
      </c>
      <c r="P270" s="11">
        <f>IF(Table134[[#This Row],[check]]=1,Table134[[#This Row],[A0]]/Table134[[#This Row],[اصله مستقل]],Table134[[#This Row],[A_tree]])</f>
        <v>9</v>
      </c>
    </row>
    <row r="271" spans="2:16" ht="18.600000000000001" x14ac:dyDescent="0.3">
      <c r="B271" s="4" t="s">
        <v>344</v>
      </c>
      <c r="C271" s="4">
        <v>218</v>
      </c>
      <c r="D271" s="4">
        <v>182</v>
      </c>
      <c r="E271" s="4">
        <v>685</v>
      </c>
      <c r="F271" s="4">
        <v>5558</v>
      </c>
      <c r="G271" s="2" t="s">
        <v>3</v>
      </c>
      <c r="H271" s="4">
        <v>9</v>
      </c>
      <c r="I271" s="4">
        <f>Table134[[#This Row],[اصله مستقل]]*Table134[[#This Row],[A_tree]]</f>
        <v>1638</v>
      </c>
      <c r="J271" s="4">
        <f>IF(Table134[[#This Row],[n * A_tree ]]&gt;Table134[[#This Row],[مساحت آدرس]],1,0)</f>
        <v>0</v>
      </c>
      <c r="K271" s="8">
        <f>IF(Table134[[#This Row],[check]]=1,1,Table134[[#This Row],[A_tree]]*Table134[[#This Row],[اصله مستقل]]/Table134[[#This Row],[مساحت آدرس]])</f>
        <v>0.29471032745591941</v>
      </c>
      <c r="L271" s="14">
        <f>IF(Table134[[#This Row],[check]]=1,1,(Table134[[#This Row],[Psh]]+0.15*(1-Table134[[#This Row],[Psh]])))</f>
        <v>0.40050377833753148</v>
      </c>
      <c r="M271" s="14">
        <f>IF(Table134[[#This Row],[check]]=1,0.65,1)</f>
        <v>1</v>
      </c>
      <c r="N271" s="4">
        <v>1</v>
      </c>
      <c r="O271" s="4">
        <f>IF(Table134[[#This Row],[check]]=1,Table134[[#This Row],[مساحت آدرس]]*Table134[[#This Row],[A0 Inc]],Table134[[#This Row],[A_tree]]*Table134[[#This Row],[اصله مستقل]])</f>
        <v>1638</v>
      </c>
      <c r="P271" s="11">
        <f>IF(Table134[[#This Row],[check]]=1,Table134[[#This Row],[A0]]/Table134[[#This Row],[اصله مستقل]],Table134[[#This Row],[A_tree]])</f>
        <v>9</v>
      </c>
    </row>
    <row r="272" spans="2:16" ht="18.600000000000001" x14ac:dyDescent="0.3">
      <c r="B272" s="4" t="s">
        <v>345</v>
      </c>
      <c r="C272" s="4">
        <v>85</v>
      </c>
      <c r="D272" s="4">
        <v>86</v>
      </c>
      <c r="E272" s="4">
        <v>400</v>
      </c>
      <c r="F272" s="4">
        <v>1582</v>
      </c>
      <c r="G272" s="2" t="s">
        <v>3</v>
      </c>
      <c r="H272" s="4">
        <v>9</v>
      </c>
      <c r="I272" s="4">
        <f>Table134[[#This Row],[اصله مستقل]]*Table134[[#This Row],[A_tree]]</f>
        <v>774</v>
      </c>
      <c r="J272" s="4">
        <f>IF(Table134[[#This Row],[n * A_tree ]]&gt;Table134[[#This Row],[مساحت آدرس]],1,0)</f>
        <v>0</v>
      </c>
      <c r="K272" s="8">
        <f>IF(Table134[[#This Row],[check]]=1,1,Table134[[#This Row],[A_tree]]*Table134[[#This Row],[اصله مستقل]]/Table134[[#This Row],[مساحت آدرس]])</f>
        <v>0.48925410872313529</v>
      </c>
      <c r="L272" s="14">
        <f>IF(Table134[[#This Row],[check]]=1,1,(Table134[[#This Row],[Psh]]+0.15*(1-Table134[[#This Row],[Psh]])))</f>
        <v>0.56586599241466495</v>
      </c>
      <c r="M272" s="14">
        <f>IF(Table134[[#This Row],[check]]=1,0.65,1)</f>
        <v>1</v>
      </c>
      <c r="N272" s="4">
        <v>1</v>
      </c>
      <c r="O272" s="4">
        <f>IF(Table134[[#This Row],[check]]=1,Table134[[#This Row],[مساحت آدرس]]*Table134[[#This Row],[A0 Inc]],Table134[[#This Row],[A_tree]]*Table134[[#This Row],[اصله مستقل]])</f>
        <v>774</v>
      </c>
      <c r="P272" s="11">
        <f>IF(Table134[[#This Row],[check]]=1,Table134[[#This Row],[A0]]/Table134[[#This Row],[اصله مستقل]],Table134[[#This Row],[A_tree]])</f>
        <v>9</v>
      </c>
    </row>
    <row r="273" spans="2:16" ht="18.600000000000001" x14ac:dyDescent="0.3">
      <c r="B273" s="4" t="s">
        <v>346</v>
      </c>
      <c r="C273" s="4">
        <v>485</v>
      </c>
      <c r="D273" s="4">
        <v>495</v>
      </c>
      <c r="E273" s="4">
        <v>3300</v>
      </c>
      <c r="F273" s="4">
        <v>3350</v>
      </c>
      <c r="G273" s="2" t="s">
        <v>21</v>
      </c>
      <c r="H273" s="4">
        <v>9</v>
      </c>
      <c r="I273" s="4">
        <f>Table134[[#This Row],[اصله مستقل]]*Table134[[#This Row],[A_tree]]</f>
        <v>4455</v>
      </c>
      <c r="J273" s="4">
        <f>IF(Table134[[#This Row],[n * A_tree ]]&gt;Table134[[#This Row],[مساحت آدرس]],1,0)</f>
        <v>1</v>
      </c>
      <c r="K273" s="8">
        <f>IF(Table134[[#This Row],[check]]=1,1,Table134[[#This Row],[A_tree]]*Table134[[#This Row],[اصله مستقل]]/Table134[[#This Row],[مساحت آدرس]])</f>
        <v>1</v>
      </c>
      <c r="L273" s="14">
        <f>IF(Table134[[#This Row],[check]]=1,1,(Table134[[#This Row],[Psh]]+0.15*(1-Table134[[#This Row],[Psh]])))</f>
        <v>1</v>
      </c>
      <c r="M273" s="14">
        <f>IF(Table134[[#This Row],[check]]=1,0.65,1)</f>
        <v>0.65</v>
      </c>
      <c r="N273" s="4">
        <v>1</v>
      </c>
      <c r="O273" s="4">
        <f>IF(Table134[[#This Row],[check]]=1,Table134[[#This Row],[مساحت آدرس]]*Table134[[#This Row],[A0 Inc]],Table134[[#This Row],[A_tree]]*Table134[[#This Row],[اصله مستقل]])</f>
        <v>3350</v>
      </c>
      <c r="P273" s="11">
        <f>IF(Table134[[#This Row],[check]]=1,Table134[[#This Row],[A0]]/Table134[[#This Row],[اصله مستقل]],Table134[[#This Row],[A_tree]])</f>
        <v>6.7676767676767673</v>
      </c>
    </row>
    <row r="274" spans="2:16" ht="18.600000000000001" x14ac:dyDescent="0.3">
      <c r="B274" s="4" t="s">
        <v>347</v>
      </c>
      <c r="C274" s="4">
        <v>1679</v>
      </c>
      <c r="D274" s="4">
        <v>54</v>
      </c>
      <c r="E274" s="4">
        <v>500</v>
      </c>
      <c r="F274" s="4">
        <v>3432</v>
      </c>
      <c r="G274" s="2" t="s">
        <v>21</v>
      </c>
      <c r="H274" s="4">
        <v>9</v>
      </c>
      <c r="I274" s="4">
        <f>Table134[[#This Row],[اصله مستقل]]*Table134[[#This Row],[A_tree]]</f>
        <v>486</v>
      </c>
      <c r="J274" s="4">
        <f>IF(Table134[[#This Row],[n * A_tree ]]&gt;Table134[[#This Row],[مساحت آدرس]],1,0)</f>
        <v>0</v>
      </c>
      <c r="K274" s="8">
        <f>IF(Table134[[#This Row],[check]]=1,1,Table134[[#This Row],[A_tree]]*Table134[[#This Row],[اصله مستقل]]/Table134[[#This Row],[مساحت آدرس]])</f>
        <v>0.14160839160839161</v>
      </c>
      <c r="L274" s="14">
        <f>IF(Table134[[#This Row],[check]]=1,1,(Table134[[#This Row],[Psh]]+0.15*(1-Table134[[#This Row],[Psh]])))</f>
        <v>0.27036713286713288</v>
      </c>
      <c r="M274" s="14">
        <f>IF(Table134[[#This Row],[check]]=1,0.65,1)</f>
        <v>1</v>
      </c>
      <c r="N274" s="4">
        <v>1</v>
      </c>
      <c r="O274" s="4">
        <f>IF(Table134[[#This Row],[check]]=1,Table134[[#This Row],[مساحت آدرس]]*Table134[[#This Row],[A0 Inc]],Table134[[#This Row],[A_tree]]*Table134[[#This Row],[اصله مستقل]])</f>
        <v>486</v>
      </c>
      <c r="P274" s="11">
        <f>IF(Table134[[#This Row],[check]]=1,Table134[[#This Row],[A0]]/Table134[[#This Row],[اصله مستقل]],Table134[[#This Row],[A_tree]])</f>
        <v>9</v>
      </c>
    </row>
    <row r="275" spans="2:16" ht="18.600000000000001" x14ac:dyDescent="0.3">
      <c r="B275" s="4" t="s">
        <v>348</v>
      </c>
      <c r="C275" s="4">
        <v>1504</v>
      </c>
      <c r="D275" s="4">
        <v>510</v>
      </c>
      <c r="E275" s="4">
        <v>4900</v>
      </c>
      <c r="F275" s="4">
        <v>7830</v>
      </c>
      <c r="G275" s="2" t="s">
        <v>21</v>
      </c>
      <c r="H275" s="4">
        <v>9</v>
      </c>
      <c r="I275" s="4">
        <f>Table134[[#This Row],[اصله مستقل]]*Table134[[#This Row],[A_tree]]</f>
        <v>4590</v>
      </c>
      <c r="J275" s="4">
        <f>IF(Table134[[#This Row],[n * A_tree ]]&gt;Table134[[#This Row],[مساحت آدرس]],1,0)</f>
        <v>0</v>
      </c>
      <c r="K275" s="8">
        <f>IF(Table134[[#This Row],[check]]=1,1,Table134[[#This Row],[A_tree]]*Table134[[#This Row],[اصله مستقل]]/Table134[[#This Row],[مساحت آدرس]])</f>
        <v>0.58620689655172409</v>
      </c>
      <c r="L275" s="14">
        <f>IF(Table134[[#This Row],[check]]=1,1,(Table134[[#This Row],[Psh]]+0.15*(1-Table134[[#This Row],[Psh]])))</f>
        <v>0.64827586206896548</v>
      </c>
      <c r="M275" s="14">
        <f>IF(Table134[[#This Row],[check]]=1,0.65,1)</f>
        <v>1</v>
      </c>
      <c r="N275" s="4">
        <v>1</v>
      </c>
      <c r="O275" s="4">
        <f>IF(Table134[[#This Row],[check]]=1,Table134[[#This Row],[مساحت آدرس]]*Table134[[#This Row],[A0 Inc]],Table134[[#This Row],[A_tree]]*Table134[[#This Row],[اصله مستقل]])</f>
        <v>4590</v>
      </c>
      <c r="P275" s="11">
        <f>IF(Table134[[#This Row],[check]]=1,Table134[[#This Row],[A0]]/Table134[[#This Row],[اصله مستقل]],Table134[[#This Row],[A_tree]])</f>
        <v>9</v>
      </c>
    </row>
    <row r="276" spans="2:16" ht="18.600000000000001" x14ac:dyDescent="0.3">
      <c r="B276" s="4" t="s">
        <v>349</v>
      </c>
      <c r="C276" s="4">
        <v>791</v>
      </c>
      <c r="D276" s="4">
        <v>37</v>
      </c>
      <c r="E276" s="4">
        <v>111</v>
      </c>
      <c r="F276" s="4">
        <v>2334</v>
      </c>
      <c r="G276" s="2" t="s">
        <v>21</v>
      </c>
      <c r="H276" s="4">
        <v>9</v>
      </c>
      <c r="I276" s="4">
        <f>Table134[[#This Row],[اصله مستقل]]*Table134[[#This Row],[A_tree]]</f>
        <v>333</v>
      </c>
      <c r="J276" s="4">
        <f>IF(Table134[[#This Row],[n * A_tree ]]&gt;Table134[[#This Row],[مساحت آدرس]],1,0)</f>
        <v>0</v>
      </c>
      <c r="K276" s="8">
        <f>IF(Table134[[#This Row],[check]]=1,1,Table134[[#This Row],[A_tree]]*Table134[[#This Row],[اصله مستقل]]/Table134[[#This Row],[مساحت آدرس]])</f>
        <v>0.14267352185089974</v>
      </c>
      <c r="L276" s="14">
        <f>IF(Table134[[#This Row],[check]]=1,1,(Table134[[#This Row],[Psh]]+0.15*(1-Table134[[#This Row],[Psh]])))</f>
        <v>0.27127249357326477</v>
      </c>
      <c r="M276" s="14">
        <f>IF(Table134[[#This Row],[check]]=1,0.65,1)</f>
        <v>1</v>
      </c>
      <c r="N276" s="4">
        <v>1</v>
      </c>
      <c r="O276" s="4">
        <f>IF(Table134[[#This Row],[check]]=1,Table134[[#This Row],[مساحت آدرس]]*Table134[[#This Row],[A0 Inc]],Table134[[#This Row],[A_tree]]*Table134[[#This Row],[اصله مستقل]])</f>
        <v>333</v>
      </c>
      <c r="P276" s="11">
        <f>IF(Table134[[#This Row],[check]]=1,Table134[[#This Row],[A0]]/Table134[[#This Row],[اصله مستقل]],Table134[[#This Row],[A_tree]])</f>
        <v>9</v>
      </c>
    </row>
    <row r="277" spans="2:16" ht="18.600000000000001" x14ac:dyDescent="0.3">
      <c r="B277" s="4" t="s">
        <v>350</v>
      </c>
      <c r="C277" s="4">
        <v>1548</v>
      </c>
      <c r="D277" s="4">
        <v>127</v>
      </c>
      <c r="E277" s="4">
        <v>615</v>
      </c>
      <c r="F277" s="4">
        <v>5965</v>
      </c>
      <c r="G277" s="2" t="s">
        <v>21</v>
      </c>
      <c r="H277" s="4">
        <v>9</v>
      </c>
      <c r="I277" s="4">
        <f>Table134[[#This Row],[اصله مستقل]]*Table134[[#This Row],[A_tree]]</f>
        <v>1143</v>
      </c>
      <c r="J277" s="4">
        <f>IF(Table134[[#This Row],[n * A_tree ]]&gt;Table134[[#This Row],[مساحت آدرس]],1,0)</f>
        <v>0</v>
      </c>
      <c r="K277" s="8">
        <f>IF(Table134[[#This Row],[check]]=1,1,Table134[[#This Row],[A_tree]]*Table134[[#This Row],[اصله مستقل]]/Table134[[#This Row],[مساحت آدرس]])</f>
        <v>0.19161777032690697</v>
      </c>
      <c r="L277" s="14">
        <f>IF(Table134[[#This Row],[check]]=1,1,(Table134[[#This Row],[Psh]]+0.15*(1-Table134[[#This Row],[Psh]])))</f>
        <v>0.31287510477787095</v>
      </c>
      <c r="M277" s="14">
        <f>IF(Table134[[#This Row],[check]]=1,0.65,1)</f>
        <v>1</v>
      </c>
      <c r="N277" s="4">
        <v>1</v>
      </c>
      <c r="O277" s="4">
        <f>IF(Table134[[#This Row],[check]]=1,Table134[[#This Row],[مساحت آدرس]]*Table134[[#This Row],[A0 Inc]],Table134[[#This Row],[A_tree]]*Table134[[#This Row],[اصله مستقل]])</f>
        <v>1143</v>
      </c>
      <c r="P277" s="11">
        <f>IF(Table134[[#This Row],[check]]=1,Table134[[#This Row],[A0]]/Table134[[#This Row],[اصله مستقل]],Table134[[#This Row],[A_tree]])</f>
        <v>9</v>
      </c>
    </row>
    <row r="278" spans="2:16" ht="18.600000000000001" x14ac:dyDescent="0.3">
      <c r="B278" s="4" t="s">
        <v>351</v>
      </c>
      <c r="C278" s="4">
        <v>921</v>
      </c>
      <c r="D278" s="4">
        <v>921</v>
      </c>
      <c r="E278" s="4">
        <v>2090</v>
      </c>
      <c r="F278" s="4">
        <v>2370</v>
      </c>
      <c r="G278" s="2" t="s">
        <v>21</v>
      </c>
      <c r="H278" s="4">
        <v>9</v>
      </c>
      <c r="I278" s="4">
        <f>Table134[[#This Row],[اصله مستقل]]*Table134[[#This Row],[A_tree]]</f>
        <v>8289</v>
      </c>
      <c r="J278" s="4">
        <f>IF(Table134[[#This Row],[n * A_tree ]]&gt;Table134[[#This Row],[مساحت آدرس]],1,0)</f>
        <v>1</v>
      </c>
      <c r="K278" s="8">
        <f>IF(Table134[[#This Row],[check]]=1,1,Table134[[#This Row],[A_tree]]*Table134[[#This Row],[اصله مستقل]]/Table134[[#This Row],[مساحت آدرس]])</f>
        <v>1</v>
      </c>
      <c r="L278" s="14">
        <f>IF(Table134[[#This Row],[check]]=1,1,(Table134[[#This Row],[Psh]]+0.15*(1-Table134[[#This Row],[Psh]])))</f>
        <v>1</v>
      </c>
      <c r="M278" s="14">
        <f>IF(Table134[[#This Row],[check]]=1,0.65,1)</f>
        <v>0.65</v>
      </c>
      <c r="N278" s="4">
        <v>1</v>
      </c>
      <c r="O278" s="4">
        <f>IF(Table134[[#This Row],[check]]=1,Table134[[#This Row],[مساحت آدرس]]*Table134[[#This Row],[A0 Inc]],Table134[[#This Row],[A_tree]]*Table134[[#This Row],[اصله مستقل]])</f>
        <v>2370</v>
      </c>
      <c r="P278" s="11">
        <f>IF(Table134[[#This Row],[check]]=1,Table134[[#This Row],[A0]]/Table134[[#This Row],[اصله مستقل]],Table134[[#This Row],[A_tree]])</f>
        <v>2.5732899022801301</v>
      </c>
    </row>
    <row r="279" spans="2:16" ht="18.600000000000001" x14ac:dyDescent="0.3">
      <c r="B279" s="4" t="s">
        <v>353</v>
      </c>
      <c r="C279" s="4">
        <v>252</v>
      </c>
      <c r="D279" s="4">
        <v>245</v>
      </c>
      <c r="E279" s="4">
        <v>260</v>
      </c>
      <c r="F279" s="4">
        <v>6842</v>
      </c>
      <c r="G279" s="2" t="s">
        <v>66</v>
      </c>
      <c r="H279" s="4">
        <v>9</v>
      </c>
      <c r="I279" s="4">
        <f>Table134[[#This Row],[اصله مستقل]]*Table134[[#This Row],[A_tree]]</f>
        <v>2205</v>
      </c>
      <c r="J279" s="4">
        <f>IF(Table134[[#This Row],[n * A_tree ]]&gt;Table134[[#This Row],[مساحت آدرس]],1,0)</f>
        <v>0</v>
      </c>
      <c r="K279" s="8">
        <f>IF(Table134[[#This Row],[check]]=1,1,Table134[[#This Row],[A_tree]]*Table134[[#This Row],[اصله مستقل]]/Table134[[#This Row],[مساحت آدرس]])</f>
        <v>0.32227418883367437</v>
      </c>
      <c r="L279" s="14">
        <f>IF(Table134[[#This Row],[check]]=1,1,(Table134[[#This Row],[Psh]]+0.15*(1-Table134[[#This Row],[Psh]])))</f>
        <v>0.42393306050862323</v>
      </c>
      <c r="M279" s="14">
        <f>IF(Table134[[#This Row],[check]]=1,0.65,1)</f>
        <v>1</v>
      </c>
      <c r="N279" s="4">
        <v>1</v>
      </c>
      <c r="O279" s="4">
        <f>IF(Table134[[#This Row],[check]]=1,Table134[[#This Row],[مساحت آدرس]]*Table134[[#This Row],[A0 Inc]],Table134[[#This Row],[A_tree]]*Table134[[#This Row],[اصله مستقل]])</f>
        <v>2205</v>
      </c>
      <c r="P279" s="11">
        <f>IF(Table134[[#This Row],[check]]=1,Table134[[#This Row],[A0]]/Table134[[#This Row],[اصله مستقل]],Table134[[#This Row],[A_tree]])</f>
        <v>9</v>
      </c>
    </row>
    <row r="280" spans="2:16" ht="18.600000000000001" x14ac:dyDescent="0.3">
      <c r="B280" s="4" t="s">
        <v>365</v>
      </c>
      <c r="C280" s="4">
        <v>341</v>
      </c>
      <c r="D280" s="4">
        <v>341</v>
      </c>
      <c r="E280" s="4">
        <v>1023</v>
      </c>
      <c r="F280" s="4">
        <v>17147</v>
      </c>
      <c r="G280" s="2" t="s">
        <v>3</v>
      </c>
      <c r="H280" s="4">
        <v>9</v>
      </c>
      <c r="I280" s="4">
        <f>Table134[[#This Row],[اصله مستقل]]*Table134[[#This Row],[A_tree]]</f>
        <v>3069</v>
      </c>
      <c r="J280" s="4">
        <f>IF(Table134[[#This Row],[n * A_tree ]]&gt;Table134[[#This Row],[مساحت آدرس]],1,0)</f>
        <v>0</v>
      </c>
      <c r="K280" s="8">
        <f>IF(Table134[[#This Row],[check]]=1,1,Table134[[#This Row],[A_tree]]*Table134[[#This Row],[اصله مستقل]]/Table134[[#This Row],[مساحت آدرس]])</f>
        <v>0.17898174607803113</v>
      </c>
      <c r="L280" s="14">
        <f>IF(Table134[[#This Row],[check]]=1,1,(Table134[[#This Row],[Psh]]+0.15*(1-Table134[[#This Row],[Psh]])))</f>
        <v>0.30213448416632643</v>
      </c>
      <c r="M280" s="14">
        <f>IF(Table134[[#This Row],[check]]=1,0.65,1)</f>
        <v>1</v>
      </c>
      <c r="N280" s="4">
        <v>1</v>
      </c>
      <c r="O280" s="4">
        <f>IF(Table134[[#This Row],[check]]=1,Table134[[#This Row],[مساحت آدرس]]*Table134[[#This Row],[A0 Inc]],Table134[[#This Row],[A_tree]]*Table134[[#This Row],[اصله مستقل]])</f>
        <v>3069</v>
      </c>
      <c r="P280" s="11">
        <f>IF(Table134[[#This Row],[check]]=1,Table134[[#This Row],[A0]]/Table134[[#This Row],[اصله مستقل]],Table134[[#This Row],[A_tree]])</f>
        <v>9</v>
      </c>
    </row>
    <row r="281" spans="2:16" ht="18.600000000000001" x14ac:dyDescent="0.3">
      <c r="B281" s="4" t="s">
        <v>366</v>
      </c>
      <c r="C281" s="4">
        <v>111</v>
      </c>
      <c r="D281" s="4">
        <v>111</v>
      </c>
      <c r="E281" s="4">
        <v>111</v>
      </c>
      <c r="F281" s="4">
        <v>1081</v>
      </c>
      <c r="G281" s="2" t="s">
        <v>3</v>
      </c>
      <c r="H281" s="4">
        <v>9</v>
      </c>
      <c r="I281" s="4">
        <f>Table134[[#This Row],[اصله مستقل]]*Table134[[#This Row],[A_tree]]</f>
        <v>999</v>
      </c>
      <c r="J281" s="4">
        <f>IF(Table134[[#This Row],[n * A_tree ]]&gt;Table134[[#This Row],[مساحت آدرس]],1,0)</f>
        <v>0</v>
      </c>
      <c r="K281" s="8">
        <f>IF(Table134[[#This Row],[check]]=1,1,Table134[[#This Row],[A_tree]]*Table134[[#This Row],[اصله مستقل]]/Table134[[#This Row],[مساحت آدرس]])</f>
        <v>0.92414431082331172</v>
      </c>
      <c r="L281" s="14">
        <f>IF(Table134[[#This Row],[check]]=1,1,(Table134[[#This Row],[Psh]]+0.15*(1-Table134[[#This Row],[Psh]])))</f>
        <v>0.935522664199815</v>
      </c>
      <c r="M281" s="14">
        <f>IF(Table134[[#This Row],[check]]=1,0.65,1)</f>
        <v>1</v>
      </c>
      <c r="N281" s="4">
        <v>1</v>
      </c>
      <c r="O281" s="4">
        <f>IF(Table134[[#This Row],[check]]=1,Table134[[#This Row],[مساحت آدرس]]*Table134[[#This Row],[A0 Inc]],Table134[[#This Row],[A_tree]]*Table134[[#This Row],[اصله مستقل]])</f>
        <v>999</v>
      </c>
      <c r="P281" s="11">
        <f>IF(Table134[[#This Row],[check]]=1,Table134[[#This Row],[A0]]/Table134[[#This Row],[اصله مستقل]],Table134[[#This Row],[A_tree]])</f>
        <v>9</v>
      </c>
    </row>
    <row r="282" spans="2:16" ht="18.600000000000001" x14ac:dyDescent="0.3">
      <c r="B282" s="4" t="s">
        <v>375</v>
      </c>
      <c r="C282" s="4">
        <v>152</v>
      </c>
      <c r="D282" s="4">
        <v>152</v>
      </c>
      <c r="E282" s="4">
        <v>160</v>
      </c>
      <c r="F282" s="4">
        <v>160</v>
      </c>
      <c r="G282" s="2" t="s">
        <v>21</v>
      </c>
      <c r="H282" s="4">
        <v>9</v>
      </c>
      <c r="I282" s="4">
        <f>Table134[[#This Row],[اصله مستقل]]*Table134[[#This Row],[A_tree]]</f>
        <v>1368</v>
      </c>
      <c r="J282" s="4">
        <f>IF(Table134[[#This Row],[n * A_tree ]]&gt;Table134[[#This Row],[مساحت آدرس]],1,0)</f>
        <v>1</v>
      </c>
      <c r="K282" s="8">
        <f>IF(Table134[[#This Row],[check]]=1,1,Table134[[#This Row],[A_tree]]*Table134[[#This Row],[اصله مستقل]]/Table134[[#This Row],[مساحت آدرس]])</f>
        <v>1</v>
      </c>
      <c r="L282" s="14">
        <f>IF(Table134[[#This Row],[check]]=1,1,(Table134[[#This Row],[Psh]]+0.15*(1-Table134[[#This Row],[Psh]])))</f>
        <v>1</v>
      </c>
      <c r="M282" s="14">
        <f>IF(Table134[[#This Row],[check]]=1,0.65,1)</f>
        <v>0.65</v>
      </c>
      <c r="N282" s="4">
        <v>1</v>
      </c>
      <c r="O282" s="4">
        <f>IF(Table134[[#This Row],[check]]=1,Table134[[#This Row],[مساحت آدرس]]*Table134[[#This Row],[A0 Inc]],Table134[[#This Row],[A_tree]]*Table134[[#This Row],[اصله مستقل]])</f>
        <v>160</v>
      </c>
      <c r="P282" s="11">
        <f>IF(Table134[[#This Row],[check]]=1,Table134[[#This Row],[A0]]/Table134[[#This Row],[اصله مستقل]],Table134[[#This Row],[A_tree]])</f>
        <v>1.0526315789473684</v>
      </c>
    </row>
    <row r="283" spans="2:16" ht="18.600000000000001" x14ac:dyDescent="0.3">
      <c r="B283" s="4" t="s">
        <v>376</v>
      </c>
      <c r="C283" s="4">
        <v>168</v>
      </c>
      <c r="D283" s="4">
        <v>102</v>
      </c>
      <c r="E283" s="4">
        <v>387</v>
      </c>
      <c r="F283" s="4">
        <v>807</v>
      </c>
      <c r="G283" s="2" t="s">
        <v>21</v>
      </c>
      <c r="H283" s="4">
        <v>9</v>
      </c>
      <c r="I283" s="4">
        <f>Table134[[#This Row],[اصله مستقل]]*Table134[[#This Row],[A_tree]]</f>
        <v>918</v>
      </c>
      <c r="J283" s="4">
        <f>IF(Table134[[#This Row],[n * A_tree ]]&gt;Table134[[#This Row],[مساحت آدرس]],1,0)</f>
        <v>1</v>
      </c>
      <c r="K283" s="8">
        <f>IF(Table134[[#This Row],[check]]=1,1,Table134[[#This Row],[A_tree]]*Table134[[#This Row],[اصله مستقل]]/Table134[[#This Row],[مساحت آدرس]])</f>
        <v>1</v>
      </c>
      <c r="L283" s="14">
        <f>IF(Table134[[#This Row],[check]]=1,1,(Table134[[#This Row],[Psh]]+0.15*(1-Table134[[#This Row],[Psh]])))</f>
        <v>1</v>
      </c>
      <c r="M283" s="14">
        <f>IF(Table134[[#This Row],[check]]=1,0.65,1)</f>
        <v>0.65</v>
      </c>
      <c r="N283" s="4">
        <v>1</v>
      </c>
      <c r="O283" s="4">
        <f>IF(Table134[[#This Row],[check]]=1,Table134[[#This Row],[مساحت آدرس]]*Table134[[#This Row],[A0 Inc]],Table134[[#This Row],[A_tree]]*Table134[[#This Row],[اصله مستقل]])</f>
        <v>807</v>
      </c>
      <c r="P283" s="11">
        <f>IF(Table134[[#This Row],[check]]=1,Table134[[#This Row],[A0]]/Table134[[#This Row],[اصله مستقل]],Table134[[#This Row],[A_tree]])</f>
        <v>7.9117647058823533</v>
      </c>
    </row>
    <row r="284" spans="2:16" ht="18.600000000000001" x14ac:dyDescent="0.3">
      <c r="B284" s="4" t="s">
        <v>377</v>
      </c>
      <c r="C284" s="4">
        <v>398</v>
      </c>
      <c r="D284" s="4">
        <v>108</v>
      </c>
      <c r="E284" s="4">
        <v>108</v>
      </c>
      <c r="F284" s="4">
        <v>1008</v>
      </c>
      <c r="G284" s="2" t="s">
        <v>21</v>
      </c>
      <c r="H284" s="4">
        <v>9</v>
      </c>
      <c r="I284" s="4">
        <f>Table134[[#This Row],[اصله مستقل]]*Table134[[#This Row],[A_tree]]</f>
        <v>972</v>
      </c>
      <c r="J284" s="4">
        <f>IF(Table134[[#This Row],[n * A_tree ]]&gt;Table134[[#This Row],[مساحت آدرس]],1,0)</f>
        <v>0</v>
      </c>
      <c r="K284" s="8">
        <f>IF(Table134[[#This Row],[check]]=1,1,Table134[[#This Row],[A_tree]]*Table134[[#This Row],[اصله مستقل]]/Table134[[#This Row],[مساحت آدرس]])</f>
        <v>0.9642857142857143</v>
      </c>
      <c r="L284" s="14">
        <f>IF(Table134[[#This Row],[check]]=1,1,(Table134[[#This Row],[Psh]]+0.15*(1-Table134[[#This Row],[Psh]])))</f>
        <v>0.96964285714285714</v>
      </c>
      <c r="M284" s="14">
        <f>IF(Table134[[#This Row],[check]]=1,0.65,1)</f>
        <v>1</v>
      </c>
      <c r="N284" s="4">
        <v>1</v>
      </c>
      <c r="O284" s="4">
        <f>IF(Table134[[#This Row],[check]]=1,Table134[[#This Row],[مساحت آدرس]]*Table134[[#This Row],[A0 Inc]],Table134[[#This Row],[A_tree]]*Table134[[#This Row],[اصله مستقل]])</f>
        <v>972</v>
      </c>
      <c r="P284" s="11">
        <f>IF(Table134[[#This Row],[check]]=1,Table134[[#This Row],[A0]]/Table134[[#This Row],[اصله مستقل]],Table134[[#This Row],[A_tree]])</f>
        <v>9</v>
      </c>
    </row>
    <row r="285" spans="2:16" ht="18.600000000000001" x14ac:dyDescent="0.3">
      <c r="B285" s="4" t="s">
        <v>378</v>
      </c>
      <c r="C285" s="4">
        <v>388</v>
      </c>
      <c r="D285" s="4">
        <v>30</v>
      </c>
      <c r="E285" s="4">
        <v>30</v>
      </c>
      <c r="F285" s="4">
        <v>1310</v>
      </c>
      <c r="G285" s="2" t="s">
        <v>21</v>
      </c>
      <c r="H285" s="4">
        <v>9</v>
      </c>
      <c r="I285" s="4">
        <f>Table134[[#This Row],[اصله مستقل]]*Table134[[#This Row],[A_tree]]</f>
        <v>270</v>
      </c>
      <c r="J285" s="4">
        <f>IF(Table134[[#This Row],[n * A_tree ]]&gt;Table134[[#This Row],[مساحت آدرس]],1,0)</f>
        <v>0</v>
      </c>
      <c r="K285" s="8">
        <f>IF(Table134[[#This Row],[check]]=1,1,Table134[[#This Row],[A_tree]]*Table134[[#This Row],[اصله مستقل]]/Table134[[#This Row],[مساحت آدرس]])</f>
        <v>0.20610687022900764</v>
      </c>
      <c r="L285" s="14">
        <f>IF(Table134[[#This Row],[check]]=1,1,(Table134[[#This Row],[Psh]]+0.15*(1-Table134[[#This Row],[Psh]])))</f>
        <v>0.32519083969465651</v>
      </c>
      <c r="M285" s="14">
        <f>IF(Table134[[#This Row],[check]]=1,0.65,1)</f>
        <v>1</v>
      </c>
      <c r="N285" s="4">
        <v>1</v>
      </c>
      <c r="O285" s="4">
        <f>IF(Table134[[#This Row],[check]]=1,Table134[[#This Row],[مساحت آدرس]]*Table134[[#This Row],[A0 Inc]],Table134[[#This Row],[A_tree]]*Table134[[#This Row],[اصله مستقل]])</f>
        <v>270</v>
      </c>
      <c r="P285" s="11">
        <f>IF(Table134[[#This Row],[check]]=1,Table134[[#This Row],[A0]]/Table134[[#This Row],[اصله مستقل]],Table134[[#This Row],[A_tree]])</f>
        <v>9</v>
      </c>
    </row>
    <row r="286" spans="2:16" ht="18.600000000000001" x14ac:dyDescent="0.3">
      <c r="B286" s="4" t="s">
        <v>379</v>
      </c>
      <c r="C286" s="4">
        <v>385</v>
      </c>
      <c r="D286" s="4">
        <v>385</v>
      </c>
      <c r="E286" s="4">
        <v>385</v>
      </c>
      <c r="F286" s="4">
        <v>385</v>
      </c>
      <c r="G286" s="2" t="s">
        <v>21</v>
      </c>
      <c r="H286" s="4">
        <v>9</v>
      </c>
      <c r="I286" s="4">
        <f>Table134[[#This Row],[اصله مستقل]]*Table134[[#This Row],[A_tree]]</f>
        <v>3465</v>
      </c>
      <c r="J286" s="4">
        <f>IF(Table134[[#This Row],[n * A_tree ]]&gt;Table134[[#This Row],[مساحت آدرس]],1,0)</f>
        <v>1</v>
      </c>
      <c r="K286" s="8">
        <f>IF(Table134[[#This Row],[check]]=1,1,Table134[[#This Row],[A_tree]]*Table134[[#This Row],[اصله مستقل]]/Table134[[#This Row],[مساحت آدرس]])</f>
        <v>1</v>
      </c>
      <c r="L286" s="14">
        <f>IF(Table134[[#This Row],[check]]=1,1,(Table134[[#This Row],[Psh]]+0.15*(1-Table134[[#This Row],[Psh]])))</f>
        <v>1</v>
      </c>
      <c r="M286" s="14">
        <f>IF(Table134[[#This Row],[check]]=1,0.65,1)</f>
        <v>0.65</v>
      </c>
      <c r="N286" s="4">
        <v>1</v>
      </c>
      <c r="O286" s="4">
        <f>IF(Table134[[#This Row],[check]]=1,Table134[[#This Row],[مساحت آدرس]]*Table134[[#This Row],[A0 Inc]],Table134[[#This Row],[A_tree]]*Table134[[#This Row],[اصله مستقل]])</f>
        <v>385</v>
      </c>
      <c r="P286" s="11">
        <f>IF(Table134[[#This Row],[check]]=1,Table134[[#This Row],[A0]]/Table134[[#This Row],[اصله مستقل]],Table134[[#This Row],[A_tree]])</f>
        <v>1</v>
      </c>
    </row>
    <row r="287" spans="2:16" ht="18.600000000000001" x14ac:dyDescent="0.3">
      <c r="B287" s="4" t="s">
        <v>380</v>
      </c>
      <c r="C287" s="4">
        <v>91</v>
      </c>
      <c r="D287" s="4">
        <v>91</v>
      </c>
      <c r="E287" s="4">
        <v>300</v>
      </c>
      <c r="F287" s="4">
        <v>370</v>
      </c>
      <c r="G287" s="2" t="s">
        <v>62</v>
      </c>
      <c r="H287" s="4">
        <v>9</v>
      </c>
      <c r="I287" s="4">
        <f>Table134[[#This Row],[اصله مستقل]]*Table134[[#This Row],[A_tree]]</f>
        <v>819</v>
      </c>
      <c r="J287" s="4">
        <f>IF(Table134[[#This Row],[n * A_tree ]]&gt;Table134[[#This Row],[مساحت آدرس]],1,0)</f>
        <v>1</v>
      </c>
      <c r="K287" s="8">
        <f>IF(Table134[[#This Row],[check]]=1,1,Table134[[#This Row],[A_tree]]*Table134[[#This Row],[اصله مستقل]]/Table134[[#This Row],[مساحت آدرس]])</f>
        <v>1</v>
      </c>
      <c r="L287" s="14">
        <f>IF(Table134[[#This Row],[check]]=1,1,(Table134[[#This Row],[Psh]]+0.15*(1-Table134[[#This Row],[Psh]])))</f>
        <v>1</v>
      </c>
      <c r="M287" s="14">
        <f>IF(Table134[[#This Row],[check]]=1,0.65,1)</f>
        <v>0.65</v>
      </c>
      <c r="N287" s="4">
        <v>1</v>
      </c>
      <c r="O287" s="4">
        <f>IF(Table134[[#This Row],[check]]=1,Table134[[#This Row],[مساحت آدرس]]*Table134[[#This Row],[A0 Inc]],Table134[[#This Row],[A_tree]]*Table134[[#This Row],[اصله مستقل]])</f>
        <v>370</v>
      </c>
      <c r="P287" s="11">
        <f>IF(Table134[[#This Row],[check]]=1,Table134[[#This Row],[A0]]/Table134[[#This Row],[اصله مستقل]],Table134[[#This Row],[A_tree]])</f>
        <v>4.0659340659340657</v>
      </c>
    </row>
    <row r="288" spans="2:16" ht="18.600000000000001" x14ac:dyDescent="0.3">
      <c r="B288" s="4" t="s">
        <v>381</v>
      </c>
      <c r="C288" s="4">
        <v>135</v>
      </c>
      <c r="D288" s="4">
        <v>100</v>
      </c>
      <c r="E288" s="4">
        <v>500</v>
      </c>
      <c r="F288" s="4">
        <v>733</v>
      </c>
      <c r="G288" s="2" t="s">
        <v>62</v>
      </c>
      <c r="H288" s="4">
        <v>9</v>
      </c>
      <c r="I288" s="4">
        <f>Table134[[#This Row],[اصله مستقل]]*Table134[[#This Row],[A_tree]]</f>
        <v>900</v>
      </c>
      <c r="J288" s="4">
        <f>IF(Table134[[#This Row],[n * A_tree ]]&gt;Table134[[#This Row],[مساحت آدرس]],1,0)</f>
        <v>1</v>
      </c>
      <c r="K288" s="8">
        <f>IF(Table134[[#This Row],[check]]=1,1,Table134[[#This Row],[A_tree]]*Table134[[#This Row],[اصله مستقل]]/Table134[[#This Row],[مساحت آدرس]])</f>
        <v>1</v>
      </c>
      <c r="L288" s="14">
        <f>IF(Table134[[#This Row],[check]]=1,1,(Table134[[#This Row],[Psh]]+0.15*(1-Table134[[#This Row],[Psh]])))</f>
        <v>1</v>
      </c>
      <c r="M288" s="14">
        <f>IF(Table134[[#This Row],[check]]=1,0.65,1)</f>
        <v>0.65</v>
      </c>
      <c r="N288" s="4">
        <v>1</v>
      </c>
      <c r="O288" s="4">
        <f>IF(Table134[[#This Row],[check]]=1,Table134[[#This Row],[مساحت آدرس]]*Table134[[#This Row],[A0 Inc]],Table134[[#This Row],[A_tree]]*Table134[[#This Row],[اصله مستقل]])</f>
        <v>733</v>
      </c>
      <c r="P288" s="11">
        <f>IF(Table134[[#This Row],[check]]=1,Table134[[#This Row],[A0]]/Table134[[#This Row],[اصله مستقل]],Table134[[#This Row],[A_tree]])</f>
        <v>7.33</v>
      </c>
    </row>
    <row r="289" spans="2:16" ht="18.600000000000001" x14ac:dyDescent="0.3">
      <c r="B289" s="4" t="s">
        <v>382</v>
      </c>
      <c r="C289" s="4">
        <v>142</v>
      </c>
      <c r="D289" s="4">
        <v>90</v>
      </c>
      <c r="E289" s="4">
        <v>270</v>
      </c>
      <c r="F289" s="4">
        <v>562</v>
      </c>
      <c r="G289" s="2" t="s">
        <v>62</v>
      </c>
      <c r="H289" s="4">
        <v>9</v>
      </c>
      <c r="I289" s="4">
        <f>Table134[[#This Row],[اصله مستقل]]*Table134[[#This Row],[A_tree]]</f>
        <v>810</v>
      </c>
      <c r="J289" s="4">
        <f>IF(Table134[[#This Row],[n * A_tree ]]&gt;Table134[[#This Row],[مساحت آدرس]],1,0)</f>
        <v>1</v>
      </c>
      <c r="K289" s="8">
        <f>IF(Table134[[#This Row],[check]]=1,1,Table134[[#This Row],[A_tree]]*Table134[[#This Row],[اصله مستقل]]/Table134[[#This Row],[مساحت آدرس]])</f>
        <v>1</v>
      </c>
      <c r="L289" s="14">
        <f>IF(Table134[[#This Row],[check]]=1,1,(Table134[[#This Row],[Psh]]+0.15*(1-Table134[[#This Row],[Psh]])))</f>
        <v>1</v>
      </c>
      <c r="M289" s="14">
        <f>IF(Table134[[#This Row],[check]]=1,0.65,1)</f>
        <v>0.65</v>
      </c>
      <c r="N289" s="4">
        <v>1</v>
      </c>
      <c r="O289" s="4">
        <f>IF(Table134[[#This Row],[check]]=1,Table134[[#This Row],[مساحت آدرس]]*Table134[[#This Row],[A0 Inc]],Table134[[#This Row],[A_tree]]*Table134[[#This Row],[اصله مستقل]])</f>
        <v>562</v>
      </c>
      <c r="P289" s="11">
        <f>IF(Table134[[#This Row],[check]]=1,Table134[[#This Row],[A0]]/Table134[[#This Row],[اصله مستقل]],Table134[[#This Row],[A_tree]])</f>
        <v>6.2444444444444445</v>
      </c>
    </row>
    <row r="290" spans="2:16" ht="18.600000000000001" x14ac:dyDescent="0.3">
      <c r="B290" s="4" t="s">
        <v>383</v>
      </c>
      <c r="C290" s="4">
        <v>77</v>
      </c>
      <c r="D290" s="4">
        <v>77</v>
      </c>
      <c r="E290" s="4">
        <v>433</v>
      </c>
      <c r="F290" s="4">
        <v>433</v>
      </c>
      <c r="G290" s="2" t="s">
        <v>62</v>
      </c>
      <c r="H290" s="4">
        <v>9</v>
      </c>
      <c r="I290" s="4">
        <f>Table134[[#This Row],[اصله مستقل]]*Table134[[#This Row],[A_tree]]</f>
        <v>693</v>
      </c>
      <c r="J290" s="4">
        <f>IF(Table134[[#This Row],[n * A_tree ]]&gt;Table134[[#This Row],[مساحت آدرس]],1,0)</f>
        <v>1</v>
      </c>
      <c r="K290" s="8">
        <f>IF(Table134[[#This Row],[check]]=1,1,Table134[[#This Row],[A_tree]]*Table134[[#This Row],[اصله مستقل]]/Table134[[#This Row],[مساحت آدرس]])</f>
        <v>1</v>
      </c>
      <c r="L290" s="14">
        <f>IF(Table134[[#This Row],[check]]=1,1,(Table134[[#This Row],[Psh]]+0.15*(1-Table134[[#This Row],[Psh]])))</f>
        <v>1</v>
      </c>
      <c r="M290" s="14">
        <f>IF(Table134[[#This Row],[check]]=1,0.65,1)</f>
        <v>0.65</v>
      </c>
      <c r="N290" s="4">
        <v>1</v>
      </c>
      <c r="O290" s="4">
        <f>IF(Table134[[#This Row],[check]]=1,Table134[[#This Row],[مساحت آدرس]]*Table134[[#This Row],[A0 Inc]],Table134[[#This Row],[A_tree]]*Table134[[#This Row],[اصله مستقل]])</f>
        <v>433</v>
      </c>
      <c r="P290" s="11">
        <f>IF(Table134[[#This Row],[check]]=1,Table134[[#This Row],[A0]]/Table134[[#This Row],[اصله مستقل]],Table134[[#This Row],[A_tree]])</f>
        <v>5.6233766233766236</v>
      </c>
    </row>
    <row r="291" spans="2:16" ht="18.600000000000001" x14ac:dyDescent="0.3">
      <c r="B291" s="4" t="s">
        <v>386</v>
      </c>
      <c r="C291" s="4">
        <v>183</v>
      </c>
      <c r="D291" s="4">
        <v>43</v>
      </c>
      <c r="E291" s="4">
        <v>172</v>
      </c>
      <c r="F291" s="4">
        <v>1792</v>
      </c>
      <c r="G291" s="2" t="s">
        <v>3</v>
      </c>
      <c r="H291" s="4">
        <v>9</v>
      </c>
      <c r="I291" s="4">
        <f>Table134[[#This Row],[اصله مستقل]]*Table134[[#This Row],[A_tree]]</f>
        <v>387</v>
      </c>
      <c r="J291" s="4">
        <f>IF(Table134[[#This Row],[n * A_tree ]]&gt;Table134[[#This Row],[مساحت آدرس]],1,0)</f>
        <v>0</v>
      </c>
      <c r="K291" s="8">
        <f>IF(Table134[[#This Row],[check]]=1,1,Table134[[#This Row],[A_tree]]*Table134[[#This Row],[اصله مستقل]]/Table134[[#This Row],[مساحت آدرس]])</f>
        <v>0.21595982142857142</v>
      </c>
      <c r="L291" s="14">
        <f>IF(Table134[[#This Row],[check]]=1,1,(Table134[[#This Row],[Psh]]+0.15*(1-Table134[[#This Row],[Psh]])))</f>
        <v>0.3335658482142857</v>
      </c>
      <c r="M291" s="14">
        <f>IF(Table134[[#This Row],[check]]=1,0.65,1)</f>
        <v>1</v>
      </c>
      <c r="N291" s="4">
        <v>1</v>
      </c>
      <c r="O291" s="4">
        <f>IF(Table134[[#This Row],[check]]=1,Table134[[#This Row],[مساحت آدرس]]*Table134[[#This Row],[A0 Inc]],Table134[[#This Row],[A_tree]]*Table134[[#This Row],[اصله مستقل]])</f>
        <v>387</v>
      </c>
      <c r="P291" s="11">
        <f>IF(Table134[[#This Row],[check]]=1,Table134[[#This Row],[A0]]/Table134[[#This Row],[اصله مستقل]],Table134[[#This Row],[A_tree]])</f>
        <v>9</v>
      </c>
    </row>
    <row r="292" spans="2:16" ht="18.600000000000001" x14ac:dyDescent="0.3">
      <c r="B292" s="4" t="s">
        <v>387</v>
      </c>
      <c r="C292" s="4">
        <v>35</v>
      </c>
      <c r="D292" s="4">
        <v>5</v>
      </c>
      <c r="E292" s="4">
        <v>8</v>
      </c>
      <c r="F292" s="4">
        <v>125</v>
      </c>
      <c r="G292" s="2" t="s">
        <v>3</v>
      </c>
      <c r="H292" s="4">
        <v>9</v>
      </c>
      <c r="I292" s="4">
        <f>Table134[[#This Row],[اصله مستقل]]*Table134[[#This Row],[A_tree]]</f>
        <v>45</v>
      </c>
      <c r="J292" s="4">
        <f>IF(Table134[[#This Row],[n * A_tree ]]&gt;Table134[[#This Row],[مساحت آدرس]],1,0)</f>
        <v>0</v>
      </c>
      <c r="K292" s="8">
        <f>IF(Table134[[#This Row],[check]]=1,1,Table134[[#This Row],[A_tree]]*Table134[[#This Row],[اصله مستقل]]/Table134[[#This Row],[مساحت آدرس]])</f>
        <v>0.36</v>
      </c>
      <c r="L292" s="14">
        <f>IF(Table134[[#This Row],[check]]=1,1,(Table134[[#This Row],[Psh]]+0.15*(1-Table134[[#This Row],[Psh]])))</f>
        <v>0.45599999999999996</v>
      </c>
      <c r="M292" s="14">
        <f>IF(Table134[[#This Row],[check]]=1,0.65,1)</f>
        <v>1</v>
      </c>
      <c r="N292" s="4">
        <v>1</v>
      </c>
      <c r="O292" s="4">
        <f>IF(Table134[[#This Row],[check]]=1,Table134[[#This Row],[مساحت آدرس]]*Table134[[#This Row],[A0 Inc]],Table134[[#This Row],[A_tree]]*Table134[[#This Row],[اصله مستقل]])</f>
        <v>45</v>
      </c>
      <c r="P292" s="11">
        <f>IF(Table134[[#This Row],[check]]=1,Table134[[#This Row],[A0]]/Table134[[#This Row],[اصله مستقل]],Table134[[#This Row],[A_tree]])</f>
        <v>9</v>
      </c>
    </row>
    <row r="293" spans="2:16" ht="18.600000000000001" x14ac:dyDescent="0.3">
      <c r="B293" s="4" t="s">
        <v>388</v>
      </c>
      <c r="C293" s="4">
        <v>420</v>
      </c>
      <c r="D293" s="4">
        <v>65</v>
      </c>
      <c r="E293" s="4">
        <v>118</v>
      </c>
      <c r="F293" s="4">
        <v>1814</v>
      </c>
      <c r="G293" s="2" t="s">
        <v>3</v>
      </c>
      <c r="H293" s="4">
        <v>9</v>
      </c>
      <c r="I293" s="4">
        <f>Table134[[#This Row],[اصله مستقل]]*Table134[[#This Row],[A_tree]]</f>
        <v>585</v>
      </c>
      <c r="J293" s="4">
        <f>IF(Table134[[#This Row],[n * A_tree ]]&gt;Table134[[#This Row],[مساحت آدرس]],1,0)</f>
        <v>0</v>
      </c>
      <c r="K293" s="8">
        <f>IF(Table134[[#This Row],[check]]=1,1,Table134[[#This Row],[A_tree]]*Table134[[#This Row],[اصله مستقل]]/Table134[[#This Row],[مساحت آدرس]])</f>
        <v>0.32249173098125689</v>
      </c>
      <c r="L293" s="14">
        <f>IF(Table134[[#This Row],[check]]=1,1,(Table134[[#This Row],[Psh]]+0.15*(1-Table134[[#This Row],[Psh]])))</f>
        <v>0.42411797133406837</v>
      </c>
      <c r="M293" s="14">
        <f>IF(Table134[[#This Row],[check]]=1,0.65,1)</f>
        <v>1</v>
      </c>
      <c r="N293" s="4">
        <v>1</v>
      </c>
      <c r="O293" s="4">
        <f>IF(Table134[[#This Row],[check]]=1,Table134[[#This Row],[مساحت آدرس]]*Table134[[#This Row],[A0 Inc]],Table134[[#This Row],[A_tree]]*Table134[[#This Row],[اصله مستقل]])</f>
        <v>585</v>
      </c>
      <c r="P293" s="11">
        <f>IF(Table134[[#This Row],[check]]=1,Table134[[#This Row],[A0]]/Table134[[#This Row],[اصله مستقل]],Table134[[#This Row],[A_tree]])</f>
        <v>9</v>
      </c>
    </row>
    <row r="294" spans="2:16" ht="18.600000000000001" x14ac:dyDescent="0.3">
      <c r="B294" s="4" t="s">
        <v>389</v>
      </c>
      <c r="C294" s="4">
        <v>158</v>
      </c>
      <c r="D294" s="4">
        <v>58</v>
      </c>
      <c r="E294" s="4">
        <v>112</v>
      </c>
      <c r="F294" s="4">
        <v>1062</v>
      </c>
      <c r="G294" s="2" t="s">
        <v>3</v>
      </c>
      <c r="H294" s="4">
        <v>9</v>
      </c>
      <c r="I294" s="4">
        <f>Table134[[#This Row],[اصله مستقل]]*Table134[[#This Row],[A_tree]]</f>
        <v>522</v>
      </c>
      <c r="J294" s="4">
        <f>IF(Table134[[#This Row],[n * A_tree ]]&gt;Table134[[#This Row],[مساحت آدرس]],1,0)</f>
        <v>0</v>
      </c>
      <c r="K294" s="8">
        <f>IF(Table134[[#This Row],[check]]=1,1,Table134[[#This Row],[A_tree]]*Table134[[#This Row],[اصله مستقل]]/Table134[[#This Row],[مساحت آدرس]])</f>
        <v>0.49152542372881358</v>
      </c>
      <c r="L294" s="14">
        <f>IF(Table134[[#This Row],[check]]=1,1,(Table134[[#This Row],[Psh]]+0.15*(1-Table134[[#This Row],[Psh]])))</f>
        <v>0.56779661016949157</v>
      </c>
      <c r="M294" s="14">
        <f>IF(Table134[[#This Row],[check]]=1,0.65,1)</f>
        <v>1</v>
      </c>
      <c r="N294" s="4">
        <v>1</v>
      </c>
      <c r="O294" s="4">
        <f>IF(Table134[[#This Row],[check]]=1,Table134[[#This Row],[مساحت آدرس]]*Table134[[#This Row],[A0 Inc]],Table134[[#This Row],[A_tree]]*Table134[[#This Row],[اصله مستقل]])</f>
        <v>522</v>
      </c>
      <c r="P294" s="11">
        <f>IF(Table134[[#This Row],[check]]=1,Table134[[#This Row],[A0]]/Table134[[#This Row],[اصله مستقل]],Table134[[#This Row],[A_tree]])</f>
        <v>9</v>
      </c>
    </row>
    <row r="295" spans="2:16" ht="18.600000000000001" x14ac:dyDescent="0.3">
      <c r="B295" s="4" t="s">
        <v>390</v>
      </c>
      <c r="C295" s="4">
        <v>257</v>
      </c>
      <c r="D295" s="4">
        <v>257</v>
      </c>
      <c r="E295" s="4">
        <v>785</v>
      </c>
      <c r="F295" s="4">
        <v>785</v>
      </c>
      <c r="G295" s="2" t="s">
        <v>21</v>
      </c>
      <c r="H295" s="4">
        <v>9</v>
      </c>
      <c r="I295" s="4">
        <f>Table134[[#This Row],[اصله مستقل]]*Table134[[#This Row],[A_tree]]</f>
        <v>2313</v>
      </c>
      <c r="J295" s="4">
        <f>IF(Table134[[#This Row],[n * A_tree ]]&gt;Table134[[#This Row],[مساحت آدرس]],1,0)</f>
        <v>1</v>
      </c>
      <c r="K295" s="8">
        <f>IF(Table134[[#This Row],[check]]=1,1,Table134[[#This Row],[A_tree]]*Table134[[#This Row],[اصله مستقل]]/Table134[[#This Row],[مساحت آدرس]])</f>
        <v>1</v>
      </c>
      <c r="L295" s="14">
        <f>IF(Table134[[#This Row],[check]]=1,1,(Table134[[#This Row],[Psh]]+0.15*(1-Table134[[#This Row],[Psh]])))</f>
        <v>1</v>
      </c>
      <c r="M295" s="14">
        <f>IF(Table134[[#This Row],[check]]=1,0.65,1)</f>
        <v>0.65</v>
      </c>
      <c r="N295" s="4">
        <v>1</v>
      </c>
      <c r="O295" s="4">
        <f>IF(Table134[[#This Row],[check]]=1,Table134[[#This Row],[مساحت آدرس]]*Table134[[#This Row],[A0 Inc]],Table134[[#This Row],[A_tree]]*Table134[[#This Row],[اصله مستقل]])</f>
        <v>785</v>
      </c>
      <c r="P295" s="11">
        <f>IF(Table134[[#This Row],[check]]=1,Table134[[#This Row],[A0]]/Table134[[#This Row],[اصله مستقل]],Table134[[#This Row],[A_tree]])</f>
        <v>3.054474708171206</v>
      </c>
    </row>
    <row r="296" spans="2:16" ht="18.600000000000001" x14ac:dyDescent="0.3">
      <c r="B296" s="4" t="s">
        <v>391</v>
      </c>
      <c r="C296" s="4">
        <v>287</v>
      </c>
      <c r="D296" s="4">
        <v>287</v>
      </c>
      <c r="E296" s="4">
        <v>860</v>
      </c>
      <c r="F296" s="4">
        <v>860</v>
      </c>
      <c r="G296" s="2" t="s">
        <v>21</v>
      </c>
      <c r="H296" s="4">
        <v>9</v>
      </c>
      <c r="I296" s="4">
        <f>Table134[[#This Row],[اصله مستقل]]*Table134[[#This Row],[A_tree]]</f>
        <v>2583</v>
      </c>
      <c r="J296" s="4">
        <f>IF(Table134[[#This Row],[n * A_tree ]]&gt;Table134[[#This Row],[مساحت آدرس]],1,0)</f>
        <v>1</v>
      </c>
      <c r="K296" s="8">
        <f>IF(Table134[[#This Row],[check]]=1,1,Table134[[#This Row],[A_tree]]*Table134[[#This Row],[اصله مستقل]]/Table134[[#This Row],[مساحت آدرس]])</f>
        <v>1</v>
      </c>
      <c r="L296" s="14">
        <f>IF(Table134[[#This Row],[check]]=1,1,(Table134[[#This Row],[Psh]]+0.15*(1-Table134[[#This Row],[Psh]])))</f>
        <v>1</v>
      </c>
      <c r="M296" s="14">
        <f>IF(Table134[[#This Row],[check]]=1,0.65,1)</f>
        <v>0.65</v>
      </c>
      <c r="N296" s="4">
        <v>1</v>
      </c>
      <c r="O296" s="4">
        <f>IF(Table134[[#This Row],[check]]=1,Table134[[#This Row],[مساحت آدرس]]*Table134[[#This Row],[A0 Inc]],Table134[[#This Row],[A_tree]]*Table134[[#This Row],[اصله مستقل]])</f>
        <v>860</v>
      </c>
      <c r="P296" s="11">
        <f>IF(Table134[[#This Row],[check]]=1,Table134[[#This Row],[A0]]/Table134[[#This Row],[اصله مستقل]],Table134[[#This Row],[A_tree]])</f>
        <v>2.9965156794425085</v>
      </c>
    </row>
    <row r="297" spans="2:16" ht="18.600000000000001" x14ac:dyDescent="0.3">
      <c r="B297" s="4" t="s">
        <v>392</v>
      </c>
      <c r="C297" s="4">
        <v>179</v>
      </c>
      <c r="D297" s="4">
        <v>173</v>
      </c>
      <c r="E297" s="4">
        <v>446</v>
      </c>
      <c r="F297" s="4">
        <v>1461</v>
      </c>
      <c r="G297" s="2" t="s">
        <v>21</v>
      </c>
      <c r="H297" s="4">
        <v>9</v>
      </c>
      <c r="I297" s="4">
        <f>Table134[[#This Row],[اصله مستقل]]*Table134[[#This Row],[A_tree]]</f>
        <v>1557</v>
      </c>
      <c r="J297" s="4">
        <f>IF(Table134[[#This Row],[n * A_tree ]]&gt;Table134[[#This Row],[مساحت آدرس]],1,0)</f>
        <v>1</v>
      </c>
      <c r="K297" s="8">
        <f>IF(Table134[[#This Row],[check]]=1,1,Table134[[#This Row],[A_tree]]*Table134[[#This Row],[اصله مستقل]]/Table134[[#This Row],[مساحت آدرس]])</f>
        <v>1</v>
      </c>
      <c r="L297" s="14">
        <f>IF(Table134[[#This Row],[check]]=1,1,(Table134[[#This Row],[Psh]]+0.15*(1-Table134[[#This Row],[Psh]])))</f>
        <v>1</v>
      </c>
      <c r="M297" s="14">
        <f>IF(Table134[[#This Row],[check]]=1,0.65,1)</f>
        <v>0.65</v>
      </c>
      <c r="N297" s="4">
        <v>1</v>
      </c>
      <c r="O297" s="4">
        <f>IF(Table134[[#This Row],[check]]=1,Table134[[#This Row],[مساحت آدرس]]*Table134[[#This Row],[A0 Inc]],Table134[[#This Row],[A_tree]]*Table134[[#This Row],[اصله مستقل]])</f>
        <v>1461</v>
      </c>
      <c r="P297" s="11">
        <f>IF(Table134[[#This Row],[check]]=1,Table134[[#This Row],[A0]]/Table134[[#This Row],[اصله مستقل]],Table134[[#This Row],[A_tree]])</f>
        <v>8.4450867052023124</v>
      </c>
    </row>
    <row r="298" spans="2:16" ht="18.600000000000001" x14ac:dyDescent="0.3">
      <c r="B298" s="4" t="s">
        <v>393</v>
      </c>
      <c r="C298" s="4">
        <v>566</v>
      </c>
      <c r="D298" s="4">
        <v>566</v>
      </c>
      <c r="E298" s="4">
        <v>1706</v>
      </c>
      <c r="F298" s="4">
        <v>2083</v>
      </c>
      <c r="G298" s="2" t="s">
        <v>21</v>
      </c>
      <c r="H298" s="4">
        <v>9</v>
      </c>
      <c r="I298" s="4">
        <f>Table134[[#This Row],[اصله مستقل]]*Table134[[#This Row],[A_tree]]</f>
        <v>5094</v>
      </c>
      <c r="J298" s="4">
        <f>IF(Table134[[#This Row],[n * A_tree ]]&gt;Table134[[#This Row],[مساحت آدرس]],1,0)</f>
        <v>1</v>
      </c>
      <c r="K298" s="8">
        <f>IF(Table134[[#This Row],[check]]=1,1,Table134[[#This Row],[A_tree]]*Table134[[#This Row],[اصله مستقل]]/Table134[[#This Row],[مساحت آدرس]])</f>
        <v>1</v>
      </c>
      <c r="L298" s="14">
        <f>IF(Table134[[#This Row],[check]]=1,1,(Table134[[#This Row],[Psh]]+0.15*(1-Table134[[#This Row],[Psh]])))</f>
        <v>1</v>
      </c>
      <c r="M298" s="14">
        <f>IF(Table134[[#This Row],[check]]=1,0.65,1)</f>
        <v>0.65</v>
      </c>
      <c r="N298" s="4">
        <v>1</v>
      </c>
      <c r="O298" s="4">
        <f>IF(Table134[[#This Row],[check]]=1,Table134[[#This Row],[مساحت آدرس]]*Table134[[#This Row],[A0 Inc]],Table134[[#This Row],[A_tree]]*Table134[[#This Row],[اصله مستقل]])</f>
        <v>2083</v>
      </c>
      <c r="P298" s="11">
        <f>IF(Table134[[#This Row],[check]]=1,Table134[[#This Row],[A0]]/Table134[[#This Row],[اصله مستقل]],Table134[[#This Row],[A_tree]])</f>
        <v>3.6802120141342756</v>
      </c>
    </row>
    <row r="299" spans="2:16" ht="18.600000000000001" x14ac:dyDescent="0.3">
      <c r="B299" s="4" t="s">
        <v>394</v>
      </c>
      <c r="C299" s="4">
        <v>1237</v>
      </c>
      <c r="D299" s="4">
        <v>487</v>
      </c>
      <c r="E299" s="4">
        <v>1622</v>
      </c>
      <c r="F299" s="4">
        <v>5628</v>
      </c>
      <c r="G299" s="2" t="s">
        <v>21</v>
      </c>
      <c r="H299" s="4">
        <v>9</v>
      </c>
      <c r="I299" s="4">
        <f>Table134[[#This Row],[اصله مستقل]]*Table134[[#This Row],[A_tree]]</f>
        <v>4383</v>
      </c>
      <c r="J299" s="4">
        <f>IF(Table134[[#This Row],[n * A_tree ]]&gt;Table134[[#This Row],[مساحت آدرس]],1,0)</f>
        <v>0</v>
      </c>
      <c r="K299" s="8">
        <f>IF(Table134[[#This Row],[check]]=1,1,Table134[[#This Row],[A_tree]]*Table134[[#This Row],[اصله مستقل]]/Table134[[#This Row],[مساحت آدرس]])</f>
        <v>0.77878464818763327</v>
      </c>
      <c r="L299" s="14">
        <f>IF(Table134[[#This Row],[check]]=1,1,(Table134[[#This Row],[Psh]]+0.15*(1-Table134[[#This Row],[Psh]])))</f>
        <v>0.81196695095948823</v>
      </c>
      <c r="M299" s="14">
        <f>IF(Table134[[#This Row],[check]]=1,0.65,1)</f>
        <v>1</v>
      </c>
      <c r="N299" s="4">
        <v>1</v>
      </c>
      <c r="O299" s="4">
        <f>IF(Table134[[#This Row],[check]]=1,Table134[[#This Row],[مساحت آدرس]]*Table134[[#This Row],[A0 Inc]],Table134[[#This Row],[A_tree]]*Table134[[#This Row],[اصله مستقل]])</f>
        <v>4383</v>
      </c>
      <c r="P299" s="11">
        <f>IF(Table134[[#This Row],[check]]=1,Table134[[#This Row],[A0]]/Table134[[#This Row],[اصله مستقل]],Table134[[#This Row],[A_tree]])</f>
        <v>9</v>
      </c>
    </row>
    <row r="300" spans="2:16" ht="18.600000000000001" x14ac:dyDescent="0.3">
      <c r="B300" s="4" t="s">
        <v>395</v>
      </c>
      <c r="C300" s="4">
        <v>1294</v>
      </c>
      <c r="D300" s="4">
        <v>428</v>
      </c>
      <c r="E300" s="4">
        <v>1712</v>
      </c>
      <c r="F300" s="4">
        <v>8512</v>
      </c>
      <c r="G300" s="2" t="s">
        <v>21</v>
      </c>
      <c r="H300" s="4">
        <v>9</v>
      </c>
      <c r="I300" s="4">
        <f>Table134[[#This Row],[اصله مستقل]]*Table134[[#This Row],[A_tree]]</f>
        <v>3852</v>
      </c>
      <c r="J300" s="4">
        <f>IF(Table134[[#This Row],[n * A_tree ]]&gt;Table134[[#This Row],[مساحت آدرس]],1,0)</f>
        <v>0</v>
      </c>
      <c r="K300" s="8">
        <f>IF(Table134[[#This Row],[check]]=1,1,Table134[[#This Row],[A_tree]]*Table134[[#This Row],[اصله مستقل]]/Table134[[#This Row],[مساحت آدرس]])</f>
        <v>0.45253759398496241</v>
      </c>
      <c r="L300" s="14">
        <f>IF(Table134[[#This Row],[check]]=1,1,(Table134[[#This Row],[Psh]]+0.15*(1-Table134[[#This Row],[Psh]])))</f>
        <v>0.53465695488721798</v>
      </c>
      <c r="M300" s="14">
        <f>IF(Table134[[#This Row],[check]]=1,0.65,1)</f>
        <v>1</v>
      </c>
      <c r="N300" s="4">
        <v>1</v>
      </c>
      <c r="O300" s="4">
        <f>IF(Table134[[#This Row],[check]]=1,Table134[[#This Row],[مساحت آدرس]]*Table134[[#This Row],[A0 Inc]],Table134[[#This Row],[A_tree]]*Table134[[#This Row],[اصله مستقل]])</f>
        <v>3852</v>
      </c>
      <c r="P300" s="11">
        <f>IF(Table134[[#This Row],[check]]=1,Table134[[#This Row],[A0]]/Table134[[#This Row],[اصله مستقل]],Table134[[#This Row],[A_tree]])</f>
        <v>9</v>
      </c>
    </row>
    <row r="301" spans="2:16" ht="18.600000000000001" x14ac:dyDescent="0.3">
      <c r="B301" s="4" t="s">
        <v>396</v>
      </c>
      <c r="C301" s="4">
        <v>438</v>
      </c>
      <c r="D301" s="4">
        <v>438</v>
      </c>
      <c r="E301" s="4">
        <v>1485</v>
      </c>
      <c r="F301" s="4">
        <v>1553</v>
      </c>
      <c r="G301" s="2" t="s">
        <v>21</v>
      </c>
      <c r="H301" s="4">
        <v>9</v>
      </c>
      <c r="I301" s="4">
        <f>Table134[[#This Row],[اصله مستقل]]*Table134[[#This Row],[A_tree]]</f>
        <v>3942</v>
      </c>
      <c r="J301" s="4">
        <f>IF(Table134[[#This Row],[n * A_tree ]]&gt;Table134[[#This Row],[مساحت آدرس]],1,0)</f>
        <v>1</v>
      </c>
      <c r="K301" s="8">
        <f>IF(Table134[[#This Row],[check]]=1,1,Table134[[#This Row],[A_tree]]*Table134[[#This Row],[اصله مستقل]]/Table134[[#This Row],[مساحت آدرس]])</f>
        <v>1</v>
      </c>
      <c r="L301" s="14">
        <f>IF(Table134[[#This Row],[check]]=1,1,(Table134[[#This Row],[Psh]]+0.15*(1-Table134[[#This Row],[Psh]])))</f>
        <v>1</v>
      </c>
      <c r="M301" s="14">
        <f>IF(Table134[[#This Row],[check]]=1,0.65,1)</f>
        <v>0.65</v>
      </c>
      <c r="N301" s="4">
        <v>1</v>
      </c>
      <c r="O301" s="4">
        <f>IF(Table134[[#This Row],[check]]=1,Table134[[#This Row],[مساحت آدرس]]*Table134[[#This Row],[A0 Inc]],Table134[[#This Row],[A_tree]]*Table134[[#This Row],[اصله مستقل]])</f>
        <v>1553</v>
      </c>
      <c r="P301" s="11">
        <f>IF(Table134[[#This Row],[check]]=1,Table134[[#This Row],[A0]]/Table134[[#This Row],[اصله مستقل]],Table134[[#This Row],[A_tree]])</f>
        <v>3.5456621004566209</v>
      </c>
    </row>
    <row r="302" spans="2:16" ht="18.600000000000001" x14ac:dyDescent="0.3">
      <c r="B302" s="4" t="s">
        <v>397</v>
      </c>
      <c r="C302" s="4">
        <v>296</v>
      </c>
      <c r="D302" s="4">
        <v>296</v>
      </c>
      <c r="E302" s="4">
        <v>675</v>
      </c>
      <c r="F302" s="4">
        <v>675</v>
      </c>
      <c r="G302" s="2" t="s">
        <v>21</v>
      </c>
      <c r="H302" s="4">
        <v>9</v>
      </c>
      <c r="I302" s="4">
        <f>Table134[[#This Row],[اصله مستقل]]*Table134[[#This Row],[A_tree]]</f>
        <v>2664</v>
      </c>
      <c r="J302" s="4">
        <f>IF(Table134[[#This Row],[n * A_tree ]]&gt;Table134[[#This Row],[مساحت آدرس]],1,0)</f>
        <v>1</v>
      </c>
      <c r="K302" s="8">
        <f>IF(Table134[[#This Row],[check]]=1,1,Table134[[#This Row],[A_tree]]*Table134[[#This Row],[اصله مستقل]]/Table134[[#This Row],[مساحت آدرس]])</f>
        <v>1</v>
      </c>
      <c r="L302" s="14">
        <f>IF(Table134[[#This Row],[check]]=1,1,(Table134[[#This Row],[Psh]]+0.15*(1-Table134[[#This Row],[Psh]])))</f>
        <v>1</v>
      </c>
      <c r="M302" s="14">
        <f>IF(Table134[[#This Row],[check]]=1,0.65,1)</f>
        <v>0.65</v>
      </c>
      <c r="N302" s="4">
        <v>1</v>
      </c>
      <c r="O302" s="4">
        <f>IF(Table134[[#This Row],[check]]=1,Table134[[#This Row],[مساحت آدرس]]*Table134[[#This Row],[A0 Inc]],Table134[[#This Row],[A_tree]]*Table134[[#This Row],[اصله مستقل]])</f>
        <v>675</v>
      </c>
      <c r="P302" s="11">
        <f>IF(Table134[[#This Row],[check]]=1,Table134[[#This Row],[A0]]/Table134[[#This Row],[اصله مستقل]],Table134[[#This Row],[A_tree]])</f>
        <v>2.2804054054054053</v>
      </c>
    </row>
    <row r="303" spans="2:16" ht="18.600000000000001" x14ac:dyDescent="0.3">
      <c r="B303" s="4" t="s">
        <v>398</v>
      </c>
      <c r="C303" s="4">
        <v>630</v>
      </c>
      <c r="D303" s="4">
        <v>8</v>
      </c>
      <c r="E303" s="4">
        <v>18</v>
      </c>
      <c r="F303" s="4">
        <v>1858</v>
      </c>
      <c r="G303" s="2" t="s">
        <v>21</v>
      </c>
      <c r="H303" s="4">
        <v>9</v>
      </c>
      <c r="I303" s="4">
        <f>Table134[[#This Row],[اصله مستقل]]*Table134[[#This Row],[A_tree]]</f>
        <v>72</v>
      </c>
      <c r="J303" s="4">
        <f>IF(Table134[[#This Row],[n * A_tree ]]&gt;Table134[[#This Row],[مساحت آدرس]],1,0)</f>
        <v>0</v>
      </c>
      <c r="K303" s="8">
        <f>IF(Table134[[#This Row],[check]]=1,1,Table134[[#This Row],[A_tree]]*Table134[[#This Row],[اصله مستقل]]/Table134[[#This Row],[مساحت آدرس]])</f>
        <v>3.8751345532831001E-2</v>
      </c>
      <c r="L303" s="14">
        <f>IF(Table134[[#This Row],[check]]=1,1,(Table134[[#This Row],[Psh]]+0.15*(1-Table134[[#This Row],[Psh]])))</f>
        <v>0.18293864370290633</v>
      </c>
      <c r="M303" s="14">
        <f>IF(Table134[[#This Row],[check]]=1,0.65,1)</f>
        <v>1</v>
      </c>
      <c r="N303" s="4">
        <v>1</v>
      </c>
      <c r="O303" s="4">
        <f>IF(Table134[[#This Row],[check]]=1,Table134[[#This Row],[مساحت آدرس]]*Table134[[#This Row],[A0 Inc]],Table134[[#This Row],[A_tree]]*Table134[[#This Row],[اصله مستقل]])</f>
        <v>72</v>
      </c>
      <c r="P303" s="11">
        <f>IF(Table134[[#This Row],[check]]=1,Table134[[#This Row],[A0]]/Table134[[#This Row],[اصله مستقل]],Table134[[#This Row],[A_tree]])</f>
        <v>9</v>
      </c>
    </row>
    <row r="304" spans="2:16" ht="18.600000000000001" x14ac:dyDescent="0.3">
      <c r="B304" s="4" t="s">
        <v>399</v>
      </c>
      <c r="C304" s="4">
        <v>332</v>
      </c>
      <c r="D304" s="4">
        <v>322</v>
      </c>
      <c r="E304" s="4">
        <v>1114</v>
      </c>
      <c r="F304" s="4">
        <v>1239</v>
      </c>
      <c r="G304" s="2" t="s">
        <v>21</v>
      </c>
      <c r="H304" s="4">
        <v>9</v>
      </c>
      <c r="I304" s="4">
        <f>Table134[[#This Row],[اصله مستقل]]*Table134[[#This Row],[A_tree]]</f>
        <v>2898</v>
      </c>
      <c r="J304" s="4">
        <f>IF(Table134[[#This Row],[n * A_tree ]]&gt;Table134[[#This Row],[مساحت آدرس]],1,0)</f>
        <v>1</v>
      </c>
      <c r="K304" s="8">
        <f>IF(Table134[[#This Row],[check]]=1,1,Table134[[#This Row],[A_tree]]*Table134[[#This Row],[اصله مستقل]]/Table134[[#This Row],[مساحت آدرس]])</f>
        <v>1</v>
      </c>
      <c r="L304" s="14">
        <f>IF(Table134[[#This Row],[check]]=1,1,(Table134[[#This Row],[Psh]]+0.15*(1-Table134[[#This Row],[Psh]])))</f>
        <v>1</v>
      </c>
      <c r="M304" s="14">
        <f>IF(Table134[[#This Row],[check]]=1,0.65,1)</f>
        <v>0.65</v>
      </c>
      <c r="N304" s="4">
        <v>1</v>
      </c>
      <c r="O304" s="4">
        <f>IF(Table134[[#This Row],[check]]=1,Table134[[#This Row],[مساحت آدرس]]*Table134[[#This Row],[A0 Inc]],Table134[[#This Row],[A_tree]]*Table134[[#This Row],[اصله مستقل]])</f>
        <v>1239</v>
      </c>
      <c r="P304" s="11">
        <f>IF(Table134[[#This Row],[check]]=1,Table134[[#This Row],[A0]]/Table134[[#This Row],[اصله مستقل]],Table134[[#This Row],[A_tree]])</f>
        <v>3.847826086956522</v>
      </c>
    </row>
    <row r="305" spans="2:16" ht="18.600000000000001" x14ac:dyDescent="0.3">
      <c r="B305" s="4" t="s">
        <v>400</v>
      </c>
      <c r="C305" s="4">
        <v>98</v>
      </c>
      <c r="D305" s="4">
        <v>98</v>
      </c>
      <c r="E305" s="4">
        <v>177</v>
      </c>
      <c r="F305" s="4">
        <v>2307</v>
      </c>
      <c r="G305" s="2" t="s">
        <v>62</v>
      </c>
      <c r="H305" s="4">
        <v>9</v>
      </c>
      <c r="I305" s="4">
        <f>Table134[[#This Row],[اصله مستقل]]*Table134[[#This Row],[A_tree]]</f>
        <v>882</v>
      </c>
      <c r="J305" s="4">
        <f>IF(Table134[[#This Row],[n * A_tree ]]&gt;Table134[[#This Row],[مساحت آدرس]],1,0)</f>
        <v>0</v>
      </c>
      <c r="K305" s="8">
        <f>IF(Table134[[#This Row],[check]]=1,1,Table134[[#This Row],[A_tree]]*Table134[[#This Row],[اصله مستقل]]/Table134[[#This Row],[مساحت آدرس]])</f>
        <v>0.3823146944083225</v>
      </c>
      <c r="L305" s="14">
        <f>IF(Table134[[#This Row],[check]]=1,1,(Table134[[#This Row],[Psh]]+0.15*(1-Table134[[#This Row],[Psh]])))</f>
        <v>0.47496749024707413</v>
      </c>
      <c r="M305" s="14">
        <f>IF(Table134[[#This Row],[check]]=1,0.65,1)</f>
        <v>1</v>
      </c>
      <c r="N305" s="4">
        <v>1</v>
      </c>
      <c r="O305" s="4">
        <f>IF(Table134[[#This Row],[check]]=1,Table134[[#This Row],[مساحت آدرس]]*Table134[[#This Row],[A0 Inc]],Table134[[#This Row],[A_tree]]*Table134[[#This Row],[اصله مستقل]])</f>
        <v>882</v>
      </c>
      <c r="P305" s="11">
        <f>IF(Table134[[#This Row],[check]]=1,Table134[[#This Row],[A0]]/Table134[[#This Row],[اصله مستقل]],Table134[[#This Row],[A_tree]])</f>
        <v>9</v>
      </c>
    </row>
    <row r="306" spans="2:16" ht="18.600000000000001" x14ac:dyDescent="0.3">
      <c r="B306" s="4" t="s">
        <v>401</v>
      </c>
      <c r="C306" s="4">
        <v>629</v>
      </c>
      <c r="D306" s="4">
        <v>6</v>
      </c>
      <c r="E306" s="4">
        <v>19</v>
      </c>
      <c r="F306" s="4">
        <v>22746</v>
      </c>
      <c r="G306" s="2" t="s">
        <v>66</v>
      </c>
      <c r="H306" s="4">
        <v>9</v>
      </c>
      <c r="I306" s="4">
        <f>Table134[[#This Row],[اصله مستقل]]*Table134[[#This Row],[A_tree]]</f>
        <v>54</v>
      </c>
      <c r="J306" s="4">
        <f>IF(Table134[[#This Row],[n * A_tree ]]&gt;Table134[[#This Row],[مساحت آدرس]],1,0)</f>
        <v>0</v>
      </c>
      <c r="K306" s="8">
        <f>IF(Table134[[#This Row],[check]]=1,1,Table134[[#This Row],[A_tree]]*Table134[[#This Row],[اصله مستقل]]/Table134[[#This Row],[مساحت آدرس]])</f>
        <v>2.3740437879187551E-3</v>
      </c>
      <c r="L306" s="14">
        <f>IF(Table134[[#This Row],[check]]=1,1,(Table134[[#This Row],[Psh]]+0.15*(1-Table134[[#This Row],[Psh]])))</f>
        <v>0.15201793721973095</v>
      </c>
      <c r="M306" s="14">
        <f>IF(Table134[[#This Row],[check]]=1,0.65,1)</f>
        <v>1</v>
      </c>
      <c r="N306" s="4">
        <v>1</v>
      </c>
      <c r="O306" s="4">
        <f>IF(Table134[[#This Row],[check]]=1,Table134[[#This Row],[مساحت آدرس]]*Table134[[#This Row],[A0 Inc]],Table134[[#This Row],[A_tree]]*Table134[[#This Row],[اصله مستقل]])</f>
        <v>54</v>
      </c>
      <c r="P306" s="11">
        <f>IF(Table134[[#This Row],[check]]=1,Table134[[#This Row],[A0]]/Table134[[#This Row],[اصله مستقل]],Table134[[#This Row],[A_tree]])</f>
        <v>9</v>
      </c>
    </row>
    <row r="307" spans="2:16" ht="18.600000000000001" x14ac:dyDescent="0.3">
      <c r="B307" s="4" t="s">
        <v>403</v>
      </c>
      <c r="C307" s="4">
        <v>950</v>
      </c>
      <c r="D307" s="4">
        <v>950</v>
      </c>
      <c r="E307" s="4">
        <v>7600</v>
      </c>
      <c r="F307" s="4">
        <v>47466</v>
      </c>
      <c r="G307" s="2" t="s">
        <v>283</v>
      </c>
      <c r="H307" s="4">
        <v>9</v>
      </c>
      <c r="I307" s="4">
        <f>Table134[[#This Row],[اصله مستقل]]*Table134[[#This Row],[A_tree]]</f>
        <v>8550</v>
      </c>
      <c r="J307" s="4">
        <f>IF(Table134[[#This Row],[n * A_tree ]]&gt;Table134[[#This Row],[مساحت آدرس]],1,0)</f>
        <v>0</v>
      </c>
      <c r="K307" s="8">
        <f>IF(Table134[[#This Row],[check]]=1,1,Table134[[#This Row],[A_tree]]*Table134[[#This Row],[اصله مستقل]]/Table134[[#This Row],[مساحت آدرس]])</f>
        <v>0.18012893439514599</v>
      </c>
      <c r="L307" s="14">
        <f>IF(Table134[[#This Row],[check]]=1,1,(Table134[[#This Row],[Psh]]+0.15*(1-Table134[[#This Row],[Psh]])))</f>
        <v>0.30310959423587408</v>
      </c>
      <c r="M307" s="14">
        <f>IF(Table134[[#This Row],[check]]=1,0.65,1)</f>
        <v>1</v>
      </c>
      <c r="N307" s="4">
        <v>1</v>
      </c>
      <c r="O307" s="4">
        <f>IF(Table134[[#This Row],[check]]=1,Table134[[#This Row],[مساحت آدرس]]*Table134[[#This Row],[A0 Inc]],Table134[[#This Row],[A_tree]]*Table134[[#This Row],[اصله مستقل]])</f>
        <v>8550</v>
      </c>
      <c r="P307" s="11">
        <f>IF(Table134[[#This Row],[check]]=1,Table134[[#This Row],[A0]]/Table134[[#This Row],[اصله مستقل]],Table134[[#This Row],[A_tree]])</f>
        <v>9</v>
      </c>
    </row>
    <row r="308" spans="2:16" ht="18.600000000000001" x14ac:dyDescent="0.3">
      <c r="B308" s="4" t="s">
        <v>404</v>
      </c>
      <c r="C308" s="4">
        <v>252</v>
      </c>
      <c r="D308" s="4">
        <v>252</v>
      </c>
      <c r="E308" s="4">
        <v>134</v>
      </c>
      <c r="F308" s="4">
        <v>1794</v>
      </c>
      <c r="G308" s="2" t="s">
        <v>3</v>
      </c>
      <c r="H308" s="4">
        <v>9</v>
      </c>
      <c r="I308" s="4">
        <f>Table134[[#This Row],[اصله مستقل]]*Table134[[#This Row],[A_tree]]</f>
        <v>2268</v>
      </c>
      <c r="J308" s="4">
        <f>IF(Table134[[#This Row],[n * A_tree ]]&gt;Table134[[#This Row],[مساحت آدرس]],1,0)</f>
        <v>1</v>
      </c>
      <c r="K308" s="8">
        <f>IF(Table134[[#This Row],[check]]=1,1,Table134[[#This Row],[A_tree]]*Table134[[#This Row],[اصله مستقل]]/Table134[[#This Row],[مساحت آدرس]])</f>
        <v>1</v>
      </c>
      <c r="L308" s="14">
        <f>IF(Table134[[#This Row],[check]]=1,1,(Table134[[#This Row],[Psh]]+0.15*(1-Table134[[#This Row],[Psh]])))</f>
        <v>1</v>
      </c>
      <c r="M308" s="14">
        <f>IF(Table134[[#This Row],[check]]=1,0.65,1)</f>
        <v>0.65</v>
      </c>
      <c r="N308" s="4">
        <v>1</v>
      </c>
      <c r="O308" s="4">
        <f>IF(Table134[[#This Row],[check]]=1,Table134[[#This Row],[مساحت آدرس]]*Table134[[#This Row],[A0 Inc]],Table134[[#This Row],[A_tree]]*Table134[[#This Row],[اصله مستقل]])</f>
        <v>1794</v>
      </c>
      <c r="P308" s="11">
        <f>IF(Table134[[#This Row],[check]]=1,Table134[[#This Row],[A0]]/Table134[[#This Row],[اصله مستقل]],Table134[[#This Row],[A_tree]])</f>
        <v>7.1190476190476186</v>
      </c>
    </row>
    <row r="309" spans="2:16" ht="18.600000000000001" x14ac:dyDescent="0.3">
      <c r="B309" s="4" t="s">
        <v>405</v>
      </c>
      <c r="C309" s="4">
        <v>485</v>
      </c>
      <c r="D309" s="4">
        <v>485</v>
      </c>
      <c r="E309" s="4">
        <v>2200</v>
      </c>
      <c r="F309" s="4">
        <v>2200</v>
      </c>
      <c r="G309" s="2" t="s">
        <v>21</v>
      </c>
      <c r="H309" s="4">
        <v>9</v>
      </c>
      <c r="I309" s="4">
        <f>Table134[[#This Row],[اصله مستقل]]*Table134[[#This Row],[A_tree]]</f>
        <v>4365</v>
      </c>
      <c r="J309" s="4">
        <f>IF(Table134[[#This Row],[n * A_tree ]]&gt;Table134[[#This Row],[مساحت آدرس]],1,0)</f>
        <v>1</v>
      </c>
      <c r="K309" s="8">
        <f>IF(Table134[[#This Row],[check]]=1,1,Table134[[#This Row],[A_tree]]*Table134[[#This Row],[اصله مستقل]]/Table134[[#This Row],[مساحت آدرس]])</f>
        <v>1</v>
      </c>
      <c r="L309" s="14">
        <f>IF(Table134[[#This Row],[check]]=1,1,(Table134[[#This Row],[Psh]]+0.15*(1-Table134[[#This Row],[Psh]])))</f>
        <v>1</v>
      </c>
      <c r="M309" s="14">
        <f>IF(Table134[[#This Row],[check]]=1,0.65,1)</f>
        <v>0.65</v>
      </c>
      <c r="N309" s="4">
        <v>1</v>
      </c>
      <c r="O309" s="4">
        <f>IF(Table134[[#This Row],[check]]=1,Table134[[#This Row],[مساحت آدرس]]*Table134[[#This Row],[A0 Inc]],Table134[[#This Row],[A_tree]]*Table134[[#This Row],[اصله مستقل]])</f>
        <v>2200</v>
      </c>
      <c r="P309" s="11">
        <f>IF(Table134[[#This Row],[check]]=1,Table134[[#This Row],[A0]]/Table134[[#This Row],[اصله مستقل]],Table134[[#This Row],[A_tree]])</f>
        <v>4.536082474226804</v>
      </c>
    </row>
    <row r="310" spans="2:16" ht="18.600000000000001" x14ac:dyDescent="0.3">
      <c r="B310" s="4" t="s">
        <v>410</v>
      </c>
      <c r="C310" s="4">
        <v>560</v>
      </c>
      <c r="D310" s="4">
        <v>559.13333333333333</v>
      </c>
      <c r="E310" s="4">
        <v>17909</v>
      </c>
      <c r="F310" s="4">
        <v>25371</v>
      </c>
      <c r="G310" s="2" t="s">
        <v>300</v>
      </c>
      <c r="H310" s="4">
        <v>9</v>
      </c>
      <c r="I310" s="4">
        <f>Table134[[#This Row],[اصله مستقل]]*Table134[[#This Row],[A_tree]]</f>
        <v>5032.2</v>
      </c>
      <c r="J310" s="4">
        <f>IF(Table134[[#This Row],[n * A_tree ]]&gt;Table134[[#This Row],[مساحت آدرس]],1,0)</f>
        <v>0</v>
      </c>
      <c r="K310" s="8">
        <f>IF(Table134[[#This Row],[check]]=1,1,Table134[[#This Row],[A_tree]]*Table134[[#This Row],[اصله مستقل]]/Table134[[#This Row],[مساحت آدرس]])</f>
        <v>0.1983445666311931</v>
      </c>
      <c r="L310" s="14">
        <f>IF(Table134[[#This Row],[check]]=1,1,(Table134[[#This Row],[Psh]]+0.15*(1-Table134[[#This Row],[Psh]])))</f>
        <v>0.31859288163651411</v>
      </c>
      <c r="M310" s="14">
        <f>IF(Table134[[#This Row],[check]]=1,0.65,1)</f>
        <v>1</v>
      </c>
      <c r="N310" s="4">
        <v>1</v>
      </c>
      <c r="O310" s="4">
        <f>IF(Table134[[#This Row],[check]]=1,Table134[[#This Row],[مساحت آدرس]]*Table134[[#This Row],[A0 Inc]],Table134[[#This Row],[A_tree]]*Table134[[#This Row],[اصله مستقل]])</f>
        <v>5032.2</v>
      </c>
      <c r="P310" s="11">
        <f>IF(Table134[[#This Row],[check]]=1,Table134[[#This Row],[A0]]/Table134[[#This Row],[اصله مستقل]],Table134[[#This Row],[A_tree]])</f>
        <v>9</v>
      </c>
    </row>
    <row r="311" spans="2:16" ht="18.600000000000001" x14ac:dyDescent="0.3">
      <c r="B311" s="4" t="s">
        <v>411</v>
      </c>
      <c r="C311" s="4">
        <v>31</v>
      </c>
      <c r="D311" s="4">
        <v>31</v>
      </c>
      <c r="E311" s="4">
        <v>60</v>
      </c>
      <c r="F311" s="4">
        <v>60</v>
      </c>
      <c r="G311" s="2" t="s">
        <v>21</v>
      </c>
      <c r="H311" s="4">
        <v>9</v>
      </c>
      <c r="I311" s="4">
        <f>Table134[[#This Row],[اصله مستقل]]*Table134[[#This Row],[A_tree]]</f>
        <v>279</v>
      </c>
      <c r="J311" s="4">
        <f>IF(Table134[[#This Row],[n * A_tree ]]&gt;Table134[[#This Row],[مساحت آدرس]],1,0)</f>
        <v>1</v>
      </c>
      <c r="K311" s="8">
        <f>IF(Table134[[#This Row],[check]]=1,1,Table134[[#This Row],[A_tree]]*Table134[[#This Row],[اصله مستقل]]/Table134[[#This Row],[مساحت آدرس]])</f>
        <v>1</v>
      </c>
      <c r="L311" s="14">
        <f>IF(Table134[[#This Row],[check]]=1,1,(Table134[[#This Row],[Psh]]+0.15*(1-Table134[[#This Row],[Psh]])))</f>
        <v>1</v>
      </c>
      <c r="M311" s="14">
        <f>IF(Table134[[#This Row],[check]]=1,0.65,1)</f>
        <v>0.65</v>
      </c>
      <c r="N311" s="4">
        <v>1</v>
      </c>
      <c r="O311" s="4">
        <f>IF(Table134[[#This Row],[check]]=1,Table134[[#This Row],[مساحت آدرس]]*Table134[[#This Row],[A0 Inc]],Table134[[#This Row],[A_tree]]*Table134[[#This Row],[اصله مستقل]])</f>
        <v>60</v>
      </c>
      <c r="P311" s="11">
        <f>IF(Table134[[#This Row],[check]]=1,Table134[[#This Row],[A0]]/Table134[[#This Row],[اصله مستقل]],Table134[[#This Row],[A_tree]])</f>
        <v>1.935483870967742</v>
      </c>
    </row>
    <row r="312" spans="2:16" ht="18.600000000000001" x14ac:dyDescent="0.3">
      <c r="B312" s="4" t="s">
        <v>412</v>
      </c>
      <c r="C312" s="4">
        <v>19</v>
      </c>
      <c r="D312" s="4">
        <v>19</v>
      </c>
      <c r="E312" s="4">
        <v>220</v>
      </c>
      <c r="F312" s="4">
        <v>220</v>
      </c>
      <c r="G312" s="2" t="s">
        <v>62</v>
      </c>
      <c r="H312" s="4">
        <v>9</v>
      </c>
      <c r="I312" s="4">
        <f>Table134[[#This Row],[اصله مستقل]]*Table134[[#This Row],[A_tree]]</f>
        <v>171</v>
      </c>
      <c r="J312" s="4">
        <f>IF(Table134[[#This Row],[n * A_tree ]]&gt;Table134[[#This Row],[مساحت آدرس]],1,0)</f>
        <v>0</v>
      </c>
      <c r="K312" s="8">
        <f>IF(Table134[[#This Row],[check]]=1,1,Table134[[#This Row],[A_tree]]*Table134[[#This Row],[اصله مستقل]]/Table134[[#This Row],[مساحت آدرس]])</f>
        <v>0.77727272727272723</v>
      </c>
      <c r="L312" s="14">
        <f>IF(Table134[[#This Row],[check]]=1,1,(Table134[[#This Row],[Psh]]+0.15*(1-Table134[[#This Row],[Psh]])))</f>
        <v>0.81068181818181817</v>
      </c>
      <c r="M312" s="14">
        <f>IF(Table134[[#This Row],[check]]=1,0.65,1)</f>
        <v>1</v>
      </c>
      <c r="N312" s="4">
        <v>1</v>
      </c>
      <c r="O312" s="4">
        <f>IF(Table134[[#This Row],[check]]=1,Table134[[#This Row],[مساحت آدرس]]*Table134[[#This Row],[A0 Inc]],Table134[[#This Row],[A_tree]]*Table134[[#This Row],[اصله مستقل]])</f>
        <v>171</v>
      </c>
      <c r="P312" s="11">
        <f>IF(Table134[[#This Row],[check]]=1,Table134[[#This Row],[A0]]/Table134[[#This Row],[اصله مستقل]],Table134[[#This Row],[A_tree]])</f>
        <v>9</v>
      </c>
    </row>
    <row r="313" spans="2:16" ht="18.600000000000001" x14ac:dyDescent="0.3">
      <c r="B313" s="4" t="s">
        <v>414</v>
      </c>
      <c r="C313" s="4">
        <v>603</v>
      </c>
      <c r="D313" s="4">
        <v>83</v>
      </c>
      <c r="E313" s="4">
        <v>1460</v>
      </c>
      <c r="F313" s="4">
        <v>9183</v>
      </c>
      <c r="G313" s="2" t="s">
        <v>3</v>
      </c>
      <c r="H313" s="4">
        <v>9</v>
      </c>
      <c r="I313" s="4">
        <f>Table134[[#This Row],[اصله مستقل]]*Table134[[#This Row],[A_tree]]</f>
        <v>747</v>
      </c>
      <c r="J313" s="4">
        <f>IF(Table134[[#This Row],[n * A_tree ]]&gt;Table134[[#This Row],[مساحت آدرس]],1,0)</f>
        <v>0</v>
      </c>
      <c r="K313" s="8">
        <f>IF(Table134[[#This Row],[check]]=1,1,Table134[[#This Row],[A_tree]]*Table134[[#This Row],[اصله مستقل]]/Table134[[#This Row],[مساحت آدرس]])</f>
        <v>8.134596537079386E-2</v>
      </c>
      <c r="L313" s="14">
        <f>IF(Table134[[#This Row],[check]]=1,1,(Table134[[#This Row],[Psh]]+0.15*(1-Table134[[#This Row],[Psh]])))</f>
        <v>0.21914407056517476</v>
      </c>
      <c r="M313" s="14">
        <f>IF(Table134[[#This Row],[check]]=1,0.65,1)</f>
        <v>1</v>
      </c>
      <c r="N313" s="4">
        <v>1</v>
      </c>
      <c r="O313" s="4">
        <f>IF(Table134[[#This Row],[check]]=1,Table134[[#This Row],[مساحت آدرس]]*Table134[[#This Row],[A0 Inc]],Table134[[#This Row],[A_tree]]*Table134[[#This Row],[اصله مستقل]])</f>
        <v>747</v>
      </c>
      <c r="P313" s="11">
        <f>IF(Table134[[#This Row],[check]]=1,Table134[[#This Row],[A0]]/Table134[[#This Row],[اصله مستقل]],Table134[[#This Row],[A_tree]])</f>
        <v>9</v>
      </c>
    </row>
    <row r="314" spans="2:16" ht="18.600000000000001" x14ac:dyDescent="0.3">
      <c r="B314" s="4" t="s">
        <v>415</v>
      </c>
      <c r="C314" s="4">
        <v>1350</v>
      </c>
      <c r="D314" s="4">
        <v>1350</v>
      </c>
      <c r="E314" s="4">
        <v>15300</v>
      </c>
      <c r="F314" s="4">
        <v>15300</v>
      </c>
      <c r="G314" s="2" t="s">
        <v>3</v>
      </c>
      <c r="H314" s="4">
        <v>9</v>
      </c>
      <c r="I314" s="4">
        <f>Table134[[#This Row],[اصله مستقل]]*Table134[[#This Row],[A_tree]]</f>
        <v>12150</v>
      </c>
      <c r="J314" s="4">
        <f>IF(Table134[[#This Row],[n * A_tree ]]&gt;Table134[[#This Row],[مساحت آدرس]],1,0)</f>
        <v>0</v>
      </c>
      <c r="K314" s="8">
        <f>IF(Table134[[#This Row],[check]]=1,1,Table134[[#This Row],[A_tree]]*Table134[[#This Row],[اصله مستقل]]/Table134[[#This Row],[مساحت آدرس]])</f>
        <v>0.79411764705882348</v>
      </c>
      <c r="L314" s="14">
        <f>IF(Table134[[#This Row],[check]]=1,1,(Table134[[#This Row],[Psh]]+0.15*(1-Table134[[#This Row],[Psh]])))</f>
        <v>0.82499999999999996</v>
      </c>
      <c r="M314" s="14">
        <f>IF(Table134[[#This Row],[check]]=1,0.65,1)</f>
        <v>1</v>
      </c>
      <c r="N314" s="4">
        <v>1</v>
      </c>
      <c r="O314" s="4">
        <f>IF(Table134[[#This Row],[check]]=1,Table134[[#This Row],[مساحت آدرس]]*Table134[[#This Row],[A0 Inc]],Table134[[#This Row],[A_tree]]*Table134[[#This Row],[اصله مستقل]])</f>
        <v>12150</v>
      </c>
      <c r="P314" s="11">
        <f>IF(Table134[[#This Row],[check]]=1,Table134[[#This Row],[A0]]/Table134[[#This Row],[اصله مستقل]],Table134[[#This Row],[A_tree]])</f>
        <v>9</v>
      </c>
    </row>
    <row r="315" spans="2:16" ht="18.600000000000001" x14ac:dyDescent="0.3">
      <c r="B315" s="4" t="s">
        <v>416</v>
      </c>
      <c r="C315" s="4">
        <v>957</v>
      </c>
      <c r="D315" s="4">
        <v>287</v>
      </c>
      <c r="E315" s="4">
        <v>465</v>
      </c>
      <c r="F315" s="4">
        <v>1430</v>
      </c>
      <c r="G315" s="2" t="s">
        <v>3</v>
      </c>
      <c r="H315" s="4">
        <v>9</v>
      </c>
      <c r="I315" s="4">
        <f>Table134[[#This Row],[اصله مستقل]]*Table134[[#This Row],[A_tree]]</f>
        <v>2583</v>
      </c>
      <c r="J315" s="4">
        <f>IF(Table134[[#This Row],[n * A_tree ]]&gt;Table134[[#This Row],[مساحت آدرس]],1,0)</f>
        <v>1</v>
      </c>
      <c r="K315" s="8">
        <f>IF(Table134[[#This Row],[check]]=1,1,Table134[[#This Row],[A_tree]]*Table134[[#This Row],[اصله مستقل]]/Table134[[#This Row],[مساحت آدرس]])</f>
        <v>1</v>
      </c>
      <c r="L315" s="14">
        <f>IF(Table134[[#This Row],[check]]=1,1,(Table134[[#This Row],[Psh]]+0.15*(1-Table134[[#This Row],[Psh]])))</f>
        <v>1</v>
      </c>
      <c r="M315" s="14">
        <f>IF(Table134[[#This Row],[check]]=1,0.65,1)</f>
        <v>0.65</v>
      </c>
      <c r="N315" s="4">
        <v>1</v>
      </c>
      <c r="O315" s="4">
        <f>IF(Table134[[#This Row],[check]]=1,Table134[[#This Row],[مساحت آدرس]]*Table134[[#This Row],[A0 Inc]],Table134[[#This Row],[A_tree]]*Table134[[#This Row],[اصله مستقل]])</f>
        <v>1430</v>
      </c>
      <c r="P315" s="11">
        <f>IF(Table134[[#This Row],[check]]=1,Table134[[#This Row],[A0]]/Table134[[#This Row],[اصله مستقل]],Table134[[#This Row],[A_tree]])</f>
        <v>4.9825783972125439</v>
      </c>
    </row>
    <row r="316" spans="2:16" ht="18.600000000000001" x14ac:dyDescent="0.3">
      <c r="B316" s="4" t="s">
        <v>417</v>
      </c>
      <c r="C316" s="4">
        <v>554</v>
      </c>
      <c r="D316" s="4">
        <v>554</v>
      </c>
      <c r="E316" s="4">
        <v>4250</v>
      </c>
      <c r="F316" s="4">
        <v>5150</v>
      </c>
      <c r="G316" s="2" t="s">
        <v>21</v>
      </c>
      <c r="H316" s="4">
        <v>9</v>
      </c>
      <c r="I316" s="4">
        <f>Table134[[#This Row],[اصله مستقل]]*Table134[[#This Row],[A_tree]]</f>
        <v>4986</v>
      </c>
      <c r="J316" s="4">
        <f>IF(Table134[[#This Row],[n * A_tree ]]&gt;Table134[[#This Row],[مساحت آدرس]],1,0)</f>
        <v>0</v>
      </c>
      <c r="K316" s="8">
        <f>IF(Table134[[#This Row],[check]]=1,1,Table134[[#This Row],[A_tree]]*Table134[[#This Row],[اصله مستقل]]/Table134[[#This Row],[مساحت آدرس]])</f>
        <v>0.96815533980582524</v>
      </c>
      <c r="L316" s="14">
        <f>IF(Table134[[#This Row],[check]]=1,1,(Table134[[#This Row],[Psh]]+0.15*(1-Table134[[#This Row],[Psh]])))</f>
        <v>0.9729320388349515</v>
      </c>
      <c r="M316" s="14">
        <f>IF(Table134[[#This Row],[check]]=1,0.65,1)</f>
        <v>1</v>
      </c>
      <c r="N316" s="4">
        <v>1</v>
      </c>
      <c r="O316" s="4">
        <f>IF(Table134[[#This Row],[check]]=1,Table134[[#This Row],[مساحت آدرس]]*Table134[[#This Row],[A0 Inc]],Table134[[#This Row],[A_tree]]*Table134[[#This Row],[اصله مستقل]])</f>
        <v>4986</v>
      </c>
      <c r="P316" s="11">
        <f>IF(Table134[[#This Row],[check]]=1,Table134[[#This Row],[A0]]/Table134[[#This Row],[اصله مستقل]],Table134[[#This Row],[A_tree]])</f>
        <v>9</v>
      </c>
    </row>
    <row r="317" spans="2:16" ht="18.600000000000001" x14ac:dyDescent="0.3">
      <c r="B317" s="4" t="s">
        <v>419</v>
      </c>
      <c r="C317" s="4">
        <v>283</v>
      </c>
      <c r="D317" s="4">
        <v>127</v>
      </c>
      <c r="E317" s="4">
        <v>161</v>
      </c>
      <c r="F317" s="4">
        <v>3827</v>
      </c>
      <c r="G317" s="2" t="s">
        <v>3</v>
      </c>
      <c r="H317" s="4">
        <v>9</v>
      </c>
      <c r="I317" s="4">
        <f>Table134[[#This Row],[اصله مستقل]]*Table134[[#This Row],[A_tree]]</f>
        <v>1143</v>
      </c>
      <c r="J317" s="4">
        <f>IF(Table134[[#This Row],[n * A_tree ]]&gt;Table134[[#This Row],[مساحت آدرس]],1,0)</f>
        <v>0</v>
      </c>
      <c r="K317" s="8">
        <f>IF(Table134[[#This Row],[check]]=1,1,Table134[[#This Row],[A_tree]]*Table134[[#This Row],[اصله مستقل]]/Table134[[#This Row],[مساحت آدرس]])</f>
        <v>0.29866736347008099</v>
      </c>
      <c r="L317" s="14">
        <f>IF(Table134[[#This Row],[check]]=1,1,(Table134[[#This Row],[Psh]]+0.15*(1-Table134[[#This Row],[Psh]])))</f>
        <v>0.40386725894956887</v>
      </c>
      <c r="M317" s="14">
        <f>IF(Table134[[#This Row],[check]]=1,0.65,1)</f>
        <v>1</v>
      </c>
      <c r="N317" s="4">
        <v>1</v>
      </c>
      <c r="O317" s="4">
        <f>IF(Table134[[#This Row],[check]]=1,Table134[[#This Row],[مساحت آدرس]]*Table134[[#This Row],[A0 Inc]],Table134[[#This Row],[A_tree]]*Table134[[#This Row],[اصله مستقل]])</f>
        <v>1143</v>
      </c>
      <c r="P317" s="11">
        <f>IF(Table134[[#This Row],[check]]=1,Table134[[#This Row],[A0]]/Table134[[#This Row],[اصله مستقل]],Table134[[#This Row],[A_tree]])</f>
        <v>9</v>
      </c>
    </row>
    <row r="318" spans="2:16" ht="18.600000000000001" x14ac:dyDescent="0.3">
      <c r="B318" s="4" t="s">
        <v>420</v>
      </c>
      <c r="C318" s="4">
        <v>65</v>
      </c>
      <c r="D318" s="4">
        <v>4.333333333333333</v>
      </c>
      <c r="E318" s="4">
        <v>260</v>
      </c>
      <c r="F318" s="4">
        <v>534</v>
      </c>
      <c r="G318" s="2" t="s">
        <v>66</v>
      </c>
      <c r="H318" s="4">
        <v>9</v>
      </c>
      <c r="I318" s="4">
        <f>Table134[[#This Row],[اصله مستقل]]*Table134[[#This Row],[A_tree]]</f>
        <v>39</v>
      </c>
      <c r="J318" s="4">
        <f>IF(Table134[[#This Row],[n * A_tree ]]&gt;Table134[[#This Row],[مساحت آدرس]],1,0)</f>
        <v>0</v>
      </c>
      <c r="K318" s="8">
        <f>IF(Table134[[#This Row],[check]]=1,1,Table134[[#This Row],[A_tree]]*Table134[[#This Row],[اصله مستقل]]/Table134[[#This Row],[مساحت آدرس]])</f>
        <v>7.3033707865168537E-2</v>
      </c>
      <c r="L318" s="14">
        <f>IF(Table134[[#This Row],[check]]=1,1,(Table134[[#This Row],[Psh]]+0.15*(1-Table134[[#This Row],[Psh]])))</f>
        <v>0.21207865168539325</v>
      </c>
      <c r="M318" s="14">
        <f>IF(Table134[[#This Row],[check]]=1,0.65,1)</f>
        <v>1</v>
      </c>
      <c r="N318" s="4">
        <v>1</v>
      </c>
      <c r="O318" s="4">
        <f>IF(Table134[[#This Row],[check]]=1,Table134[[#This Row],[مساحت آدرس]]*Table134[[#This Row],[A0 Inc]],Table134[[#This Row],[A_tree]]*Table134[[#This Row],[اصله مستقل]])</f>
        <v>39</v>
      </c>
      <c r="P318" s="11">
        <f>IF(Table134[[#This Row],[check]]=1,Table134[[#This Row],[A0]]/Table134[[#This Row],[اصله مستقل]],Table134[[#This Row],[A_tree]])</f>
        <v>9</v>
      </c>
    </row>
    <row r="319" spans="2:16" ht="18.600000000000001" x14ac:dyDescent="0.3">
      <c r="B319" s="4" t="s">
        <v>421</v>
      </c>
      <c r="C319" s="4">
        <v>110</v>
      </c>
      <c r="D319" s="4">
        <v>7.333333333333333</v>
      </c>
      <c r="E319" s="4">
        <v>440</v>
      </c>
      <c r="F319" s="4">
        <v>1086</v>
      </c>
      <c r="G319" s="2" t="s">
        <v>66</v>
      </c>
      <c r="H319" s="4">
        <v>9</v>
      </c>
      <c r="I319" s="4">
        <f>Table134[[#This Row],[اصله مستقل]]*Table134[[#This Row],[A_tree]]</f>
        <v>66</v>
      </c>
      <c r="J319" s="4">
        <f>IF(Table134[[#This Row],[n * A_tree ]]&gt;Table134[[#This Row],[مساحت آدرس]],1,0)</f>
        <v>0</v>
      </c>
      <c r="K319" s="8">
        <f>IF(Table134[[#This Row],[check]]=1,1,Table134[[#This Row],[A_tree]]*Table134[[#This Row],[اصله مستقل]]/Table134[[#This Row],[مساحت آدرس]])</f>
        <v>6.0773480662983423E-2</v>
      </c>
      <c r="L319" s="14">
        <f>IF(Table134[[#This Row],[check]]=1,1,(Table134[[#This Row],[Psh]]+0.15*(1-Table134[[#This Row],[Psh]])))</f>
        <v>0.2016574585635359</v>
      </c>
      <c r="M319" s="14">
        <f>IF(Table134[[#This Row],[check]]=1,0.65,1)</f>
        <v>1</v>
      </c>
      <c r="N319" s="4">
        <v>1</v>
      </c>
      <c r="O319" s="4">
        <f>IF(Table134[[#This Row],[check]]=1,Table134[[#This Row],[مساحت آدرس]]*Table134[[#This Row],[A0 Inc]],Table134[[#This Row],[A_tree]]*Table134[[#This Row],[اصله مستقل]])</f>
        <v>66</v>
      </c>
      <c r="P319" s="11">
        <f>IF(Table134[[#This Row],[check]]=1,Table134[[#This Row],[A0]]/Table134[[#This Row],[اصله مستقل]],Table134[[#This Row],[A_tree]])</f>
        <v>9</v>
      </c>
    </row>
    <row r="320" spans="2:16" ht="18.600000000000001" x14ac:dyDescent="0.3">
      <c r="B320" s="4" t="s">
        <v>422</v>
      </c>
      <c r="C320" s="4">
        <v>304</v>
      </c>
      <c r="D320" s="4">
        <v>51.266666666666666</v>
      </c>
      <c r="E320" s="4">
        <v>2040</v>
      </c>
      <c r="F320" s="4">
        <v>2080</v>
      </c>
      <c r="G320" s="2" t="s">
        <v>62</v>
      </c>
      <c r="H320" s="4">
        <v>9</v>
      </c>
      <c r="I320" s="4">
        <f>Table134[[#This Row],[اصله مستقل]]*Table134[[#This Row],[A_tree]]</f>
        <v>461.4</v>
      </c>
      <c r="J320" s="4">
        <f>IF(Table134[[#This Row],[n * A_tree ]]&gt;Table134[[#This Row],[مساحت آدرس]],1,0)</f>
        <v>0</v>
      </c>
      <c r="K320" s="8">
        <f>IF(Table134[[#This Row],[check]]=1,1,Table134[[#This Row],[A_tree]]*Table134[[#This Row],[اصله مستقل]]/Table134[[#This Row],[مساحت آدرس]])</f>
        <v>0.22182692307692306</v>
      </c>
      <c r="L320" s="14">
        <f>IF(Table134[[#This Row],[check]]=1,1,(Table134[[#This Row],[Psh]]+0.15*(1-Table134[[#This Row],[Psh]])))</f>
        <v>0.33855288461538458</v>
      </c>
      <c r="M320" s="14">
        <f>IF(Table134[[#This Row],[check]]=1,0.65,1)</f>
        <v>1</v>
      </c>
      <c r="N320" s="4">
        <v>1</v>
      </c>
      <c r="O320" s="4">
        <f>IF(Table134[[#This Row],[check]]=1,Table134[[#This Row],[مساحت آدرس]]*Table134[[#This Row],[A0 Inc]],Table134[[#This Row],[A_tree]]*Table134[[#This Row],[اصله مستقل]])</f>
        <v>461.4</v>
      </c>
      <c r="P320" s="11">
        <f>IF(Table134[[#This Row],[check]]=1,Table134[[#This Row],[A0]]/Table134[[#This Row],[اصله مستقل]],Table134[[#This Row],[A_tree]])</f>
        <v>9</v>
      </c>
    </row>
    <row r="321" spans="2:16" ht="18.600000000000001" x14ac:dyDescent="0.3">
      <c r="B321" s="4" t="s">
        <v>423</v>
      </c>
      <c r="C321" s="4">
        <v>715</v>
      </c>
      <c r="D321" s="4">
        <v>30.466666666666665</v>
      </c>
      <c r="E321" s="4">
        <v>2530</v>
      </c>
      <c r="F321" s="4">
        <v>10865</v>
      </c>
      <c r="G321" s="2" t="s">
        <v>283</v>
      </c>
      <c r="H321" s="4">
        <v>9</v>
      </c>
      <c r="I321" s="4">
        <f>Table134[[#This Row],[اصله مستقل]]*Table134[[#This Row],[A_tree]]</f>
        <v>274.2</v>
      </c>
      <c r="J321" s="4">
        <f>IF(Table134[[#This Row],[n * A_tree ]]&gt;Table134[[#This Row],[مساحت آدرس]],1,0)</f>
        <v>0</v>
      </c>
      <c r="K321" s="8">
        <f>IF(Table134[[#This Row],[check]]=1,1,Table134[[#This Row],[A_tree]]*Table134[[#This Row],[اصله مستقل]]/Table134[[#This Row],[مساحت آدرس]])</f>
        <v>2.5236999539806716E-2</v>
      </c>
      <c r="L321" s="14">
        <f>IF(Table134[[#This Row],[check]]=1,1,(Table134[[#This Row],[Psh]]+0.15*(1-Table134[[#This Row],[Psh]])))</f>
        <v>0.17145144960883568</v>
      </c>
      <c r="M321" s="14">
        <f>IF(Table134[[#This Row],[check]]=1,0.65,1)</f>
        <v>1</v>
      </c>
      <c r="N321" s="4">
        <v>1</v>
      </c>
      <c r="O321" s="4">
        <f>IF(Table134[[#This Row],[check]]=1,Table134[[#This Row],[مساحت آدرس]]*Table134[[#This Row],[A0 Inc]],Table134[[#This Row],[A_tree]]*Table134[[#This Row],[اصله مستقل]])</f>
        <v>274.2</v>
      </c>
      <c r="P321" s="11">
        <f>IF(Table134[[#This Row],[check]]=1,Table134[[#This Row],[A0]]/Table134[[#This Row],[اصله مستقل]],Table134[[#This Row],[A_tree]])</f>
        <v>9</v>
      </c>
    </row>
    <row r="322" spans="2:16" ht="18.600000000000001" x14ac:dyDescent="0.3">
      <c r="B322" s="4" t="s">
        <v>442</v>
      </c>
      <c r="C322" s="4">
        <v>570</v>
      </c>
      <c r="D322" s="4">
        <v>570</v>
      </c>
      <c r="E322" s="4">
        <v>2575</v>
      </c>
      <c r="F322" s="4">
        <v>5035</v>
      </c>
      <c r="G322" s="2" t="s">
        <v>3</v>
      </c>
      <c r="H322" s="4">
        <v>9</v>
      </c>
      <c r="I322" s="4">
        <f>Table134[[#This Row],[اصله مستقل]]*Table134[[#This Row],[A_tree]]</f>
        <v>5130</v>
      </c>
      <c r="J322" s="4">
        <f>IF(Table134[[#This Row],[n * A_tree ]]&gt;Table134[[#This Row],[مساحت آدرس]],1,0)</f>
        <v>1</v>
      </c>
      <c r="K322" s="8">
        <f>IF(Table134[[#This Row],[check]]=1,1,Table134[[#This Row],[A_tree]]*Table134[[#This Row],[اصله مستقل]]/Table134[[#This Row],[مساحت آدرس]])</f>
        <v>1</v>
      </c>
      <c r="L322" s="14">
        <f>IF(Table134[[#This Row],[check]]=1,1,(Table134[[#This Row],[Psh]]+0.15*(1-Table134[[#This Row],[Psh]])))</f>
        <v>1</v>
      </c>
      <c r="M322" s="14">
        <f>IF(Table134[[#This Row],[check]]=1,0.65,1)</f>
        <v>0.65</v>
      </c>
      <c r="N322" s="4">
        <v>1</v>
      </c>
      <c r="O322" s="4">
        <f>IF(Table134[[#This Row],[check]]=1,Table134[[#This Row],[مساحت آدرس]]*Table134[[#This Row],[A0 Inc]],Table134[[#This Row],[A_tree]]*Table134[[#This Row],[اصله مستقل]])</f>
        <v>5035</v>
      </c>
      <c r="P322" s="11">
        <f>IF(Table134[[#This Row],[check]]=1,Table134[[#This Row],[A0]]/Table134[[#This Row],[اصله مستقل]],Table134[[#This Row],[A_tree]])</f>
        <v>8.8333333333333339</v>
      </c>
    </row>
    <row r="323" spans="2:16" ht="18.600000000000001" x14ac:dyDescent="0.3">
      <c r="B323" s="4" t="s">
        <v>443</v>
      </c>
      <c r="C323" s="4">
        <v>337</v>
      </c>
      <c r="D323" s="4">
        <v>337</v>
      </c>
      <c r="E323" s="4">
        <v>1050</v>
      </c>
      <c r="F323" s="4">
        <v>3910</v>
      </c>
      <c r="G323" s="2" t="s">
        <v>3</v>
      </c>
      <c r="H323" s="4">
        <v>9</v>
      </c>
      <c r="I323" s="4">
        <f>Table134[[#This Row],[اصله مستقل]]*Table134[[#This Row],[A_tree]]</f>
        <v>3033</v>
      </c>
      <c r="J323" s="4">
        <f>IF(Table134[[#This Row],[n * A_tree ]]&gt;Table134[[#This Row],[مساحت آدرس]],1,0)</f>
        <v>0</v>
      </c>
      <c r="K323" s="8">
        <f>IF(Table134[[#This Row],[check]]=1,1,Table134[[#This Row],[A_tree]]*Table134[[#This Row],[اصله مستقل]]/Table134[[#This Row],[مساحت آدرس]])</f>
        <v>0.77570332480818416</v>
      </c>
      <c r="L323" s="14">
        <f>IF(Table134[[#This Row],[check]]=1,1,(Table134[[#This Row],[Psh]]+0.15*(1-Table134[[#This Row],[Psh]])))</f>
        <v>0.80934782608695655</v>
      </c>
      <c r="M323" s="14">
        <f>IF(Table134[[#This Row],[check]]=1,0.65,1)</f>
        <v>1</v>
      </c>
      <c r="N323" s="4">
        <v>1</v>
      </c>
      <c r="O323" s="4">
        <f>IF(Table134[[#This Row],[check]]=1,Table134[[#This Row],[مساحت آدرس]]*Table134[[#This Row],[A0 Inc]],Table134[[#This Row],[A_tree]]*Table134[[#This Row],[اصله مستقل]])</f>
        <v>3033</v>
      </c>
      <c r="P323" s="11">
        <f>IF(Table134[[#This Row],[check]]=1,Table134[[#This Row],[A0]]/Table134[[#This Row],[اصله مستقل]],Table134[[#This Row],[A_tree]])</f>
        <v>9</v>
      </c>
    </row>
    <row r="324" spans="2:16" ht="18.600000000000001" x14ac:dyDescent="0.3">
      <c r="B324" s="4" t="s">
        <v>444</v>
      </c>
      <c r="C324" s="4">
        <v>945</v>
      </c>
      <c r="D324" s="4">
        <v>945</v>
      </c>
      <c r="E324" s="4">
        <v>4725</v>
      </c>
      <c r="F324" s="4">
        <v>4725</v>
      </c>
      <c r="G324" s="2" t="s">
        <v>3</v>
      </c>
      <c r="H324" s="4">
        <v>9</v>
      </c>
      <c r="I324" s="4">
        <f>Table134[[#This Row],[اصله مستقل]]*Table134[[#This Row],[A_tree]]</f>
        <v>8505</v>
      </c>
      <c r="J324" s="4">
        <f>IF(Table134[[#This Row],[n * A_tree ]]&gt;Table134[[#This Row],[مساحت آدرس]],1,0)</f>
        <v>1</v>
      </c>
      <c r="K324" s="8">
        <f>IF(Table134[[#This Row],[check]]=1,1,Table134[[#This Row],[A_tree]]*Table134[[#This Row],[اصله مستقل]]/Table134[[#This Row],[مساحت آدرس]])</f>
        <v>1</v>
      </c>
      <c r="L324" s="14">
        <f>IF(Table134[[#This Row],[check]]=1,1,(Table134[[#This Row],[Psh]]+0.15*(1-Table134[[#This Row],[Psh]])))</f>
        <v>1</v>
      </c>
      <c r="M324" s="14">
        <f>IF(Table134[[#This Row],[check]]=1,0.65,1)</f>
        <v>0.65</v>
      </c>
      <c r="N324" s="4">
        <v>1</v>
      </c>
      <c r="O324" s="4">
        <f>IF(Table134[[#This Row],[check]]=1,Table134[[#This Row],[مساحت آدرس]]*Table134[[#This Row],[A0 Inc]],Table134[[#This Row],[A_tree]]*Table134[[#This Row],[اصله مستقل]])</f>
        <v>4725</v>
      </c>
      <c r="P324" s="11">
        <f>IF(Table134[[#This Row],[check]]=1,Table134[[#This Row],[A0]]/Table134[[#This Row],[اصله مستقل]],Table134[[#This Row],[A_tree]])</f>
        <v>5</v>
      </c>
    </row>
    <row r="325" spans="2:16" ht="18.600000000000001" x14ac:dyDescent="0.3">
      <c r="B325" s="4" t="s">
        <v>445</v>
      </c>
      <c r="C325" s="4">
        <v>642</v>
      </c>
      <c r="D325" s="4">
        <v>642</v>
      </c>
      <c r="E325" s="4">
        <v>1926</v>
      </c>
      <c r="F325" s="4">
        <v>1926</v>
      </c>
      <c r="G325" s="2" t="s">
        <v>21</v>
      </c>
      <c r="H325" s="4">
        <v>9</v>
      </c>
      <c r="I325" s="4">
        <f>Table134[[#This Row],[اصله مستقل]]*Table134[[#This Row],[A_tree]]</f>
        <v>5778</v>
      </c>
      <c r="J325" s="4">
        <f>IF(Table134[[#This Row],[n * A_tree ]]&gt;Table134[[#This Row],[مساحت آدرس]],1,0)</f>
        <v>1</v>
      </c>
      <c r="K325" s="8">
        <f>IF(Table134[[#This Row],[check]]=1,1,Table134[[#This Row],[A_tree]]*Table134[[#This Row],[اصله مستقل]]/Table134[[#This Row],[مساحت آدرس]])</f>
        <v>1</v>
      </c>
      <c r="L325" s="14">
        <f>IF(Table134[[#This Row],[check]]=1,1,(Table134[[#This Row],[Psh]]+0.15*(1-Table134[[#This Row],[Psh]])))</f>
        <v>1</v>
      </c>
      <c r="M325" s="14">
        <f>IF(Table134[[#This Row],[check]]=1,0.65,1)</f>
        <v>0.65</v>
      </c>
      <c r="N325" s="4">
        <v>1</v>
      </c>
      <c r="O325" s="4">
        <f>IF(Table134[[#This Row],[check]]=1,Table134[[#This Row],[مساحت آدرس]]*Table134[[#This Row],[A0 Inc]],Table134[[#This Row],[A_tree]]*Table134[[#This Row],[اصله مستقل]])</f>
        <v>1926</v>
      </c>
      <c r="P325" s="11">
        <f>IF(Table134[[#This Row],[check]]=1,Table134[[#This Row],[A0]]/Table134[[#This Row],[اصله مستقل]],Table134[[#This Row],[A_tree]])</f>
        <v>3</v>
      </c>
    </row>
    <row r="326" spans="2:16" ht="18.600000000000001" x14ac:dyDescent="0.3">
      <c r="B326" s="4" t="s">
        <v>446</v>
      </c>
      <c r="C326" s="4">
        <v>78</v>
      </c>
      <c r="D326" s="4">
        <v>78</v>
      </c>
      <c r="E326" s="4">
        <v>78</v>
      </c>
      <c r="F326" s="4">
        <v>78</v>
      </c>
      <c r="G326" s="2" t="s">
        <v>21</v>
      </c>
      <c r="H326" s="4">
        <v>9</v>
      </c>
      <c r="I326" s="4">
        <f>Table134[[#This Row],[اصله مستقل]]*Table134[[#This Row],[A_tree]]</f>
        <v>702</v>
      </c>
      <c r="J326" s="4">
        <f>IF(Table134[[#This Row],[n * A_tree ]]&gt;Table134[[#This Row],[مساحت آدرس]],1,0)</f>
        <v>1</v>
      </c>
      <c r="K326" s="8">
        <f>IF(Table134[[#This Row],[check]]=1,1,Table134[[#This Row],[A_tree]]*Table134[[#This Row],[اصله مستقل]]/Table134[[#This Row],[مساحت آدرس]])</f>
        <v>1</v>
      </c>
      <c r="L326" s="14">
        <f>IF(Table134[[#This Row],[check]]=1,1,(Table134[[#This Row],[Psh]]+0.15*(1-Table134[[#This Row],[Psh]])))</f>
        <v>1</v>
      </c>
      <c r="M326" s="14">
        <f>IF(Table134[[#This Row],[check]]=1,0.65,1)</f>
        <v>0.65</v>
      </c>
      <c r="N326" s="4">
        <v>1</v>
      </c>
      <c r="O326" s="4">
        <f>IF(Table134[[#This Row],[check]]=1,Table134[[#This Row],[مساحت آدرس]]*Table134[[#This Row],[A0 Inc]],Table134[[#This Row],[A_tree]]*Table134[[#This Row],[اصله مستقل]])</f>
        <v>78</v>
      </c>
      <c r="P326" s="11">
        <f>IF(Table134[[#This Row],[check]]=1,Table134[[#This Row],[A0]]/Table134[[#This Row],[اصله مستقل]],Table134[[#This Row],[A_tree]])</f>
        <v>1</v>
      </c>
    </row>
    <row r="327" spans="2:16" ht="18.600000000000001" x14ac:dyDescent="0.3">
      <c r="B327" s="4" t="s">
        <v>447</v>
      </c>
      <c r="C327" s="4">
        <v>256</v>
      </c>
      <c r="D327" s="4">
        <v>102</v>
      </c>
      <c r="E327" s="4">
        <v>204</v>
      </c>
      <c r="F327" s="4">
        <v>2154</v>
      </c>
      <c r="G327" s="2" t="s">
        <v>21</v>
      </c>
      <c r="H327" s="4">
        <v>9</v>
      </c>
      <c r="I327" s="4">
        <f>Table134[[#This Row],[اصله مستقل]]*Table134[[#This Row],[A_tree]]</f>
        <v>918</v>
      </c>
      <c r="J327" s="4">
        <f>IF(Table134[[#This Row],[n * A_tree ]]&gt;Table134[[#This Row],[مساحت آدرس]],1,0)</f>
        <v>0</v>
      </c>
      <c r="K327" s="8">
        <f>IF(Table134[[#This Row],[check]]=1,1,Table134[[#This Row],[A_tree]]*Table134[[#This Row],[اصله مستقل]]/Table134[[#This Row],[مساحت آدرس]])</f>
        <v>0.42618384401114207</v>
      </c>
      <c r="L327" s="14">
        <f>IF(Table134[[#This Row],[check]]=1,1,(Table134[[#This Row],[Psh]]+0.15*(1-Table134[[#This Row],[Psh]])))</f>
        <v>0.51225626740947072</v>
      </c>
      <c r="M327" s="14">
        <f>IF(Table134[[#This Row],[check]]=1,0.65,1)</f>
        <v>1</v>
      </c>
      <c r="N327" s="4">
        <v>1</v>
      </c>
      <c r="O327" s="4">
        <f>IF(Table134[[#This Row],[check]]=1,Table134[[#This Row],[مساحت آدرس]]*Table134[[#This Row],[A0 Inc]],Table134[[#This Row],[A_tree]]*Table134[[#This Row],[اصله مستقل]])</f>
        <v>918</v>
      </c>
      <c r="P327" s="11">
        <f>IF(Table134[[#This Row],[check]]=1,Table134[[#This Row],[A0]]/Table134[[#This Row],[اصله مستقل]],Table134[[#This Row],[A_tree]])</f>
        <v>9</v>
      </c>
    </row>
    <row r="328" spans="2:16" ht="18.600000000000001" x14ac:dyDescent="0.3">
      <c r="B328" s="4" t="s">
        <v>448</v>
      </c>
      <c r="C328" s="4">
        <v>56</v>
      </c>
      <c r="D328" s="4">
        <v>56</v>
      </c>
      <c r="E328" s="4">
        <v>56</v>
      </c>
      <c r="F328" s="4">
        <v>56</v>
      </c>
      <c r="G328" s="2" t="s">
        <v>21</v>
      </c>
      <c r="H328" s="4">
        <v>9</v>
      </c>
      <c r="I328" s="4">
        <f>Table134[[#This Row],[اصله مستقل]]*Table134[[#This Row],[A_tree]]</f>
        <v>504</v>
      </c>
      <c r="J328" s="4">
        <f>IF(Table134[[#This Row],[n * A_tree ]]&gt;Table134[[#This Row],[مساحت آدرس]],1,0)</f>
        <v>1</v>
      </c>
      <c r="K328" s="8">
        <f>IF(Table134[[#This Row],[check]]=1,1,Table134[[#This Row],[A_tree]]*Table134[[#This Row],[اصله مستقل]]/Table134[[#This Row],[مساحت آدرس]])</f>
        <v>1</v>
      </c>
      <c r="L328" s="14">
        <f>IF(Table134[[#This Row],[check]]=1,1,(Table134[[#This Row],[Psh]]+0.15*(1-Table134[[#This Row],[Psh]])))</f>
        <v>1</v>
      </c>
      <c r="M328" s="14">
        <f>IF(Table134[[#This Row],[check]]=1,0.65,1)</f>
        <v>0.65</v>
      </c>
      <c r="N328" s="4">
        <v>1</v>
      </c>
      <c r="O328" s="4">
        <f>IF(Table134[[#This Row],[check]]=1,Table134[[#This Row],[مساحت آدرس]]*Table134[[#This Row],[A0 Inc]],Table134[[#This Row],[A_tree]]*Table134[[#This Row],[اصله مستقل]])</f>
        <v>56</v>
      </c>
      <c r="P328" s="11">
        <f>IF(Table134[[#This Row],[check]]=1,Table134[[#This Row],[A0]]/Table134[[#This Row],[اصله مستقل]],Table134[[#This Row],[A_tree]])</f>
        <v>1</v>
      </c>
    </row>
    <row r="329" spans="2:16" ht="18.600000000000001" x14ac:dyDescent="0.3">
      <c r="B329" s="4" t="s">
        <v>449</v>
      </c>
      <c r="C329" s="4">
        <v>358</v>
      </c>
      <c r="D329" s="4">
        <v>337</v>
      </c>
      <c r="E329" s="4">
        <v>1081</v>
      </c>
      <c r="F329" s="4">
        <v>1081</v>
      </c>
      <c r="G329" s="2" t="s">
        <v>62</v>
      </c>
      <c r="H329" s="4">
        <v>9</v>
      </c>
      <c r="I329" s="4">
        <f>Table134[[#This Row],[اصله مستقل]]*Table134[[#This Row],[A_tree]]</f>
        <v>3033</v>
      </c>
      <c r="J329" s="4">
        <f>IF(Table134[[#This Row],[n * A_tree ]]&gt;Table134[[#This Row],[مساحت آدرس]],1,0)</f>
        <v>1</v>
      </c>
      <c r="K329" s="8">
        <f>IF(Table134[[#This Row],[check]]=1,1,Table134[[#This Row],[A_tree]]*Table134[[#This Row],[اصله مستقل]]/Table134[[#This Row],[مساحت آدرس]])</f>
        <v>1</v>
      </c>
      <c r="L329" s="14">
        <f>IF(Table134[[#This Row],[check]]=1,1,(Table134[[#This Row],[Psh]]+0.15*(1-Table134[[#This Row],[Psh]])))</f>
        <v>1</v>
      </c>
      <c r="M329" s="14">
        <f>IF(Table134[[#This Row],[check]]=1,0.65,1)</f>
        <v>0.65</v>
      </c>
      <c r="N329" s="4">
        <v>1</v>
      </c>
      <c r="O329" s="4">
        <f>IF(Table134[[#This Row],[check]]=1,Table134[[#This Row],[مساحت آدرس]]*Table134[[#This Row],[A0 Inc]],Table134[[#This Row],[A_tree]]*Table134[[#This Row],[اصله مستقل]])</f>
        <v>1081</v>
      </c>
      <c r="P329" s="11">
        <f>IF(Table134[[#This Row],[check]]=1,Table134[[#This Row],[A0]]/Table134[[#This Row],[اصله مستقل]],Table134[[#This Row],[A_tree]])</f>
        <v>3.2077151335311571</v>
      </c>
    </row>
    <row r="330" spans="2:16" ht="18.600000000000001" x14ac:dyDescent="0.3">
      <c r="B330" s="4" t="s">
        <v>450</v>
      </c>
      <c r="C330" s="4">
        <v>71</v>
      </c>
      <c r="D330" s="4">
        <v>71</v>
      </c>
      <c r="E330" s="4">
        <v>71</v>
      </c>
      <c r="F330" s="4">
        <v>1691</v>
      </c>
      <c r="G330" s="2" t="s">
        <v>66</v>
      </c>
      <c r="H330" s="4">
        <v>9</v>
      </c>
      <c r="I330" s="4">
        <f>Table134[[#This Row],[اصله مستقل]]*Table134[[#This Row],[A_tree]]</f>
        <v>639</v>
      </c>
      <c r="J330" s="4">
        <f>IF(Table134[[#This Row],[n * A_tree ]]&gt;Table134[[#This Row],[مساحت آدرس]],1,0)</f>
        <v>0</v>
      </c>
      <c r="K330" s="8">
        <f>IF(Table134[[#This Row],[check]]=1,1,Table134[[#This Row],[A_tree]]*Table134[[#This Row],[اصله مستقل]]/Table134[[#This Row],[مساحت آدرس]])</f>
        <v>0.37788290952099352</v>
      </c>
      <c r="L330" s="14">
        <f>IF(Table134[[#This Row],[check]]=1,1,(Table134[[#This Row],[Psh]]+0.15*(1-Table134[[#This Row],[Psh]])))</f>
        <v>0.47120047309284452</v>
      </c>
      <c r="M330" s="14">
        <f>IF(Table134[[#This Row],[check]]=1,0.65,1)</f>
        <v>1</v>
      </c>
      <c r="N330" s="4">
        <v>1</v>
      </c>
      <c r="O330" s="4">
        <f>IF(Table134[[#This Row],[check]]=1,Table134[[#This Row],[مساحت آدرس]]*Table134[[#This Row],[A0 Inc]],Table134[[#This Row],[A_tree]]*Table134[[#This Row],[اصله مستقل]])</f>
        <v>639</v>
      </c>
      <c r="P330" s="11">
        <f>IF(Table134[[#This Row],[check]]=1,Table134[[#This Row],[A0]]/Table134[[#This Row],[اصله مستقل]],Table134[[#This Row],[A_tree]])</f>
        <v>9</v>
      </c>
    </row>
    <row r="331" spans="2:16" ht="18.600000000000001" x14ac:dyDescent="0.3">
      <c r="B331" s="4" t="s">
        <v>454</v>
      </c>
      <c r="C331" s="4">
        <v>329</v>
      </c>
      <c r="D331" s="4">
        <v>57</v>
      </c>
      <c r="E331" s="4">
        <v>73</v>
      </c>
      <c r="F331" s="4">
        <v>2373</v>
      </c>
      <c r="G331" s="2" t="s">
        <v>3</v>
      </c>
      <c r="H331" s="4">
        <v>9</v>
      </c>
      <c r="I331" s="4">
        <f>Table134[[#This Row],[اصله مستقل]]*Table134[[#This Row],[A_tree]]</f>
        <v>513</v>
      </c>
      <c r="J331" s="4">
        <f>IF(Table134[[#This Row],[n * A_tree ]]&gt;Table134[[#This Row],[مساحت آدرس]],1,0)</f>
        <v>0</v>
      </c>
      <c r="K331" s="8">
        <f>IF(Table134[[#This Row],[check]]=1,1,Table134[[#This Row],[A_tree]]*Table134[[#This Row],[اصله مستقل]]/Table134[[#This Row],[مساحت آدرس]])</f>
        <v>0.21618204804045513</v>
      </c>
      <c r="L331" s="14">
        <f>IF(Table134[[#This Row],[check]]=1,1,(Table134[[#This Row],[Psh]]+0.15*(1-Table134[[#This Row],[Psh]])))</f>
        <v>0.33375474083438683</v>
      </c>
      <c r="M331" s="14">
        <f>IF(Table134[[#This Row],[check]]=1,0.65,1)</f>
        <v>1</v>
      </c>
      <c r="N331" s="4">
        <v>1</v>
      </c>
      <c r="O331" s="4">
        <f>IF(Table134[[#This Row],[check]]=1,Table134[[#This Row],[مساحت آدرس]]*Table134[[#This Row],[A0 Inc]],Table134[[#This Row],[A_tree]]*Table134[[#This Row],[اصله مستقل]])</f>
        <v>513</v>
      </c>
      <c r="P331" s="11">
        <f>IF(Table134[[#This Row],[check]]=1,Table134[[#This Row],[A0]]/Table134[[#This Row],[اصله مستقل]],Table134[[#This Row],[A_tree]])</f>
        <v>9</v>
      </c>
    </row>
    <row r="332" spans="2:16" ht="18.600000000000001" x14ac:dyDescent="0.3">
      <c r="B332" s="4" t="s">
        <v>455</v>
      </c>
      <c r="C332" s="4">
        <v>791</v>
      </c>
      <c r="D332" s="4">
        <v>449.33333333333337</v>
      </c>
      <c r="E332" s="4">
        <v>675</v>
      </c>
      <c r="F332" s="4">
        <v>2207</v>
      </c>
      <c r="G332" s="2" t="s">
        <v>21</v>
      </c>
      <c r="H332" s="4">
        <v>9</v>
      </c>
      <c r="I332" s="4">
        <f>Table134[[#This Row],[اصله مستقل]]*Table134[[#This Row],[A_tree]]</f>
        <v>4044.0000000000005</v>
      </c>
      <c r="J332" s="4">
        <f>IF(Table134[[#This Row],[n * A_tree ]]&gt;Table134[[#This Row],[مساحت آدرس]],1,0)</f>
        <v>1</v>
      </c>
      <c r="K332" s="8">
        <f>IF(Table134[[#This Row],[check]]=1,1,Table134[[#This Row],[A_tree]]*Table134[[#This Row],[اصله مستقل]]/Table134[[#This Row],[مساحت آدرس]])</f>
        <v>1</v>
      </c>
      <c r="L332" s="14">
        <f>IF(Table134[[#This Row],[check]]=1,1,(Table134[[#This Row],[Psh]]+0.15*(1-Table134[[#This Row],[Psh]])))</f>
        <v>1</v>
      </c>
      <c r="M332" s="14">
        <f>IF(Table134[[#This Row],[check]]=1,0.65,1)</f>
        <v>0.65</v>
      </c>
      <c r="N332" s="4">
        <v>1</v>
      </c>
      <c r="O332" s="4">
        <f>IF(Table134[[#This Row],[check]]=1,Table134[[#This Row],[مساحت آدرس]]*Table134[[#This Row],[A0 Inc]],Table134[[#This Row],[A_tree]]*Table134[[#This Row],[اصله مستقل]])</f>
        <v>2207</v>
      </c>
      <c r="P332" s="11">
        <f>IF(Table134[[#This Row],[check]]=1,Table134[[#This Row],[A0]]/Table134[[#This Row],[اصله مستقل]],Table134[[#This Row],[A_tree]])</f>
        <v>4.9117210682492578</v>
      </c>
    </row>
    <row r="333" spans="2:16" ht="18.600000000000001" x14ac:dyDescent="0.3">
      <c r="B333" s="4" t="s">
        <v>458</v>
      </c>
      <c r="C333" s="4">
        <v>380</v>
      </c>
      <c r="D333" s="4">
        <v>88</v>
      </c>
      <c r="E333" s="4">
        <v>88</v>
      </c>
      <c r="F333" s="4">
        <v>868</v>
      </c>
      <c r="G333" s="2" t="s">
        <v>21</v>
      </c>
      <c r="H333" s="4">
        <v>9</v>
      </c>
      <c r="I333" s="4">
        <f>Table134[[#This Row],[اصله مستقل]]*Table134[[#This Row],[A_tree]]</f>
        <v>792</v>
      </c>
      <c r="J333" s="4">
        <f>IF(Table134[[#This Row],[n * A_tree ]]&gt;Table134[[#This Row],[مساحت آدرس]],1,0)</f>
        <v>0</v>
      </c>
      <c r="K333" s="8">
        <f>IF(Table134[[#This Row],[check]]=1,1,Table134[[#This Row],[A_tree]]*Table134[[#This Row],[اصله مستقل]]/Table134[[#This Row],[مساحت آدرس]])</f>
        <v>0.9124423963133641</v>
      </c>
      <c r="L333" s="14">
        <f>IF(Table134[[#This Row],[check]]=1,1,(Table134[[#This Row],[Psh]]+0.15*(1-Table134[[#This Row],[Psh]])))</f>
        <v>0.92557603686635948</v>
      </c>
      <c r="M333" s="14">
        <f>IF(Table134[[#This Row],[check]]=1,0.65,1)</f>
        <v>1</v>
      </c>
      <c r="N333" s="4">
        <v>1</v>
      </c>
      <c r="O333" s="4">
        <f>IF(Table134[[#This Row],[check]]=1,Table134[[#This Row],[مساحت آدرس]]*Table134[[#This Row],[A0 Inc]],Table134[[#This Row],[A_tree]]*Table134[[#This Row],[اصله مستقل]])</f>
        <v>792</v>
      </c>
      <c r="P333" s="11">
        <f>IF(Table134[[#This Row],[check]]=1,Table134[[#This Row],[A0]]/Table134[[#This Row],[اصله مستقل]],Table134[[#This Row],[A_tree]])</f>
        <v>9</v>
      </c>
    </row>
    <row r="334" spans="2:16" ht="18.600000000000001" x14ac:dyDescent="0.3">
      <c r="B334" s="4" t="s">
        <v>459</v>
      </c>
      <c r="C334" s="4">
        <v>207</v>
      </c>
      <c r="D334" s="4">
        <v>23</v>
      </c>
      <c r="E334" s="4">
        <v>23</v>
      </c>
      <c r="F334" s="4">
        <v>796</v>
      </c>
      <c r="G334" s="2" t="s">
        <v>21</v>
      </c>
      <c r="H334" s="4">
        <v>9</v>
      </c>
      <c r="I334" s="4">
        <f>Table134[[#This Row],[اصله مستقل]]*Table134[[#This Row],[A_tree]]</f>
        <v>207</v>
      </c>
      <c r="J334" s="4">
        <f>IF(Table134[[#This Row],[n * A_tree ]]&gt;Table134[[#This Row],[مساحت آدرس]],1,0)</f>
        <v>0</v>
      </c>
      <c r="K334" s="8">
        <f>IF(Table134[[#This Row],[check]]=1,1,Table134[[#This Row],[A_tree]]*Table134[[#This Row],[اصله مستقل]]/Table134[[#This Row],[مساحت آدرس]])</f>
        <v>0.2600502512562814</v>
      </c>
      <c r="L334" s="14">
        <f>IF(Table134[[#This Row],[check]]=1,1,(Table134[[#This Row],[Psh]]+0.15*(1-Table134[[#This Row],[Psh]])))</f>
        <v>0.37104271356783919</v>
      </c>
      <c r="M334" s="14">
        <f>IF(Table134[[#This Row],[check]]=1,0.65,1)</f>
        <v>1</v>
      </c>
      <c r="N334" s="4">
        <v>1</v>
      </c>
      <c r="O334" s="4">
        <f>IF(Table134[[#This Row],[check]]=1,Table134[[#This Row],[مساحت آدرس]]*Table134[[#This Row],[A0 Inc]],Table134[[#This Row],[A_tree]]*Table134[[#This Row],[اصله مستقل]])</f>
        <v>207</v>
      </c>
      <c r="P334" s="11">
        <f>IF(Table134[[#This Row],[check]]=1,Table134[[#This Row],[A0]]/Table134[[#This Row],[اصله مستقل]],Table134[[#This Row],[A_tree]])</f>
        <v>9</v>
      </c>
    </row>
    <row r="335" spans="2:16" ht="18.600000000000001" x14ac:dyDescent="0.3">
      <c r="B335" s="4" t="s">
        <v>460</v>
      </c>
      <c r="C335" s="4">
        <v>785</v>
      </c>
      <c r="D335" s="4">
        <v>256</v>
      </c>
      <c r="E335" s="4">
        <v>592</v>
      </c>
      <c r="F335" s="4">
        <v>4613</v>
      </c>
      <c r="G335" s="2" t="s">
        <v>21</v>
      </c>
      <c r="H335" s="4">
        <v>9</v>
      </c>
      <c r="I335" s="4">
        <f>Table134[[#This Row],[اصله مستقل]]*Table134[[#This Row],[A_tree]]</f>
        <v>2304</v>
      </c>
      <c r="J335" s="4">
        <f>IF(Table134[[#This Row],[n * A_tree ]]&gt;Table134[[#This Row],[مساحت آدرس]],1,0)</f>
        <v>0</v>
      </c>
      <c r="K335" s="8">
        <f>IF(Table134[[#This Row],[check]]=1,1,Table134[[#This Row],[A_tree]]*Table134[[#This Row],[اصله مستقل]]/Table134[[#This Row],[مساحت آدرس]])</f>
        <v>0.49945805332755255</v>
      </c>
      <c r="L335" s="14">
        <f>IF(Table134[[#This Row],[check]]=1,1,(Table134[[#This Row],[Psh]]+0.15*(1-Table134[[#This Row],[Psh]])))</f>
        <v>0.57453934532841966</v>
      </c>
      <c r="M335" s="14">
        <f>IF(Table134[[#This Row],[check]]=1,0.65,1)</f>
        <v>1</v>
      </c>
      <c r="N335" s="4">
        <v>1</v>
      </c>
      <c r="O335" s="4">
        <f>IF(Table134[[#This Row],[check]]=1,Table134[[#This Row],[مساحت آدرس]]*Table134[[#This Row],[A0 Inc]],Table134[[#This Row],[A_tree]]*Table134[[#This Row],[اصله مستقل]])</f>
        <v>2304</v>
      </c>
      <c r="P335" s="11">
        <f>IF(Table134[[#This Row],[check]]=1,Table134[[#This Row],[A0]]/Table134[[#This Row],[اصله مستقل]],Table134[[#This Row],[A_tree]])</f>
        <v>9</v>
      </c>
    </row>
    <row r="336" spans="2:16" ht="18.600000000000001" x14ac:dyDescent="0.3">
      <c r="B336" s="4" t="s">
        <v>461</v>
      </c>
      <c r="C336" s="4">
        <v>512</v>
      </c>
      <c r="D336" s="4">
        <v>146</v>
      </c>
      <c r="E336" s="4">
        <v>146</v>
      </c>
      <c r="F336" s="4">
        <v>2446</v>
      </c>
      <c r="G336" s="2" t="s">
        <v>21</v>
      </c>
      <c r="H336" s="4">
        <v>9</v>
      </c>
      <c r="I336" s="4">
        <f>Table134[[#This Row],[اصله مستقل]]*Table134[[#This Row],[A_tree]]</f>
        <v>1314</v>
      </c>
      <c r="J336" s="4">
        <f>IF(Table134[[#This Row],[n * A_tree ]]&gt;Table134[[#This Row],[مساحت آدرس]],1,0)</f>
        <v>0</v>
      </c>
      <c r="K336" s="8">
        <f>IF(Table134[[#This Row],[check]]=1,1,Table134[[#This Row],[A_tree]]*Table134[[#This Row],[اصله مستقل]]/Table134[[#This Row],[مساحت آدرس]])</f>
        <v>0.53720359771054782</v>
      </c>
      <c r="L336" s="14">
        <f>IF(Table134[[#This Row],[check]]=1,1,(Table134[[#This Row],[Psh]]+0.15*(1-Table134[[#This Row],[Psh]])))</f>
        <v>0.60662305805396566</v>
      </c>
      <c r="M336" s="14">
        <f>IF(Table134[[#This Row],[check]]=1,0.65,1)</f>
        <v>1</v>
      </c>
      <c r="N336" s="4">
        <v>1</v>
      </c>
      <c r="O336" s="4">
        <f>IF(Table134[[#This Row],[check]]=1,Table134[[#This Row],[مساحت آدرس]]*Table134[[#This Row],[A0 Inc]],Table134[[#This Row],[A_tree]]*Table134[[#This Row],[اصله مستقل]])</f>
        <v>1314</v>
      </c>
      <c r="P336" s="11">
        <f>IF(Table134[[#This Row],[check]]=1,Table134[[#This Row],[A0]]/Table134[[#This Row],[اصله مستقل]],Table134[[#This Row],[A_tree]])</f>
        <v>9</v>
      </c>
    </row>
    <row r="337" spans="2:16" ht="18.600000000000001" x14ac:dyDescent="0.3">
      <c r="B337" s="4" t="s">
        <v>462</v>
      </c>
      <c r="C337" s="4">
        <v>468</v>
      </c>
      <c r="D337" s="4">
        <v>468</v>
      </c>
      <c r="E337" s="4">
        <v>468</v>
      </c>
      <c r="F337" s="4">
        <v>468</v>
      </c>
      <c r="G337" s="2" t="s">
        <v>21</v>
      </c>
      <c r="H337" s="4">
        <v>9</v>
      </c>
      <c r="I337" s="4">
        <f>Table134[[#This Row],[اصله مستقل]]*Table134[[#This Row],[A_tree]]</f>
        <v>4212</v>
      </c>
      <c r="J337" s="4">
        <f>IF(Table134[[#This Row],[n * A_tree ]]&gt;Table134[[#This Row],[مساحت آدرس]],1,0)</f>
        <v>1</v>
      </c>
      <c r="K337" s="8">
        <f>IF(Table134[[#This Row],[check]]=1,1,Table134[[#This Row],[A_tree]]*Table134[[#This Row],[اصله مستقل]]/Table134[[#This Row],[مساحت آدرس]])</f>
        <v>1</v>
      </c>
      <c r="L337" s="14">
        <f>IF(Table134[[#This Row],[check]]=1,1,(Table134[[#This Row],[Psh]]+0.15*(1-Table134[[#This Row],[Psh]])))</f>
        <v>1</v>
      </c>
      <c r="M337" s="14">
        <f>IF(Table134[[#This Row],[check]]=1,0.65,1)</f>
        <v>0.65</v>
      </c>
      <c r="N337" s="4">
        <v>1</v>
      </c>
      <c r="O337" s="4">
        <f>IF(Table134[[#This Row],[check]]=1,Table134[[#This Row],[مساحت آدرس]]*Table134[[#This Row],[A0 Inc]],Table134[[#This Row],[A_tree]]*Table134[[#This Row],[اصله مستقل]])</f>
        <v>468</v>
      </c>
      <c r="P337" s="11">
        <f>IF(Table134[[#This Row],[check]]=1,Table134[[#This Row],[A0]]/Table134[[#This Row],[اصله مستقل]],Table134[[#This Row],[A_tree]])</f>
        <v>1</v>
      </c>
    </row>
    <row r="338" spans="2:16" ht="18.600000000000001" x14ac:dyDescent="0.3">
      <c r="B338" s="4" t="s">
        <v>463</v>
      </c>
      <c r="C338" s="4">
        <v>415</v>
      </c>
      <c r="D338" s="4">
        <v>259</v>
      </c>
      <c r="E338" s="4">
        <v>777</v>
      </c>
      <c r="F338" s="4">
        <v>1247</v>
      </c>
      <c r="G338" s="2" t="s">
        <v>21</v>
      </c>
      <c r="H338" s="4">
        <v>9</v>
      </c>
      <c r="I338" s="4">
        <f>Table134[[#This Row],[اصله مستقل]]*Table134[[#This Row],[A_tree]]</f>
        <v>2331</v>
      </c>
      <c r="J338" s="4">
        <f>IF(Table134[[#This Row],[n * A_tree ]]&gt;Table134[[#This Row],[مساحت آدرس]],1,0)</f>
        <v>1</v>
      </c>
      <c r="K338" s="8">
        <f>IF(Table134[[#This Row],[check]]=1,1,Table134[[#This Row],[A_tree]]*Table134[[#This Row],[اصله مستقل]]/Table134[[#This Row],[مساحت آدرس]])</f>
        <v>1</v>
      </c>
      <c r="L338" s="14">
        <f>IF(Table134[[#This Row],[check]]=1,1,(Table134[[#This Row],[Psh]]+0.15*(1-Table134[[#This Row],[Psh]])))</f>
        <v>1</v>
      </c>
      <c r="M338" s="14">
        <f>IF(Table134[[#This Row],[check]]=1,0.65,1)</f>
        <v>0.65</v>
      </c>
      <c r="N338" s="4">
        <v>1</v>
      </c>
      <c r="O338" s="4">
        <f>IF(Table134[[#This Row],[check]]=1,Table134[[#This Row],[مساحت آدرس]]*Table134[[#This Row],[A0 Inc]],Table134[[#This Row],[A_tree]]*Table134[[#This Row],[اصله مستقل]])</f>
        <v>1247</v>
      </c>
      <c r="P338" s="11">
        <f>IF(Table134[[#This Row],[check]]=1,Table134[[#This Row],[A0]]/Table134[[#This Row],[اصله مستقل]],Table134[[#This Row],[A_tree]])</f>
        <v>4.814671814671815</v>
      </c>
    </row>
    <row r="339" spans="2:16" ht="18.600000000000001" x14ac:dyDescent="0.3">
      <c r="B339" s="4" t="s">
        <v>464</v>
      </c>
      <c r="C339" s="4">
        <v>305</v>
      </c>
      <c r="D339" s="4">
        <v>155</v>
      </c>
      <c r="E339" s="4">
        <v>465</v>
      </c>
      <c r="F339" s="4">
        <v>915</v>
      </c>
      <c r="G339" s="2" t="s">
        <v>21</v>
      </c>
      <c r="H339" s="4">
        <v>9</v>
      </c>
      <c r="I339" s="4">
        <f>Table134[[#This Row],[اصله مستقل]]*Table134[[#This Row],[A_tree]]</f>
        <v>1395</v>
      </c>
      <c r="J339" s="4">
        <f>IF(Table134[[#This Row],[n * A_tree ]]&gt;Table134[[#This Row],[مساحت آدرس]],1,0)</f>
        <v>1</v>
      </c>
      <c r="K339" s="8">
        <f>IF(Table134[[#This Row],[check]]=1,1,Table134[[#This Row],[A_tree]]*Table134[[#This Row],[اصله مستقل]]/Table134[[#This Row],[مساحت آدرس]])</f>
        <v>1</v>
      </c>
      <c r="L339" s="14">
        <f>IF(Table134[[#This Row],[check]]=1,1,(Table134[[#This Row],[Psh]]+0.15*(1-Table134[[#This Row],[Psh]])))</f>
        <v>1</v>
      </c>
      <c r="M339" s="14">
        <f>IF(Table134[[#This Row],[check]]=1,0.65,1)</f>
        <v>0.65</v>
      </c>
      <c r="N339" s="4">
        <v>1</v>
      </c>
      <c r="O339" s="4">
        <f>IF(Table134[[#This Row],[check]]=1,Table134[[#This Row],[مساحت آدرس]]*Table134[[#This Row],[A0 Inc]],Table134[[#This Row],[A_tree]]*Table134[[#This Row],[اصله مستقل]])</f>
        <v>915</v>
      </c>
      <c r="P339" s="11">
        <f>IF(Table134[[#This Row],[check]]=1,Table134[[#This Row],[A0]]/Table134[[#This Row],[اصله مستقل]],Table134[[#This Row],[A_tree]])</f>
        <v>5.903225806451613</v>
      </c>
    </row>
    <row r="340" spans="2:16" ht="18.600000000000001" x14ac:dyDescent="0.3">
      <c r="B340" s="4" t="s">
        <v>465</v>
      </c>
      <c r="C340" s="4">
        <v>275</v>
      </c>
      <c r="D340" s="4">
        <v>125</v>
      </c>
      <c r="E340" s="4">
        <v>375</v>
      </c>
      <c r="F340" s="4">
        <v>780</v>
      </c>
      <c r="G340" s="2" t="s">
        <v>21</v>
      </c>
      <c r="H340" s="4">
        <v>9</v>
      </c>
      <c r="I340" s="4">
        <f>Table134[[#This Row],[اصله مستقل]]*Table134[[#This Row],[A_tree]]</f>
        <v>1125</v>
      </c>
      <c r="J340" s="4">
        <f>IF(Table134[[#This Row],[n * A_tree ]]&gt;Table134[[#This Row],[مساحت آدرس]],1,0)</f>
        <v>1</v>
      </c>
      <c r="K340" s="8">
        <f>IF(Table134[[#This Row],[check]]=1,1,Table134[[#This Row],[A_tree]]*Table134[[#This Row],[اصله مستقل]]/Table134[[#This Row],[مساحت آدرس]])</f>
        <v>1</v>
      </c>
      <c r="L340" s="14">
        <f>IF(Table134[[#This Row],[check]]=1,1,(Table134[[#This Row],[Psh]]+0.15*(1-Table134[[#This Row],[Psh]])))</f>
        <v>1</v>
      </c>
      <c r="M340" s="14">
        <f>IF(Table134[[#This Row],[check]]=1,0.65,1)</f>
        <v>0.65</v>
      </c>
      <c r="N340" s="4">
        <v>1</v>
      </c>
      <c r="O340" s="4">
        <f>IF(Table134[[#This Row],[check]]=1,Table134[[#This Row],[مساحت آدرس]]*Table134[[#This Row],[A0 Inc]],Table134[[#This Row],[A_tree]]*Table134[[#This Row],[اصله مستقل]])</f>
        <v>780</v>
      </c>
      <c r="P340" s="11">
        <f>IF(Table134[[#This Row],[check]]=1,Table134[[#This Row],[A0]]/Table134[[#This Row],[اصله مستقل]],Table134[[#This Row],[A_tree]])</f>
        <v>6.24</v>
      </c>
    </row>
    <row r="341" spans="2:16" ht="18.600000000000001" x14ac:dyDescent="0.3">
      <c r="B341" s="4" t="s">
        <v>466</v>
      </c>
      <c r="C341" s="4">
        <v>14</v>
      </c>
      <c r="D341" s="4">
        <v>14</v>
      </c>
      <c r="E341" s="4">
        <v>12</v>
      </c>
      <c r="F341" s="4">
        <v>132</v>
      </c>
      <c r="G341" s="2" t="s">
        <v>62</v>
      </c>
      <c r="H341" s="4">
        <v>9</v>
      </c>
      <c r="I341" s="4">
        <f>Table134[[#This Row],[اصله مستقل]]*Table134[[#This Row],[A_tree]]</f>
        <v>126</v>
      </c>
      <c r="J341" s="4">
        <f>IF(Table134[[#This Row],[n * A_tree ]]&gt;Table134[[#This Row],[مساحت آدرس]],1,0)</f>
        <v>0</v>
      </c>
      <c r="K341" s="8">
        <f>IF(Table134[[#This Row],[check]]=1,1,Table134[[#This Row],[A_tree]]*Table134[[#This Row],[اصله مستقل]]/Table134[[#This Row],[مساحت آدرس]])</f>
        <v>0.95454545454545459</v>
      </c>
      <c r="L341" s="14">
        <f>IF(Table134[[#This Row],[check]]=1,1,(Table134[[#This Row],[Psh]]+0.15*(1-Table134[[#This Row],[Psh]])))</f>
        <v>0.96136363636363642</v>
      </c>
      <c r="M341" s="14">
        <f>IF(Table134[[#This Row],[check]]=1,0.65,1)</f>
        <v>1</v>
      </c>
      <c r="N341" s="4">
        <v>1</v>
      </c>
      <c r="O341" s="4">
        <f>IF(Table134[[#This Row],[check]]=1,Table134[[#This Row],[مساحت آدرس]]*Table134[[#This Row],[A0 Inc]],Table134[[#This Row],[A_tree]]*Table134[[#This Row],[اصله مستقل]])</f>
        <v>126</v>
      </c>
      <c r="P341" s="11">
        <f>IF(Table134[[#This Row],[check]]=1,Table134[[#This Row],[A0]]/Table134[[#This Row],[اصله مستقل]],Table134[[#This Row],[A_tree]])</f>
        <v>9</v>
      </c>
    </row>
    <row r="342" spans="2:16" ht="18.600000000000001" x14ac:dyDescent="0.3">
      <c r="B342" s="4" t="s">
        <v>467</v>
      </c>
      <c r="C342" s="4">
        <v>1237</v>
      </c>
      <c r="D342" s="4">
        <v>1237</v>
      </c>
      <c r="E342" s="4">
        <v>17612</v>
      </c>
      <c r="F342" s="4">
        <v>22698</v>
      </c>
      <c r="G342" s="2" t="s">
        <v>283</v>
      </c>
      <c r="H342" s="4">
        <v>9</v>
      </c>
      <c r="I342" s="4">
        <f>Table134[[#This Row],[اصله مستقل]]*Table134[[#This Row],[A_tree]]</f>
        <v>11133</v>
      </c>
      <c r="J342" s="4">
        <f>IF(Table134[[#This Row],[n * A_tree ]]&gt;Table134[[#This Row],[مساحت آدرس]],1,0)</f>
        <v>0</v>
      </c>
      <c r="K342" s="8">
        <f>IF(Table134[[#This Row],[check]]=1,1,Table134[[#This Row],[A_tree]]*Table134[[#This Row],[اصله مستقل]]/Table134[[#This Row],[مساحت آدرس]])</f>
        <v>0.49048374306106263</v>
      </c>
      <c r="L342" s="14">
        <f>IF(Table134[[#This Row],[check]]=1,1,(Table134[[#This Row],[Psh]]+0.15*(1-Table134[[#This Row],[Psh]])))</f>
        <v>0.56691118160190324</v>
      </c>
      <c r="M342" s="14">
        <f>IF(Table134[[#This Row],[check]]=1,0.65,1)</f>
        <v>1</v>
      </c>
      <c r="N342" s="4">
        <v>1</v>
      </c>
      <c r="O342" s="4">
        <f>IF(Table134[[#This Row],[check]]=1,Table134[[#This Row],[مساحت آدرس]]*Table134[[#This Row],[A0 Inc]],Table134[[#This Row],[A_tree]]*Table134[[#This Row],[اصله مستقل]])</f>
        <v>11133</v>
      </c>
      <c r="P342" s="11">
        <f>IF(Table134[[#This Row],[check]]=1,Table134[[#This Row],[A0]]/Table134[[#This Row],[اصله مستقل]],Table134[[#This Row],[A_tree]])</f>
        <v>9</v>
      </c>
    </row>
    <row r="343" spans="2:16" ht="18.600000000000001" x14ac:dyDescent="0.3">
      <c r="B343" s="4" t="s">
        <v>468</v>
      </c>
      <c r="C343" s="4">
        <v>72</v>
      </c>
      <c r="D343" s="4">
        <v>73</v>
      </c>
      <c r="E343" s="4">
        <v>250</v>
      </c>
      <c r="F343" s="4">
        <v>4723</v>
      </c>
      <c r="G343" s="2" t="s">
        <v>3</v>
      </c>
      <c r="H343" s="4">
        <v>9</v>
      </c>
      <c r="I343" s="4">
        <f>Table134[[#This Row],[اصله مستقل]]*Table134[[#This Row],[A_tree]]</f>
        <v>657</v>
      </c>
      <c r="J343" s="4">
        <f>IF(Table134[[#This Row],[n * A_tree ]]&gt;Table134[[#This Row],[مساحت آدرس]],1,0)</f>
        <v>0</v>
      </c>
      <c r="K343" s="8">
        <f>IF(Table134[[#This Row],[check]]=1,1,Table134[[#This Row],[A_tree]]*Table134[[#This Row],[اصله مستقل]]/Table134[[#This Row],[مساحت آدرس]])</f>
        <v>0.13910650010586492</v>
      </c>
      <c r="L343" s="14">
        <f>IF(Table134[[#This Row],[check]]=1,1,(Table134[[#This Row],[Psh]]+0.15*(1-Table134[[#This Row],[Psh]])))</f>
        <v>0.26824052508998519</v>
      </c>
      <c r="M343" s="14">
        <f>IF(Table134[[#This Row],[check]]=1,0.65,1)</f>
        <v>1</v>
      </c>
      <c r="N343" s="4">
        <v>1</v>
      </c>
      <c r="O343" s="4">
        <f>IF(Table134[[#This Row],[check]]=1,Table134[[#This Row],[مساحت آدرس]]*Table134[[#This Row],[A0 Inc]],Table134[[#This Row],[A_tree]]*Table134[[#This Row],[اصله مستقل]])</f>
        <v>657</v>
      </c>
      <c r="P343" s="11">
        <f>IF(Table134[[#This Row],[check]]=1,Table134[[#This Row],[A0]]/Table134[[#This Row],[اصله مستقل]],Table134[[#This Row],[A_tree]])</f>
        <v>9</v>
      </c>
    </row>
    <row r="344" spans="2:16" ht="18.600000000000001" x14ac:dyDescent="0.3">
      <c r="B344" s="4" t="s">
        <v>469</v>
      </c>
      <c r="C344" s="4">
        <v>3402</v>
      </c>
      <c r="D344" s="4">
        <v>2856</v>
      </c>
      <c r="E344" s="4">
        <v>11239</v>
      </c>
      <c r="F344" s="4">
        <v>25512</v>
      </c>
      <c r="G344" s="2" t="s">
        <v>300</v>
      </c>
      <c r="H344" s="4">
        <v>9</v>
      </c>
      <c r="I344" s="4">
        <f>Table134[[#This Row],[اصله مستقل]]*Table134[[#This Row],[A_tree]]</f>
        <v>25704</v>
      </c>
      <c r="J344" s="4">
        <f>IF(Table134[[#This Row],[n * A_tree ]]&gt;Table134[[#This Row],[مساحت آدرس]],1,0)</f>
        <v>1</v>
      </c>
      <c r="K344" s="8">
        <f>IF(Table134[[#This Row],[check]]=1,1,Table134[[#This Row],[A_tree]]*Table134[[#This Row],[اصله مستقل]]/Table134[[#This Row],[مساحت آدرس]])</f>
        <v>1</v>
      </c>
      <c r="L344" s="14">
        <f>IF(Table134[[#This Row],[check]]=1,1,(Table134[[#This Row],[Psh]]+0.15*(1-Table134[[#This Row],[Psh]])))</f>
        <v>1</v>
      </c>
      <c r="M344" s="14">
        <f>IF(Table134[[#This Row],[check]]=1,0.65,1)</f>
        <v>0.65</v>
      </c>
      <c r="N344" s="4">
        <v>1</v>
      </c>
      <c r="O344" s="4">
        <f>IF(Table134[[#This Row],[check]]=1,Table134[[#This Row],[مساحت آدرس]]*Table134[[#This Row],[A0 Inc]],Table134[[#This Row],[A_tree]]*Table134[[#This Row],[اصله مستقل]])</f>
        <v>25512</v>
      </c>
      <c r="P344" s="11">
        <f>IF(Table134[[#This Row],[check]]=1,Table134[[#This Row],[A0]]/Table134[[#This Row],[اصله مستقل]],Table134[[#This Row],[A_tree]])</f>
        <v>8.9327731092436977</v>
      </c>
    </row>
    <row r="345" spans="2:16" ht="18.600000000000001" x14ac:dyDescent="0.3">
      <c r="B345" s="4" t="s">
        <v>470</v>
      </c>
      <c r="C345" s="4">
        <v>542</v>
      </c>
      <c r="D345" s="4">
        <v>150</v>
      </c>
      <c r="E345" s="4">
        <v>510</v>
      </c>
      <c r="F345" s="4">
        <v>2116</v>
      </c>
      <c r="G345" s="2" t="s">
        <v>21</v>
      </c>
      <c r="H345" s="4">
        <v>9</v>
      </c>
      <c r="I345" s="4">
        <f>Table134[[#This Row],[اصله مستقل]]*Table134[[#This Row],[A_tree]]</f>
        <v>1350</v>
      </c>
      <c r="J345" s="4">
        <f>IF(Table134[[#This Row],[n * A_tree ]]&gt;Table134[[#This Row],[مساحت آدرس]],1,0)</f>
        <v>0</v>
      </c>
      <c r="K345" s="8">
        <f>IF(Table134[[#This Row],[check]]=1,1,Table134[[#This Row],[A_tree]]*Table134[[#This Row],[اصله مستقل]]/Table134[[#This Row],[مساحت آدرس]])</f>
        <v>0.6379962192816635</v>
      </c>
      <c r="L345" s="14">
        <f>IF(Table134[[#This Row],[check]]=1,1,(Table134[[#This Row],[Psh]]+0.15*(1-Table134[[#This Row],[Psh]])))</f>
        <v>0.69229678638941394</v>
      </c>
      <c r="M345" s="14">
        <f>IF(Table134[[#This Row],[check]]=1,0.65,1)</f>
        <v>1</v>
      </c>
      <c r="N345" s="4">
        <v>1</v>
      </c>
      <c r="O345" s="4">
        <f>IF(Table134[[#This Row],[check]]=1,Table134[[#This Row],[مساحت آدرس]]*Table134[[#This Row],[A0 Inc]],Table134[[#This Row],[A_tree]]*Table134[[#This Row],[اصله مستقل]])</f>
        <v>1350</v>
      </c>
      <c r="P345" s="11">
        <f>IF(Table134[[#This Row],[check]]=1,Table134[[#This Row],[A0]]/Table134[[#This Row],[اصله مستقل]],Table134[[#This Row],[A_tree]])</f>
        <v>9</v>
      </c>
    </row>
    <row r="346" spans="2:16" ht="18.600000000000001" x14ac:dyDescent="0.3">
      <c r="B346" s="4" t="s">
        <v>471</v>
      </c>
      <c r="C346" s="4">
        <v>335</v>
      </c>
      <c r="D346" s="4">
        <v>335</v>
      </c>
      <c r="E346" s="4">
        <v>553</v>
      </c>
      <c r="F346" s="4">
        <v>553</v>
      </c>
      <c r="G346" s="2" t="s">
        <v>21</v>
      </c>
      <c r="H346" s="4">
        <v>9</v>
      </c>
      <c r="I346" s="4">
        <f>Table134[[#This Row],[اصله مستقل]]*Table134[[#This Row],[A_tree]]</f>
        <v>3015</v>
      </c>
      <c r="J346" s="4">
        <f>IF(Table134[[#This Row],[n * A_tree ]]&gt;Table134[[#This Row],[مساحت آدرس]],1,0)</f>
        <v>1</v>
      </c>
      <c r="K346" s="8">
        <f>IF(Table134[[#This Row],[check]]=1,1,Table134[[#This Row],[A_tree]]*Table134[[#This Row],[اصله مستقل]]/Table134[[#This Row],[مساحت آدرس]])</f>
        <v>1</v>
      </c>
      <c r="L346" s="14">
        <f>IF(Table134[[#This Row],[check]]=1,1,(Table134[[#This Row],[Psh]]+0.15*(1-Table134[[#This Row],[Psh]])))</f>
        <v>1</v>
      </c>
      <c r="M346" s="14">
        <f>IF(Table134[[#This Row],[check]]=1,0.65,1)</f>
        <v>0.65</v>
      </c>
      <c r="N346" s="4">
        <v>1</v>
      </c>
      <c r="O346" s="4">
        <f>IF(Table134[[#This Row],[check]]=1,Table134[[#This Row],[مساحت آدرس]]*Table134[[#This Row],[A0 Inc]],Table134[[#This Row],[A_tree]]*Table134[[#This Row],[اصله مستقل]])</f>
        <v>553</v>
      </c>
      <c r="P346" s="11">
        <f>IF(Table134[[#This Row],[check]]=1,Table134[[#This Row],[A0]]/Table134[[#This Row],[اصله مستقل]],Table134[[#This Row],[A_tree]])</f>
        <v>1.6507462686567165</v>
      </c>
    </row>
    <row r="347" spans="2:16" ht="18.600000000000001" x14ac:dyDescent="0.3">
      <c r="B347" s="4" t="s">
        <v>472</v>
      </c>
      <c r="C347" s="4">
        <v>157</v>
      </c>
      <c r="D347" s="4">
        <v>124</v>
      </c>
      <c r="E347" s="4">
        <v>210</v>
      </c>
      <c r="F347" s="4">
        <v>447</v>
      </c>
      <c r="G347" s="2" t="s">
        <v>21</v>
      </c>
      <c r="H347" s="4">
        <v>9</v>
      </c>
      <c r="I347" s="4">
        <f>Table134[[#This Row],[اصله مستقل]]*Table134[[#This Row],[A_tree]]</f>
        <v>1116</v>
      </c>
      <c r="J347" s="4">
        <f>IF(Table134[[#This Row],[n * A_tree ]]&gt;Table134[[#This Row],[مساحت آدرس]],1,0)</f>
        <v>1</v>
      </c>
      <c r="K347" s="8">
        <f>IF(Table134[[#This Row],[check]]=1,1,Table134[[#This Row],[A_tree]]*Table134[[#This Row],[اصله مستقل]]/Table134[[#This Row],[مساحت آدرس]])</f>
        <v>1</v>
      </c>
      <c r="L347" s="14">
        <f>IF(Table134[[#This Row],[check]]=1,1,(Table134[[#This Row],[Psh]]+0.15*(1-Table134[[#This Row],[Psh]])))</f>
        <v>1</v>
      </c>
      <c r="M347" s="14">
        <f>IF(Table134[[#This Row],[check]]=1,0.65,1)</f>
        <v>0.65</v>
      </c>
      <c r="N347" s="4">
        <v>1</v>
      </c>
      <c r="O347" s="4">
        <f>IF(Table134[[#This Row],[check]]=1,Table134[[#This Row],[مساحت آدرس]]*Table134[[#This Row],[A0 Inc]],Table134[[#This Row],[A_tree]]*Table134[[#This Row],[اصله مستقل]])</f>
        <v>447</v>
      </c>
      <c r="P347" s="11">
        <f>IF(Table134[[#This Row],[check]]=1,Table134[[#This Row],[A0]]/Table134[[#This Row],[اصله مستقل]],Table134[[#This Row],[A_tree]])</f>
        <v>3.6048387096774195</v>
      </c>
    </row>
    <row r="348" spans="2:16" ht="18.600000000000001" x14ac:dyDescent="0.3">
      <c r="B348" s="4" t="s">
        <v>473</v>
      </c>
      <c r="C348" s="4">
        <v>440</v>
      </c>
      <c r="D348" s="4">
        <v>440</v>
      </c>
      <c r="E348" s="4">
        <v>626</v>
      </c>
      <c r="F348" s="4">
        <v>626</v>
      </c>
      <c r="G348" s="2" t="s">
        <v>21</v>
      </c>
      <c r="H348" s="4">
        <v>9</v>
      </c>
      <c r="I348" s="4">
        <f>Table134[[#This Row],[اصله مستقل]]*Table134[[#This Row],[A_tree]]</f>
        <v>3960</v>
      </c>
      <c r="J348" s="4">
        <f>IF(Table134[[#This Row],[n * A_tree ]]&gt;Table134[[#This Row],[مساحت آدرس]],1,0)</f>
        <v>1</v>
      </c>
      <c r="K348" s="8">
        <f>IF(Table134[[#This Row],[check]]=1,1,Table134[[#This Row],[A_tree]]*Table134[[#This Row],[اصله مستقل]]/Table134[[#This Row],[مساحت آدرس]])</f>
        <v>1</v>
      </c>
      <c r="L348" s="14">
        <f>IF(Table134[[#This Row],[check]]=1,1,(Table134[[#This Row],[Psh]]+0.15*(1-Table134[[#This Row],[Psh]])))</f>
        <v>1</v>
      </c>
      <c r="M348" s="14">
        <f>IF(Table134[[#This Row],[check]]=1,0.65,1)</f>
        <v>0.65</v>
      </c>
      <c r="N348" s="4">
        <v>1</v>
      </c>
      <c r="O348" s="4">
        <f>IF(Table134[[#This Row],[check]]=1,Table134[[#This Row],[مساحت آدرس]]*Table134[[#This Row],[A0 Inc]],Table134[[#This Row],[A_tree]]*Table134[[#This Row],[اصله مستقل]])</f>
        <v>626</v>
      </c>
      <c r="P348" s="11">
        <f>IF(Table134[[#This Row],[check]]=1,Table134[[#This Row],[A0]]/Table134[[#This Row],[اصله مستقل]],Table134[[#This Row],[A_tree]])</f>
        <v>1.4227272727272726</v>
      </c>
    </row>
    <row r="349" spans="2:16" ht="18.600000000000001" x14ac:dyDescent="0.3">
      <c r="B349" s="4" t="s">
        <v>474</v>
      </c>
      <c r="C349" s="4">
        <v>679</v>
      </c>
      <c r="D349" s="4">
        <v>536</v>
      </c>
      <c r="E349" s="4">
        <v>872</v>
      </c>
      <c r="F349" s="4">
        <v>1372</v>
      </c>
      <c r="G349" s="2" t="s">
        <v>21</v>
      </c>
      <c r="H349" s="4">
        <v>9</v>
      </c>
      <c r="I349" s="4">
        <f>Table134[[#This Row],[اصله مستقل]]*Table134[[#This Row],[A_tree]]</f>
        <v>4824</v>
      </c>
      <c r="J349" s="4">
        <f>IF(Table134[[#This Row],[n * A_tree ]]&gt;Table134[[#This Row],[مساحت آدرس]],1,0)</f>
        <v>1</v>
      </c>
      <c r="K349" s="8">
        <f>IF(Table134[[#This Row],[check]]=1,1,Table134[[#This Row],[A_tree]]*Table134[[#This Row],[اصله مستقل]]/Table134[[#This Row],[مساحت آدرس]])</f>
        <v>1</v>
      </c>
      <c r="L349" s="14">
        <f>IF(Table134[[#This Row],[check]]=1,1,(Table134[[#This Row],[Psh]]+0.15*(1-Table134[[#This Row],[Psh]])))</f>
        <v>1</v>
      </c>
      <c r="M349" s="14">
        <f>IF(Table134[[#This Row],[check]]=1,0.65,1)</f>
        <v>0.65</v>
      </c>
      <c r="N349" s="4">
        <v>1</v>
      </c>
      <c r="O349" s="4">
        <f>IF(Table134[[#This Row],[check]]=1,Table134[[#This Row],[مساحت آدرس]]*Table134[[#This Row],[A0 Inc]],Table134[[#This Row],[A_tree]]*Table134[[#This Row],[اصله مستقل]])</f>
        <v>1372</v>
      </c>
      <c r="P349" s="11">
        <f>IF(Table134[[#This Row],[check]]=1,Table134[[#This Row],[A0]]/Table134[[#This Row],[اصله مستقل]],Table134[[#This Row],[A_tree]])</f>
        <v>2.5597014925373136</v>
      </c>
    </row>
    <row r="350" spans="2:16" ht="18.600000000000001" x14ac:dyDescent="0.3">
      <c r="B350" s="4" t="s">
        <v>475</v>
      </c>
      <c r="C350" s="4">
        <v>1</v>
      </c>
      <c r="D350" s="4">
        <v>1</v>
      </c>
      <c r="E350" s="4">
        <v>2</v>
      </c>
      <c r="F350" s="4">
        <v>389</v>
      </c>
      <c r="G350" s="2" t="s">
        <v>62</v>
      </c>
      <c r="H350" s="4">
        <v>9</v>
      </c>
      <c r="I350" s="4">
        <f>Table134[[#This Row],[اصله مستقل]]*Table134[[#This Row],[A_tree]]</f>
        <v>9</v>
      </c>
      <c r="J350" s="4">
        <f>IF(Table134[[#This Row],[n * A_tree ]]&gt;Table134[[#This Row],[مساحت آدرس]],1,0)</f>
        <v>0</v>
      </c>
      <c r="K350" s="8">
        <f>IF(Table134[[#This Row],[check]]=1,1,Table134[[#This Row],[A_tree]]*Table134[[#This Row],[اصله مستقل]]/Table134[[#This Row],[مساحت آدرس]])</f>
        <v>2.313624678663239E-2</v>
      </c>
      <c r="L350" s="14">
        <f>IF(Table134[[#This Row],[check]]=1,1,(Table134[[#This Row],[Psh]]+0.15*(1-Table134[[#This Row],[Psh]])))</f>
        <v>0.16966580976863754</v>
      </c>
      <c r="M350" s="14">
        <f>IF(Table134[[#This Row],[check]]=1,0.65,1)</f>
        <v>1</v>
      </c>
      <c r="N350" s="4">
        <v>1</v>
      </c>
      <c r="O350" s="4">
        <f>IF(Table134[[#This Row],[check]]=1,Table134[[#This Row],[مساحت آدرس]]*Table134[[#This Row],[A0 Inc]],Table134[[#This Row],[A_tree]]*Table134[[#This Row],[اصله مستقل]])</f>
        <v>9</v>
      </c>
      <c r="P350" s="11">
        <f>IF(Table134[[#This Row],[check]]=1,Table134[[#This Row],[A0]]/Table134[[#This Row],[اصله مستقل]],Table134[[#This Row],[A_tree]])</f>
        <v>9</v>
      </c>
    </row>
    <row r="351" spans="2:16" ht="18.600000000000001" x14ac:dyDescent="0.3">
      <c r="B351" s="4" t="s">
        <v>476</v>
      </c>
      <c r="C351" s="4">
        <v>95</v>
      </c>
      <c r="D351" s="4">
        <v>13</v>
      </c>
      <c r="E351" s="4">
        <v>340</v>
      </c>
      <c r="F351" s="4">
        <v>350</v>
      </c>
      <c r="G351" s="2" t="s">
        <v>62</v>
      </c>
      <c r="H351" s="4">
        <v>9</v>
      </c>
      <c r="I351" s="4">
        <f>Table134[[#This Row],[اصله مستقل]]*Table134[[#This Row],[A_tree]]</f>
        <v>117</v>
      </c>
      <c r="J351" s="4">
        <f>IF(Table134[[#This Row],[n * A_tree ]]&gt;Table134[[#This Row],[مساحت آدرس]],1,0)</f>
        <v>0</v>
      </c>
      <c r="K351" s="8">
        <f>IF(Table134[[#This Row],[check]]=1,1,Table134[[#This Row],[A_tree]]*Table134[[#This Row],[اصله مستقل]]/Table134[[#This Row],[مساحت آدرس]])</f>
        <v>0.3342857142857143</v>
      </c>
      <c r="L351" s="14">
        <f>IF(Table134[[#This Row],[check]]=1,1,(Table134[[#This Row],[Psh]]+0.15*(1-Table134[[#This Row],[Psh]])))</f>
        <v>0.43414285714285716</v>
      </c>
      <c r="M351" s="14">
        <f>IF(Table134[[#This Row],[check]]=1,0.65,1)</f>
        <v>1</v>
      </c>
      <c r="N351" s="4">
        <v>1</v>
      </c>
      <c r="O351" s="4">
        <f>IF(Table134[[#This Row],[check]]=1,Table134[[#This Row],[مساحت آدرس]]*Table134[[#This Row],[A0 Inc]],Table134[[#This Row],[A_tree]]*Table134[[#This Row],[اصله مستقل]])</f>
        <v>117</v>
      </c>
      <c r="P351" s="11">
        <f>IF(Table134[[#This Row],[check]]=1,Table134[[#This Row],[A0]]/Table134[[#This Row],[اصله مستقل]],Table134[[#This Row],[A_tree]])</f>
        <v>9</v>
      </c>
    </row>
    <row r="352" spans="2:16" ht="18.600000000000001" x14ac:dyDescent="0.3">
      <c r="B352" s="4" t="s">
        <v>477</v>
      </c>
      <c r="C352" s="4">
        <v>824</v>
      </c>
      <c r="D352" s="4">
        <v>520</v>
      </c>
      <c r="E352" s="4">
        <v>3582</v>
      </c>
      <c r="F352" s="4">
        <v>33580</v>
      </c>
      <c r="G352" s="2" t="s">
        <v>66</v>
      </c>
      <c r="H352" s="4">
        <v>9</v>
      </c>
      <c r="I352" s="4">
        <f>Table134[[#This Row],[اصله مستقل]]*Table134[[#This Row],[A_tree]]</f>
        <v>4680</v>
      </c>
      <c r="J352" s="4">
        <f>IF(Table134[[#This Row],[n * A_tree ]]&gt;Table134[[#This Row],[مساحت آدرس]],1,0)</f>
        <v>0</v>
      </c>
      <c r="K352" s="8">
        <f>IF(Table134[[#This Row],[check]]=1,1,Table134[[#This Row],[A_tree]]*Table134[[#This Row],[اصله مستقل]]/Table134[[#This Row],[مساحت آدرس]])</f>
        <v>0.13936867182846932</v>
      </c>
      <c r="L352" s="14">
        <f>IF(Table134[[#This Row],[check]]=1,1,(Table134[[#This Row],[Psh]]+0.15*(1-Table134[[#This Row],[Psh]])))</f>
        <v>0.26846337105419893</v>
      </c>
      <c r="M352" s="14">
        <f>IF(Table134[[#This Row],[check]]=1,0.65,1)</f>
        <v>1</v>
      </c>
      <c r="N352" s="4">
        <v>1</v>
      </c>
      <c r="O352" s="4">
        <f>IF(Table134[[#This Row],[check]]=1,Table134[[#This Row],[مساحت آدرس]]*Table134[[#This Row],[A0 Inc]],Table134[[#This Row],[A_tree]]*Table134[[#This Row],[اصله مستقل]])</f>
        <v>4680</v>
      </c>
      <c r="P352" s="11">
        <f>IF(Table134[[#This Row],[check]]=1,Table134[[#This Row],[A0]]/Table134[[#This Row],[اصله مستقل]],Table134[[#This Row],[A_tree]])</f>
        <v>9</v>
      </c>
    </row>
    <row r="353" spans="2:16" ht="18.600000000000001" x14ac:dyDescent="0.3">
      <c r="B353" s="4" t="s">
        <v>481</v>
      </c>
      <c r="C353" s="4">
        <v>142</v>
      </c>
      <c r="D353" s="4">
        <v>142</v>
      </c>
      <c r="E353" s="4">
        <v>152</v>
      </c>
      <c r="F353" s="4">
        <v>603</v>
      </c>
      <c r="G353" s="2" t="s">
        <v>3</v>
      </c>
      <c r="H353" s="4">
        <v>9</v>
      </c>
      <c r="I353" s="4">
        <f>Table134[[#This Row],[اصله مستقل]]*Table134[[#This Row],[A_tree]]</f>
        <v>1278</v>
      </c>
      <c r="J353" s="4">
        <f>IF(Table134[[#This Row],[n * A_tree ]]&gt;Table134[[#This Row],[مساحت آدرس]],1,0)</f>
        <v>1</v>
      </c>
      <c r="K353" s="8">
        <f>IF(Table134[[#This Row],[check]]=1,1,Table134[[#This Row],[A_tree]]*Table134[[#This Row],[اصله مستقل]]/Table134[[#This Row],[مساحت آدرس]])</f>
        <v>1</v>
      </c>
      <c r="L353" s="14">
        <f>IF(Table134[[#This Row],[check]]=1,1,(Table134[[#This Row],[Psh]]+0.15*(1-Table134[[#This Row],[Psh]])))</f>
        <v>1</v>
      </c>
      <c r="M353" s="14">
        <f>IF(Table134[[#This Row],[check]]=1,0.65,1)</f>
        <v>0.65</v>
      </c>
      <c r="N353" s="4">
        <v>1</v>
      </c>
      <c r="O353" s="4">
        <f>IF(Table134[[#This Row],[check]]=1,Table134[[#This Row],[مساحت آدرس]]*Table134[[#This Row],[A0 Inc]],Table134[[#This Row],[A_tree]]*Table134[[#This Row],[اصله مستقل]])</f>
        <v>603</v>
      </c>
      <c r="P353" s="11">
        <f>IF(Table134[[#This Row],[check]]=1,Table134[[#This Row],[A0]]/Table134[[#This Row],[اصله مستقل]],Table134[[#This Row],[A_tree]])</f>
        <v>4.246478873239437</v>
      </c>
    </row>
    <row r="354" spans="2:16" ht="18.600000000000001" x14ac:dyDescent="0.3">
      <c r="B354" s="4" t="s">
        <v>482</v>
      </c>
      <c r="C354" s="4">
        <v>772</v>
      </c>
      <c r="D354" s="4">
        <v>772</v>
      </c>
      <c r="E354" s="4">
        <v>3372</v>
      </c>
      <c r="F354" s="4">
        <v>6423</v>
      </c>
      <c r="G354" s="2" t="s">
        <v>3</v>
      </c>
      <c r="H354" s="4">
        <v>9</v>
      </c>
      <c r="I354" s="4">
        <f>Table134[[#This Row],[اصله مستقل]]*Table134[[#This Row],[A_tree]]</f>
        <v>6948</v>
      </c>
      <c r="J354" s="4">
        <f>IF(Table134[[#This Row],[n * A_tree ]]&gt;Table134[[#This Row],[مساحت آدرس]],1,0)</f>
        <v>1</v>
      </c>
      <c r="K354" s="8">
        <f>IF(Table134[[#This Row],[check]]=1,1,Table134[[#This Row],[A_tree]]*Table134[[#This Row],[اصله مستقل]]/Table134[[#This Row],[مساحت آدرس]])</f>
        <v>1</v>
      </c>
      <c r="L354" s="14">
        <f>IF(Table134[[#This Row],[check]]=1,1,(Table134[[#This Row],[Psh]]+0.15*(1-Table134[[#This Row],[Psh]])))</f>
        <v>1</v>
      </c>
      <c r="M354" s="14">
        <f>IF(Table134[[#This Row],[check]]=1,0.65,1)</f>
        <v>0.65</v>
      </c>
      <c r="N354" s="4">
        <v>1</v>
      </c>
      <c r="O354" s="4">
        <f>IF(Table134[[#This Row],[check]]=1,Table134[[#This Row],[مساحت آدرس]]*Table134[[#This Row],[A0 Inc]],Table134[[#This Row],[A_tree]]*Table134[[#This Row],[اصله مستقل]])</f>
        <v>6423</v>
      </c>
      <c r="P354" s="11">
        <f>IF(Table134[[#This Row],[check]]=1,Table134[[#This Row],[A0]]/Table134[[#This Row],[اصله مستقل]],Table134[[#This Row],[A_tree]])</f>
        <v>8.3199481865284977</v>
      </c>
    </row>
    <row r="355" spans="2:16" ht="18.600000000000001" x14ac:dyDescent="0.3">
      <c r="B355" s="4" t="s">
        <v>483</v>
      </c>
      <c r="C355" s="4">
        <v>509</v>
      </c>
      <c r="D355" s="4">
        <v>509</v>
      </c>
      <c r="E355" s="4">
        <v>782</v>
      </c>
      <c r="F355" s="4">
        <v>4342</v>
      </c>
      <c r="G355" s="2" t="s">
        <v>3</v>
      </c>
      <c r="H355" s="4">
        <v>9</v>
      </c>
      <c r="I355" s="4">
        <f>Table134[[#This Row],[اصله مستقل]]*Table134[[#This Row],[A_tree]]</f>
        <v>4581</v>
      </c>
      <c r="J355" s="4">
        <f>IF(Table134[[#This Row],[n * A_tree ]]&gt;Table134[[#This Row],[مساحت آدرس]],1,0)</f>
        <v>1</v>
      </c>
      <c r="K355" s="8">
        <f>IF(Table134[[#This Row],[check]]=1,1,Table134[[#This Row],[A_tree]]*Table134[[#This Row],[اصله مستقل]]/Table134[[#This Row],[مساحت آدرس]])</f>
        <v>1</v>
      </c>
      <c r="L355" s="14">
        <f>IF(Table134[[#This Row],[check]]=1,1,(Table134[[#This Row],[Psh]]+0.15*(1-Table134[[#This Row],[Psh]])))</f>
        <v>1</v>
      </c>
      <c r="M355" s="14">
        <f>IF(Table134[[#This Row],[check]]=1,0.65,1)</f>
        <v>0.65</v>
      </c>
      <c r="N355" s="4">
        <v>1</v>
      </c>
      <c r="O355" s="4">
        <f>IF(Table134[[#This Row],[check]]=1,Table134[[#This Row],[مساحت آدرس]]*Table134[[#This Row],[A0 Inc]],Table134[[#This Row],[A_tree]]*Table134[[#This Row],[اصله مستقل]])</f>
        <v>4342</v>
      </c>
      <c r="P355" s="11">
        <f>IF(Table134[[#This Row],[check]]=1,Table134[[#This Row],[A0]]/Table134[[#This Row],[اصله مستقل]],Table134[[#This Row],[A_tree]])</f>
        <v>8.5304518664047144</v>
      </c>
    </row>
    <row r="356" spans="2:16" ht="18.600000000000001" x14ac:dyDescent="0.3">
      <c r="B356" s="4" t="s">
        <v>484</v>
      </c>
      <c r="C356" s="4">
        <v>22</v>
      </c>
      <c r="D356" s="4">
        <v>22</v>
      </c>
      <c r="E356" s="4">
        <v>135</v>
      </c>
      <c r="F356" s="4">
        <v>135</v>
      </c>
      <c r="G356" s="2" t="s">
        <v>3</v>
      </c>
      <c r="H356" s="4">
        <v>9</v>
      </c>
      <c r="I356" s="4">
        <f>Table134[[#This Row],[اصله مستقل]]*Table134[[#This Row],[A_tree]]</f>
        <v>198</v>
      </c>
      <c r="J356" s="4">
        <f>IF(Table134[[#This Row],[n * A_tree ]]&gt;Table134[[#This Row],[مساحت آدرس]],1,0)</f>
        <v>1</v>
      </c>
      <c r="K356" s="8">
        <f>IF(Table134[[#This Row],[check]]=1,1,Table134[[#This Row],[A_tree]]*Table134[[#This Row],[اصله مستقل]]/Table134[[#This Row],[مساحت آدرس]])</f>
        <v>1</v>
      </c>
      <c r="L356" s="14">
        <f>IF(Table134[[#This Row],[check]]=1,1,(Table134[[#This Row],[Psh]]+0.15*(1-Table134[[#This Row],[Psh]])))</f>
        <v>1</v>
      </c>
      <c r="M356" s="14">
        <f>IF(Table134[[#This Row],[check]]=1,0.65,1)</f>
        <v>0.65</v>
      </c>
      <c r="N356" s="4">
        <v>1</v>
      </c>
      <c r="O356" s="4">
        <f>IF(Table134[[#This Row],[check]]=1,Table134[[#This Row],[مساحت آدرس]]*Table134[[#This Row],[A0 Inc]],Table134[[#This Row],[A_tree]]*Table134[[#This Row],[اصله مستقل]])</f>
        <v>135</v>
      </c>
      <c r="P356" s="11">
        <f>IF(Table134[[#This Row],[check]]=1,Table134[[#This Row],[A0]]/Table134[[#This Row],[اصله مستقل]],Table134[[#This Row],[A_tree]])</f>
        <v>6.1363636363636367</v>
      </c>
    </row>
    <row r="357" spans="2:16" ht="18.600000000000001" x14ac:dyDescent="0.3">
      <c r="B357" s="4" t="s">
        <v>492</v>
      </c>
      <c r="C357" s="4">
        <v>313</v>
      </c>
      <c r="D357" s="4">
        <v>313</v>
      </c>
      <c r="E357" s="4">
        <v>303</v>
      </c>
      <c r="F357" s="4">
        <v>1205</v>
      </c>
      <c r="G357" s="2" t="s">
        <v>21</v>
      </c>
      <c r="H357" s="4">
        <v>9</v>
      </c>
      <c r="I357" s="4">
        <f>Table134[[#This Row],[اصله مستقل]]*Table134[[#This Row],[A_tree]]</f>
        <v>2817</v>
      </c>
      <c r="J357" s="4">
        <f>IF(Table134[[#This Row],[n * A_tree ]]&gt;Table134[[#This Row],[مساحت آدرس]],1,0)</f>
        <v>1</v>
      </c>
      <c r="K357" s="8">
        <f>IF(Table134[[#This Row],[check]]=1,1,Table134[[#This Row],[A_tree]]*Table134[[#This Row],[اصله مستقل]]/Table134[[#This Row],[مساحت آدرس]])</f>
        <v>1</v>
      </c>
      <c r="L357" s="14">
        <f>IF(Table134[[#This Row],[check]]=1,1,(Table134[[#This Row],[Psh]]+0.15*(1-Table134[[#This Row],[Psh]])))</f>
        <v>1</v>
      </c>
      <c r="M357" s="14">
        <f>IF(Table134[[#This Row],[check]]=1,0.65,1)</f>
        <v>0.65</v>
      </c>
      <c r="N357" s="4">
        <v>1</v>
      </c>
      <c r="O357" s="4">
        <f>IF(Table134[[#This Row],[check]]=1,Table134[[#This Row],[مساحت آدرس]]*Table134[[#This Row],[A0 Inc]],Table134[[#This Row],[A_tree]]*Table134[[#This Row],[اصله مستقل]])</f>
        <v>1205</v>
      </c>
      <c r="P357" s="11">
        <f>IF(Table134[[#This Row],[check]]=1,Table134[[#This Row],[A0]]/Table134[[#This Row],[اصله مستقل]],Table134[[#This Row],[A_tree]])</f>
        <v>3.8498402555910545</v>
      </c>
    </row>
    <row r="358" spans="2:16" ht="18.600000000000001" x14ac:dyDescent="0.3">
      <c r="B358" s="4" t="s">
        <v>493</v>
      </c>
      <c r="C358" s="4">
        <v>1469</v>
      </c>
      <c r="D358" s="4">
        <v>475</v>
      </c>
      <c r="E358" s="4">
        <v>475</v>
      </c>
      <c r="F358" s="4">
        <v>6442</v>
      </c>
      <c r="G358" s="2" t="s">
        <v>21</v>
      </c>
      <c r="H358" s="4">
        <v>9</v>
      </c>
      <c r="I358" s="4">
        <f>Table134[[#This Row],[اصله مستقل]]*Table134[[#This Row],[A_tree]]</f>
        <v>4275</v>
      </c>
      <c r="J358" s="4">
        <f>IF(Table134[[#This Row],[n * A_tree ]]&gt;Table134[[#This Row],[مساحت آدرس]],1,0)</f>
        <v>0</v>
      </c>
      <c r="K358" s="8">
        <f>IF(Table134[[#This Row],[check]]=1,1,Table134[[#This Row],[A_tree]]*Table134[[#This Row],[اصله مستقل]]/Table134[[#This Row],[مساحت آدرس]])</f>
        <v>0.66361378453896303</v>
      </c>
      <c r="L358" s="14">
        <f>IF(Table134[[#This Row],[check]]=1,1,(Table134[[#This Row],[Psh]]+0.15*(1-Table134[[#This Row],[Psh]])))</f>
        <v>0.71407171685811854</v>
      </c>
      <c r="M358" s="14">
        <f>IF(Table134[[#This Row],[check]]=1,0.65,1)</f>
        <v>1</v>
      </c>
      <c r="N358" s="4">
        <v>1</v>
      </c>
      <c r="O358" s="4">
        <f>IF(Table134[[#This Row],[check]]=1,Table134[[#This Row],[مساحت آدرس]]*Table134[[#This Row],[A0 Inc]],Table134[[#This Row],[A_tree]]*Table134[[#This Row],[اصله مستقل]])</f>
        <v>4275</v>
      </c>
      <c r="P358" s="11">
        <f>IF(Table134[[#This Row],[check]]=1,Table134[[#This Row],[A0]]/Table134[[#This Row],[اصله مستقل]],Table134[[#This Row],[A_tree]])</f>
        <v>9</v>
      </c>
    </row>
    <row r="359" spans="2:16" ht="18.600000000000001" x14ac:dyDescent="0.3">
      <c r="B359" s="4" t="s">
        <v>494</v>
      </c>
      <c r="C359" s="4">
        <v>1027</v>
      </c>
      <c r="D359" s="4">
        <v>1027</v>
      </c>
      <c r="E359" s="4">
        <v>3258</v>
      </c>
      <c r="F359" s="4">
        <v>3981</v>
      </c>
      <c r="G359" s="2" t="s">
        <v>21</v>
      </c>
      <c r="H359" s="4">
        <v>9</v>
      </c>
      <c r="I359" s="4">
        <f>Table134[[#This Row],[اصله مستقل]]*Table134[[#This Row],[A_tree]]</f>
        <v>9243</v>
      </c>
      <c r="J359" s="4">
        <f>IF(Table134[[#This Row],[n * A_tree ]]&gt;Table134[[#This Row],[مساحت آدرس]],1,0)</f>
        <v>1</v>
      </c>
      <c r="K359" s="8">
        <f>IF(Table134[[#This Row],[check]]=1,1,Table134[[#This Row],[A_tree]]*Table134[[#This Row],[اصله مستقل]]/Table134[[#This Row],[مساحت آدرس]])</f>
        <v>1</v>
      </c>
      <c r="L359" s="14">
        <f>IF(Table134[[#This Row],[check]]=1,1,(Table134[[#This Row],[Psh]]+0.15*(1-Table134[[#This Row],[Psh]])))</f>
        <v>1</v>
      </c>
      <c r="M359" s="14">
        <f>IF(Table134[[#This Row],[check]]=1,0.65,1)</f>
        <v>0.65</v>
      </c>
      <c r="N359" s="4">
        <v>1</v>
      </c>
      <c r="O359" s="4">
        <f>IF(Table134[[#This Row],[check]]=1,Table134[[#This Row],[مساحت آدرس]]*Table134[[#This Row],[A0 Inc]],Table134[[#This Row],[A_tree]]*Table134[[#This Row],[اصله مستقل]])</f>
        <v>3981</v>
      </c>
      <c r="P359" s="11">
        <f>IF(Table134[[#This Row],[check]]=1,Table134[[#This Row],[A0]]/Table134[[#This Row],[اصله مستقل]],Table134[[#This Row],[A_tree]])</f>
        <v>3.8763388510223953</v>
      </c>
    </row>
    <row r="360" spans="2:16" ht="18.600000000000001" x14ac:dyDescent="0.3">
      <c r="B360" s="4" t="s">
        <v>495</v>
      </c>
      <c r="C360" s="4">
        <v>614</v>
      </c>
      <c r="D360" s="4">
        <v>614</v>
      </c>
      <c r="E360" s="4">
        <v>1563</v>
      </c>
      <c r="F360" s="4">
        <v>1563</v>
      </c>
      <c r="G360" s="2" t="s">
        <v>21</v>
      </c>
      <c r="H360" s="4">
        <v>9</v>
      </c>
      <c r="I360" s="4">
        <f>Table134[[#This Row],[اصله مستقل]]*Table134[[#This Row],[A_tree]]</f>
        <v>5526</v>
      </c>
      <c r="J360" s="4">
        <f>IF(Table134[[#This Row],[n * A_tree ]]&gt;Table134[[#This Row],[مساحت آدرس]],1,0)</f>
        <v>1</v>
      </c>
      <c r="K360" s="8">
        <f>IF(Table134[[#This Row],[check]]=1,1,Table134[[#This Row],[A_tree]]*Table134[[#This Row],[اصله مستقل]]/Table134[[#This Row],[مساحت آدرس]])</f>
        <v>1</v>
      </c>
      <c r="L360" s="14">
        <f>IF(Table134[[#This Row],[check]]=1,1,(Table134[[#This Row],[Psh]]+0.15*(1-Table134[[#This Row],[Psh]])))</f>
        <v>1</v>
      </c>
      <c r="M360" s="14">
        <f>IF(Table134[[#This Row],[check]]=1,0.65,1)</f>
        <v>0.65</v>
      </c>
      <c r="N360" s="4">
        <v>1</v>
      </c>
      <c r="O360" s="4">
        <f>IF(Table134[[#This Row],[check]]=1,Table134[[#This Row],[مساحت آدرس]]*Table134[[#This Row],[A0 Inc]],Table134[[#This Row],[A_tree]]*Table134[[#This Row],[اصله مستقل]])</f>
        <v>1563</v>
      </c>
      <c r="P360" s="11">
        <f>IF(Table134[[#This Row],[check]]=1,Table134[[#This Row],[A0]]/Table134[[#This Row],[اصله مستقل]],Table134[[#This Row],[A_tree]])</f>
        <v>2.5456026058631922</v>
      </c>
    </row>
    <row r="361" spans="2:16" ht="18.600000000000001" x14ac:dyDescent="0.3">
      <c r="B361" s="4" t="s">
        <v>496</v>
      </c>
      <c r="C361" s="4">
        <v>193</v>
      </c>
      <c r="D361" s="4">
        <v>193</v>
      </c>
      <c r="E361" s="4">
        <v>193</v>
      </c>
      <c r="F361" s="4">
        <v>193</v>
      </c>
      <c r="G361" s="2" t="s">
        <v>300</v>
      </c>
      <c r="H361" s="4">
        <v>9</v>
      </c>
      <c r="I361" s="4">
        <f>Table134[[#This Row],[اصله مستقل]]*Table134[[#This Row],[A_tree]]</f>
        <v>1737</v>
      </c>
      <c r="J361" s="4">
        <f>IF(Table134[[#This Row],[n * A_tree ]]&gt;Table134[[#This Row],[مساحت آدرس]],1,0)</f>
        <v>1</v>
      </c>
      <c r="K361" s="8">
        <f>IF(Table134[[#This Row],[check]]=1,1,Table134[[#This Row],[A_tree]]*Table134[[#This Row],[اصله مستقل]]/Table134[[#This Row],[مساحت آدرس]])</f>
        <v>1</v>
      </c>
      <c r="L361" s="14">
        <f>IF(Table134[[#This Row],[check]]=1,1,(Table134[[#This Row],[Psh]]+0.15*(1-Table134[[#This Row],[Psh]])))</f>
        <v>1</v>
      </c>
      <c r="M361" s="14">
        <f>IF(Table134[[#This Row],[check]]=1,0.65,1)</f>
        <v>0.65</v>
      </c>
      <c r="N361" s="4">
        <v>1</v>
      </c>
      <c r="O361" s="4">
        <f>IF(Table134[[#This Row],[check]]=1,Table134[[#This Row],[مساحت آدرس]]*Table134[[#This Row],[A0 Inc]],Table134[[#This Row],[A_tree]]*Table134[[#This Row],[اصله مستقل]])</f>
        <v>193</v>
      </c>
      <c r="P361" s="11">
        <f>IF(Table134[[#This Row],[check]]=1,Table134[[#This Row],[A0]]/Table134[[#This Row],[اصله مستقل]],Table134[[#This Row],[A_tree]])</f>
        <v>1</v>
      </c>
    </row>
    <row r="362" spans="2:16" ht="18.600000000000001" x14ac:dyDescent="0.3">
      <c r="B362" s="4" t="s">
        <v>497</v>
      </c>
      <c r="C362" s="4">
        <v>740</v>
      </c>
      <c r="D362" s="4">
        <v>740</v>
      </c>
      <c r="E362" s="4">
        <v>740</v>
      </c>
      <c r="F362" s="4">
        <v>740</v>
      </c>
      <c r="G362" s="2" t="s">
        <v>21</v>
      </c>
      <c r="H362" s="4">
        <v>9</v>
      </c>
      <c r="I362" s="4">
        <f>Table134[[#This Row],[اصله مستقل]]*Table134[[#This Row],[A_tree]]</f>
        <v>6660</v>
      </c>
      <c r="J362" s="4">
        <f>IF(Table134[[#This Row],[n * A_tree ]]&gt;Table134[[#This Row],[مساحت آدرس]],1,0)</f>
        <v>1</v>
      </c>
      <c r="K362" s="8">
        <f>IF(Table134[[#This Row],[check]]=1,1,Table134[[#This Row],[A_tree]]*Table134[[#This Row],[اصله مستقل]]/Table134[[#This Row],[مساحت آدرس]])</f>
        <v>1</v>
      </c>
      <c r="L362" s="14">
        <f>IF(Table134[[#This Row],[check]]=1,1,(Table134[[#This Row],[Psh]]+0.15*(1-Table134[[#This Row],[Psh]])))</f>
        <v>1</v>
      </c>
      <c r="M362" s="14">
        <f>IF(Table134[[#This Row],[check]]=1,0.65,1)</f>
        <v>0.65</v>
      </c>
      <c r="N362" s="4">
        <v>1</v>
      </c>
      <c r="O362" s="4">
        <f>IF(Table134[[#This Row],[check]]=1,Table134[[#This Row],[مساحت آدرس]]*Table134[[#This Row],[A0 Inc]],Table134[[#This Row],[A_tree]]*Table134[[#This Row],[اصله مستقل]])</f>
        <v>740</v>
      </c>
      <c r="P362" s="11">
        <f>IF(Table134[[#This Row],[check]]=1,Table134[[#This Row],[A0]]/Table134[[#This Row],[اصله مستقل]],Table134[[#This Row],[A_tree]])</f>
        <v>1</v>
      </c>
    </row>
    <row r="363" spans="2:16" ht="18.600000000000001" x14ac:dyDescent="0.3">
      <c r="B363" s="4" t="s">
        <v>498</v>
      </c>
      <c r="C363" s="4">
        <v>672</v>
      </c>
      <c r="D363" s="4">
        <v>672</v>
      </c>
      <c r="E363" s="4">
        <v>672</v>
      </c>
      <c r="F363" s="4">
        <v>1107</v>
      </c>
      <c r="G363" s="2" t="s">
        <v>21</v>
      </c>
      <c r="H363" s="4">
        <v>9</v>
      </c>
      <c r="I363" s="4">
        <f>Table134[[#This Row],[اصله مستقل]]*Table134[[#This Row],[A_tree]]</f>
        <v>6048</v>
      </c>
      <c r="J363" s="4">
        <f>IF(Table134[[#This Row],[n * A_tree ]]&gt;Table134[[#This Row],[مساحت آدرس]],1,0)</f>
        <v>1</v>
      </c>
      <c r="K363" s="8">
        <f>IF(Table134[[#This Row],[check]]=1,1,Table134[[#This Row],[A_tree]]*Table134[[#This Row],[اصله مستقل]]/Table134[[#This Row],[مساحت آدرس]])</f>
        <v>1</v>
      </c>
      <c r="L363" s="14">
        <f>IF(Table134[[#This Row],[check]]=1,1,(Table134[[#This Row],[Psh]]+0.15*(1-Table134[[#This Row],[Psh]])))</f>
        <v>1</v>
      </c>
      <c r="M363" s="14">
        <f>IF(Table134[[#This Row],[check]]=1,0.65,1)</f>
        <v>0.65</v>
      </c>
      <c r="N363" s="4">
        <v>1</v>
      </c>
      <c r="O363" s="4">
        <f>IF(Table134[[#This Row],[check]]=1,Table134[[#This Row],[مساحت آدرس]]*Table134[[#This Row],[A0 Inc]],Table134[[#This Row],[A_tree]]*Table134[[#This Row],[اصله مستقل]])</f>
        <v>1107</v>
      </c>
      <c r="P363" s="11">
        <f>IF(Table134[[#This Row],[check]]=1,Table134[[#This Row],[A0]]/Table134[[#This Row],[اصله مستقل]],Table134[[#This Row],[A_tree]])</f>
        <v>1.6473214285714286</v>
      </c>
    </row>
    <row r="364" spans="2:16" ht="18.600000000000001" x14ac:dyDescent="0.3">
      <c r="B364" s="4" t="s">
        <v>499</v>
      </c>
      <c r="C364" s="4">
        <v>343</v>
      </c>
      <c r="D364" s="4">
        <v>343</v>
      </c>
      <c r="E364" s="4">
        <v>3400</v>
      </c>
      <c r="F364" s="4">
        <v>3400</v>
      </c>
      <c r="G364" s="2" t="s">
        <v>21</v>
      </c>
      <c r="H364" s="4">
        <v>9</v>
      </c>
      <c r="I364" s="4">
        <f>Table134[[#This Row],[اصله مستقل]]*Table134[[#This Row],[A_tree]]</f>
        <v>3087</v>
      </c>
      <c r="J364" s="4">
        <f>IF(Table134[[#This Row],[n * A_tree ]]&gt;Table134[[#This Row],[مساحت آدرس]],1,0)</f>
        <v>0</v>
      </c>
      <c r="K364" s="8">
        <f>IF(Table134[[#This Row],[check]]=1,1,Table134[[#This Row],[A_tree]]*Table134[[#This Row],[اصله مستقل]]/Table134[[#This Row],[مساحت آدرس]])</f>
        <v>0.90794117647058825</v>
      </c>
      <c r="L364" s="14">
        <f>IF(Table134[[#This Row],[check]]=1,1,(Table134[[#This Row],[Psh]]+0.15*(1-Table134[[#This Row],[Psh]])))</f>
        <v>0.92175000000000007</v>
      </c>
      <c r="M364" s="14">
        <f>IF(Table134[[#This Row],[check]]=1,0.65,1)</f>
        <v>1</v>
      </c>
      <c r="N364" s="4">
        <v>1</v>
      </c>
      <c r="O364" s="4">
        <f>IF(Table134[[#This Row],[check]]=1,Table134[[#This Row],[مساحت آدرس]]*Table134[[#This Row],[A0 Inc]],Table134[[#This Row],[A_tree]]*Table134[[#This Row],[اصله مستقل]])</f>
        <v>3087</v>
      </c>
      <c r="P364" s="11">
        <f>IF(Table134[[#This Row],[check]]=1,Table134[[#This Row],[A0]]/Table134[[#This Row],[اصله مستقل]],Table134[[#This Row],[A_tree]])</f>
        <v>9</v>
      </c>
    </row>
    <row r="365" spans="2:16" ht="18.600000000000001" x14ac:dyDescent="0.3">
      <c r="B365" s="4" t="s">
        <v>500</v>
      </c>
      <c r="C365" s="4">
        <v>164</v>
      </c>
      <c r="D365" s="4">
        <v>164</v>
      </c>
      <c r="E365" s="4">
        <v>438</v>
      </c>
      <c r="F365" s="4">
        <v>438</v>
      </c>
      <c r="G365" s="2" t="s">
        <v>21</v>
      </c>
      <c r="H365" s="4">
        <v>9</v>
      </c>
      <c r="I365" s="4">
        <f>Table134[[#This Row],[اصله مستقل]]*Table134[[#This Row],[A_tree]]</f>
        <v>1476</v>
      </c>
      <c r="J365" s="4">
        <f>IF(Table134[[#This Row],[n * A_tree ]]&gt;Table134[[#This Row],[مساحت آدرس]],1,0)</f>
        <v>1</v>
      </c>
      <c r="K365" s="8">
        <f>IF(Table134[[#This Row],[check]]=1,1,Table134[[#This Row],[A_tree]]*Table134[[#This Row],[اصله مستقل]]/Table134[[#This Row],[مساحت آدرس]])</f>
        <v>1</v>
      </c>
      <c r="L365" s="14">
        <f>IF(Table134[[#This Row],[check]]=1,1,(Table134[[#This Row],[Psh]]+0.15*(1-Table134[[#This Row],[Psh]])))</f>
        <v>1</v>
      </c>
      <c r="M365" s="14">
        <f>IF(Table134[[#This Row],[check]]=1,0.65,1)</f>
        <v>0.65</v>
      </c>
      <c r="N365" s="4">
        <v>1</v>
      </c>
      <c r="O365" s="4">
        <f>IF(Table134[[#This Row],[check]]=1,Table134[[#This Row],[مساحت آدرس]]*Table134[[#This Row],[A0 Inc]],Table134[[#This Row],[A_tree]]*Table134[[#This Row],[اصله مستقل]])</f>
        <v>438</v>
      </c>
      <c r="P365" s="11">
        <f>IF(Table134[[#This Row],[check]]=1,Table134[[#This Row],[A0]]/Table134[[#This Row],[اصله مستقل]],Table134[[#This Row],[A_tree]])</f>
        <v>2.6707317073170733</v>
      </c>
    </row>
    <row r="366" spans="2:16" ht="18.600000000000001" x14ac:dyDescent="0.3">
      <c r="B366" s="4" t="s">
        <v>501</v>
      </c>
      <c r="C366" s="4">
        <v>1320</v>
      </c>
      <c r="D366" s="4">
        <v>1320</v>
      </c>
      <c r="E366" s="4">
        <v>3852</v>
      </c>
      <c r="F366" s="4">
        <v>3852</v>
      </c>
      <c r="G366" s="2" t="s">
        <v>21</v>
      </c>
      <c r="H366" s="4">
        <v>9</v>
      </c>
      <c r="I366" s="4">
        <f>Table134[[#This Row],[اصله مستقل]]*Table134[[#This Row],[A_tree]]</f>
        <v>11880</v>
      </c>
      <c r="J366" s="4">
        <f>IF(Table134[[#This Row],[n * A_tree ]]&gt;Table134[[#This Row],[مساحت آدرس]],1,0)</f>
        <v>1</v>
      </c>
      <c r="K366" s="8">
        <f>IF(Table134[[#This Row],[check]]=1,1,Table134[[#This Row],[A_tree]]*Table134[[#This Row],[اصله مستقل]]/Table134[[#This Row],[مساحت آدرس]])</f>
        <v>1</v>
      </c>
      <c r="L366" s="14">
        <f>IF(Table134[[#This Row],[check]]=1,1,(Table134[[#This Row],[Psh]]+0.15*(1-Table134[[#This Row],[Psh]])))</f>
        <v>1</v>
      </c>
      <c r="M366" s="14">
        <f>IF(Table134[[#This Row],[check]]=1,0.65,1)</f>
        <v>0.65</v>
      </c>
      <c r="N366" s="4">
        <v>1</v>
      </c>
      <c r="O366" s="4">
        <f>IF(Table134[[#This Row],[check]]=1,Table134[[#This Row],[مساحت آدرس]]*Table134[[#This Row],[A0 Inc]],Table134[[#This Row],[A_tree]]*Table134[[#This Row],[اصله مستقل]])</f>
        <v>3852</v>
      </c>
      <c r="P366" s="11">
        <f>IF(Table134[[#This Row],[check]]=1,Table134[[#This Row],[A0]]/Table134[[#This Row],[اصله مستقل]],Table134[[#This Row],[A_tree]])</f>
        <v>2.918181818181818</v>
      </c>
    </row>
    <row r="367" spans="2:16" ht="18.600000000000001" x14ac:dyDescent="0.3">
      <c r="B367" s="4" t="s">
        <v>502</v>
      </c>
      <c r="C367" s="4">
        <v>90</v>
      </c>
      <c r="D367" s="4">
        <v>90</v>
      </c>
      <c r="E367" s="4">
        <v>111</v>
      </c>
      <c r="F367" s="4">
        <v>111</v>
      </c>
      <c r="G367" s="2" t="s">
        <v>66</v>
      </c>
      <c r="H367" s="4">
        <v>9</v>
      </c>
      <c r="I367" s="4">
        <f>Table134[[#This Row],[اصله مستقل]]*Table134[[#This Row],[A_tree]]</f>
        <v>810</v>
      </c>
      <c r="J367" s="4">
        <f>IF(Table134[[#This Row],[n * A_tree ]]&gt;Table134[[#This Row],[مساحت آدرس]],1,0)</f>
        <v>1</v>
      </c>
      <c r="K367" s="8">
        <f>IF(Table134[[#This Row],[check]]=1,1,Table134[[#This Row],[A_tree]]*Table134[[#This Row],[اصله مستقل]]/Table134[[#This Row],[مساحت آدرس]])</f>
        <v>1</v>
      </c>
      <c r="L367" s="14">
        <f>IF(Table134[[#This Row],[check]]=1,1,(Table134[[#This Row],[Psh]]+0.15*(1-Table134[[#This Row],[Psh]])))</f>
        <v>1</v>
      </c>
      <c r="M367" s="14">
        <f>IF(Table134[[#This Row],[check]]=1,0.65,1)</f>
        <v>0.65</v>
      </c>
      <c r="N367" s="4">
        <v>1</v>
      </c>
      <c r="O367" s="4">
        <f>IF(Table134[[#This Row],[check]]=1,Table134[[#This Row],[مساحت آدرس]]*Table134[[#This Row],[A0 Inc]],Table134[[#This Row],[A_tree]]*Table134[[#This Row],[اصله مستقل]])</f>
        <v>111</v>
      </c>
      <c r="P367" s="11">
        <f>IF(Table134[[#This Row],[check]]=1,Table134[[#This Row],[A0]]/Table134[[#This Row],[اصله مستقل]],Table134[[#This Row],[A_tree]])</f>
        <v>1.2333333333333334</v>
      </c>
    </row>
    <row r="368" spans="2:16" ht="18.600000000000001" x14ac:dyDescent="0.3">
      <c r="B368" s="4" t="s">
        <v>505</v>
      </c>
      <c r="C368" s="4">
        <v>156</v>
      </c>
      <c r="D368" s="4">
        <v>8</v>
      </c>
      <c r="E368" s="4">
        <v>8</v>
      </c>
      <c r="F368" s="4">
        <v>532</v>
      </c>
      <c r="G368" s="2" t="s">
        <v>21</v>
      </c>
      <c r="H368" s="4">
        <v>9</v>
      </c>
      <c r="I368" s="4">
        <f>Table134[[#This Row],[اصله مستقل]]*Table134[[#This Row],[A_tree]]</f>
        <v>72</v>
      </c>
      <c r="J368" s="4">
        <f>IF(Table134[[#This Row],[n * A_tree ]]&gt;Table134[[#This Row],[مساحت آدرس]],1,0)</f>
        <v>0</v>
      </c>
      <c r="K368" s="8">
        <f>IF(Table134[[#This Row],[check]]=1,1,Table134[[#This Row],[A_tree]]*Table134[[#This Row],[اصله مستقل]]/Table134[[#This Row],[مساحت آدرس]])</f>
        <v>0.13533834586466165</v>
      </c>
      <c r="L368" s="14">
        <f>IF(Table134[[#This Row],[check]]=1,1,(Table134[[#This Row],[Psh]]+0.15*(1-Table134[[#This Row],[Psh]])))</f>
        <v>0.26503759398496241</v>
      </c>
      <c r="M368" s="14">
        <f>IF(Table134[[#This Row],[check]]=1,0.65,1)</f>
        <v>1</v>
      </c>
      <c r="N368" s="4">
        <v>1</v>
      </c>
      <c r="O368" s="4">
        <f>IF(Table134[[#This Row],[check]]=1,Table134[[#This Row],[مساحت آدرس]]*Table134[[#This Row],[A0 Inc]],Table134[[#This Row],[A_tree]]*Table134[[#This Row],[اصله مستقل]])</f>
        <v>72</v>
      </c>
      <c r="P368" s="11">
        <f>IF(Table134[[#This Row],[check]]=1,Table134[[#This Row],[A0]]/Table134[[#This Row],[اصله مستقل]],Table134[[#This Row],[A_tree]])</f>
        <v>9</v>
      </c>
    </row>
    <row r="369" spans="2:16" ht="18.600000000000001" x14ac:dyDescent="0.3">
      <c r="B369" s="4" t="s">
        <v>507</v>
      </c>
      <c r="C369" s="4">
        <v>60</v>
      </c>
      <c r="D369" s="4">
        <v>60</v>
      </c>
      <c r="E369" s="4">
        <v>240</v>
      </c>
      <c r="F369" s="4">
        <v>650</v>
      </c>
      <c r="G369" s="2" t="s">
        <v>3</v>
      </c>
      <c r="H369" s="4">
        <v>9</v>
      </c>
      <c r="I369" s="4">
        <f>Table134[[#This Row],[اصله مستقل]]*Table134[[#This Row],[A_tree]]</f>
        <v>540</v>
      </c>
      <c r="J369" s="4">
        <f>IF(Table134[[#This Row],[n * A_tree ]]&gt;Table134[[#This Row],[مساحت آدرس]],1,0)</f>
        <v>0</v>
      </c>
      <c r="K369" s="8">
        <f>IF(Table134[[#This Row],[check]]=1,1,Table134[[#This Row],[A_tree]]*Table134[[#This Row],[اصله مستقل]]/Table134[[#This Row],[مساحت آدرس]])</f>
        <v>0.83076923076923082</v>
      </c>
      <c r="L369" s="14">
        <f>IF(Table134[[#This Row],[check]]=1,1,(Table134[[#This Row],[Psh]]+0.15*(1-Table134[[#This Row],[Psh]])))</f>
        <v>0.85615384615384615</v>
      </c>
      <c r="M369" s="14">
        <f>IF(Table134[[#This Row],[check]]=1,0.65,1)</f>
        <v>1</v>
      </c>
      <c r="N369" s="4">
        <v>1</v>
      </c>
      <c r="O369" s="4">
        <f>IF(Table134[[#This Row],[check]]=1,Table134[[#This Row],[مساحت آدرس]]*Table134[[#This Row],[A0 Inc]],Table134[[#This Row],[A_tree]]*Table134[[#This Row],[اصله مستقل]])</f>
        <v>540</v>
      </c>
      <c r="P369" s="11">
        <f>IF(Table134[[#This Row],[check]]=1,Table134[[#This Row],[A0]]/Table134[[#This Row],[اصله مستقل]],Table134[[#This Row],[A_tree]])</f>
        <v>9</v>
      </c>
    </row>
    <row r="370" spans="2:16" ht="18.600000000000001" x14ac:dyDescent="0.3">
      <c r="B370" s="4" t="s">
        <v>508</v>
      </c>
      <c r="C370" s="4">
        <v>163</v>
      </c>
      <c r="D370" s="4">
        <v>163</v>
      </c>
      <c r="E370" s="4">
        <v>489</v>
      </c>
      <c r="F370" s="4">
        <v>2689</v>
      </c>
      <c r="G370" s="2" t="s">
        <v>3</v>
      </c>
      <c r="H370" s="4">
        <v>9</v>
      </c>
      <c r="I370" s="4">
        <f>Table134[[#This Row],[اصله مستقل]]*Table134[[#This Row],[A_tree]]</f>
        <v>1467</v>
      </c>
      <c r="J370" s="4">
        <f>IF(Table134[[#This Row],[n * A_tree ]]&gt;Table134[[#This Row],[مساحت آدرس]],1,0)</f>
        <v>0</v>
      </c>
      <c r="K370" s="8">
        <f>IF(Table134[[#This Row],[check]]=1,1,Table134[[#This Row],[A_tree]]*Table134[[#This Row],[اصله مستقل]]/Table134[[#This Row],[مساحت آدرس]])</f>
        <v>0.54555596876162138</v>
      </c>
      <c r="L370" s="14">
        <f>IF(Table134[[#This Row],[check]]=1,1,(Table134[[#This Row],[Psh]]+0.15*(1-Table134[[#This Row],[Psh]])))</f>
        <v>0.61372257344737813</v>
      </c>
      <c r="M370" s="14">
        <f>IF(Table134[[#This Row],[check]]=1,0.65,1)</f>
        <v>1</v>
      </c>
      <c r="N370" s="4">
        <v>1</v>
      </c>
      <c r="O370" s="4">
        <f>IF(Table134[[#This Row],[check]]=1,Table134[[#This Row],[مساحت آدرس]]*Table134[[#This Row],[A0 Inc]],Table134[[#This Row],[A_tree]]*Table134[[#This Row],[اصله مستقل]])</f>
        <v>1467</v>
      </c>
      <c r="P370" s="11">
        <f>IF(Table134[[#This Row],[check]]=1,Table134[[#This Row],[A0]]/Table134[[#This Row],[اصله مستقل]],Table134[[#This Row],[A_tree]])</f>
        <v>9</v>
      </c>
    </row>
    <row r="371" spans="2:16" ht="18.600000000000001" x14ac:dyDescent="0.3">
      <c r="B371" s="4" t="s">
        <v>509</v>
      </c>
      <c r="C371" s="4">
        <v>360</v>
      </c>
      <c r="D371" s="4">
        <v>360</v>
      </c>
      <c r="E371" s="4">
        <v>1440</v>
      </c>
      <c r="F371" s="4">
        <v>2813</v>
      </c>
      <c r="G371" s="2" t="s">
        <v>3</v>
      </c>
      <c r="H371" s="4">
        <v>9</v>
      </c>
      <c r="I371" s="4">
        <f>Table134[[#This Row],[اصله مستقل]]*Table134[[#This Row],[A_tree]]</f>
        <v>3240</v>
      </c>
      <c r="J371" s="4">
        <f>IF(Table134[[#This Row],[n * A_tree ]]&gt;Table134[[#This Row],[مساحت آدرس]],1,0)</f>
        <v>1</v>
      </c>
      <c r="K371" s="8">
        <f>IF(Table134[[#This Row],[check]]=1,1,Table134[[#This Row],[A_tree]]*Table134[[#This Row],[اصله مستقل]]/Table134[[#This Row],[مساحت آدرس]])</f>
        <v>1</v>
      </c>
      <c r="L371" s="14">
        <f>IF(Table134[[#This Row],[check]]=1,1,(Table134[[#This Row],[Psh]]+0.15*(1-Table134[[#This Row],[Psh]])))</f>
        <v>1</v>
      </c>
      <c r="M371" s="14">
        <f>IF(Table134[[#This Row],[check]]=1,0.65,1)</f>
        <v>0.65</v>
      </c>
      <c r="N371" s="4">
        <v>1</v>
      </c>
      <c r="O371" s="4">
        <f>IF(Table134[[#This Row],[check]]=1,Table134[[#This Row],[مساحت آدرس]]*Table134[[#This Row],[A0 Inc]],Table134[[#This Row],[A_tree]]*Table134[[#This Row],[اصله مستقل]])</f>
        <v>2813</v>
      </c>
      <c r="P371" s="11">
        <f>IF(Table134[[#This Row],[check]]=1,Table134[[#This Row],[A0]]/Table134[[#This Row],[اصله مستقل]],Table134[[#This Row],[A_tree]])</f>
        <v>7.8138888888888891</v>
      </c>
    </row>
    <row r="372" spans="2:16" ht="18.600000000000001" x14ac:dyDescent="0.3">
      <c r="B372" s="4" t="s">
        <v>515</v>
      </c>
      <c r="C372" s="4">
        <v>596</v>
      </c>
      <c r="D372" s="4">
        <v>133</v>
      </c>
      <c r="E372" s="4">
        <v>399</v>
      </c>
      <c r="F372" s="4">
        <v>3206</v>
      </c>
      <c r="G372" s="2" t="s">
        <v>21</v>
      </c>
      <c r="H372" s="4">
        <v>9</v>
      </c>
      <c r="I372" s="4">
        <f>Table134[[#This Row],[اصله مستقل]]*Table134[[#This Row],[A_tree]]</f>
        <v>1197</v>
      </c>
      <c r="J372" s="4">
        <f>IF(Table134[[#This Row],[n * A_tree ]]&gt;Table134[[#This Row],[مساحت آدرس]],1,0)</f>
        <v>0</v>
      </c>
      <c r="K372" s="8">
        <f>IF(Table134[[#This Row],[check]]=1,1,Table134[[#This Row],[A_tree]]*Table134[[#This Row],[اصله مستقل]]/Table134[[#This Row],[مساحت آدرس]])</f>
        <v>0.37336244541484714</v>
      </c>
      <c r="L372" s="14">
        <f>IF(Table134[[#This Row],[check]]=1,1,(Table134[[#This Row],[Psh]]+0.15*(1-Table134[[#This Row],[Psh]])))</f>
        <v>0.46735807860262008</v>
      </c>
      <c r="M372" s="14">
        <f>IF(Table134[[#This Row],[check]]=1,0.65,1)</f>
        <v>1</v>
      </c>
      <c r="N372" s="4">
        <v>1</v>
      </c>
      <c r="O372" s="4">
        <f>IF(Table134[[#This Row],[check]]=1,Table134[[#This Row],[مساحت آدرس]]*Table134[[#This Row],[A0 Inc]],Table134[[#This Row],[A_tree]]*Table134[[#This Row],[اصله مستقل]])</f>
        <v>1197</v>
      </c>
      <c r="P372" s="11">
        <f>IF(Table134[[#This Row],[check]]=1,Table134[[#This Row],[A0]]/Table134[[#This Row],[اصله مستقل]],Table134[[#This Row],[A_tree]])</f>
        <v>9</v>
      </c>
    </row>
    <row r="373" spans="2:16" ht="18.600000000000001" x14ac:dyDescent="0.3">
      <c r="B373" s="4" t="s">
        <v>516</v>
      </c>
      <c r="C373" s="4">
        <v>246</v>
      </c>
      <c r="D373" s="4">
        <v>77</v>
      </c>
      <c r="E373" s="4">
        <v>308</v>
      </c>
      <c r="F373" s="4">
        <v>408</v>
      </c>
      <c r="G373" s="2" t="s">
        <v>21</v>
      </c>
      <c r="H373" s="4">
        <v>9</v>
      </c>
      <c r="I373" s="4">
        <f>Table134[[#This Row],[اصله مستقل]]*Table134[[#This Row],[A_tree]]</f>
        <v>693</v>
      </c>
      <c r="J373" s="4">
        <f>IF(Table134[[#This Row],[n * A_tree ]]&gt;Table134[[#This Row],[مساحت آدرس]],1,0)</f>
        <v>1</v>
      </c>
      <c r="K373" s="8">
        <f>IF(Table134[[#This Row],[check]]=1,1,Table134[[#This Row],[A_tree]]*Table134[[#This Row],[اصله مستقل]]/Table134[[#This Row],[مساحت آدرس]])</f>
        <v>1</v>
      </c>
      <c r="L373" s="14">
        <f>IF(Table134[[#This Row],[check]]=1,1,(Table134[[#This Row],[Psh]]+0.15*(1-Table134[[#This Row],[Psh]])))</f>
        <v>1</v>
      </c>
      <c r="M373" s="14">
        <f>IF(Table134[[#This Row],[check]]=1,0.65,1)</f>
        <v>0.65</v>
      </c>
      <c r="N373" s="4">
        <v>1</v>
      </c>
      <c r="O373" s="4">
        <f>IF(Table134[[#This Row],[check]]=1,Table134[[#This Row],[مساحت آدرس]]*Table134[[#This Row],[A0 Inc]],Table134[[#This Row],[A_tree]]*Table134[[#This Row],[اصله مستقل]])</f>
        <v>408</v>
      </c>
      <c r="P373" s="11">
        <f>IF(Table134[[#This Row],[check]]=1,Table134[[#This Row],[A0]]/Table134[[#This Row],[اصله مستقل]],Table134[[#This Row],[A_tree]])</f>
        <v>5.2987012987012987</v>
      </c>
    </row>
    <row r="374" spans="2:16" ht="18.600000000000001" x14ac:dyDescent="0.3">
      <c r="B374" s="4" t="s">
        <v>517</v>
      </c>
      <c r="C374" s="4">
        <v>150</v>
      </c>
      <c r="D374" s="4">
        <v>150</v>
      </c>
      <c r="E374" s="4">
        <v>200</v>
      </c>
      <c r="F374" s="4">
        <v>200</v>
      </c>
      <c r="G374" s="2" t="s">
        <v>21</v>
      </c>
      <c r="H374" s="4">
        <v>9</v>
      </c>
      <c r="I374" s="4">
        <f>Table134[[#This Row],[اصله مستقل]]*Table134[[#This Row],[A_tree]]</f>
        <v>1350</v>
      </c>
      <c r="J374" s="4">
        <f>IF(Table134[[#This Row],[n * A_tree ]]&gt;Table134[[#This Row],[مساحت آدرس]],1,0)</f>
        <v>1</v>
      </c>
      <c r="K374" s="8">
        <f>IF(Table134[[#This Row],[check]]=1,1,Table134[[#This Row],[A_tree]]*Table134[[#This Row],[اصله مستقل]]/Table134[[#This Row],[مساحت آدرس]])</f>
        <v>1</v>
      </c>
      <c r="L374" s="14">
        <f>IF(Table134[[#This Row],[check]]=1,1,(Table134[[#This Row],[Psh]]+0.15*(1-Table134[[#This Row],[Psh]])))</f>
        <v>1</v>
      </c>
      <c r="M374" s="14">
        <f>IF(Table134[[#This Row],[check]]=1,0.65,1)</f>
        <v>0.65</v>
      </c>
      <c r="N374" s="4">
        <v>1</v>
      </c>
      <c r="O374" s="4">
        <f>IF(Table134[[#This Row],[check]]=1,Table134[[#This Row],[مساحت آدرس]]*Table134[[#This Row],[A0 Inc]],Table134[[#This Row],[A_tree]]*Table134[[#This Row],[اصله مستقل]])</f>
        <v>200</v>
      </c>
      <c r="P374" s="11">
        <f>IF(Table134[[#This Row],[check]]=1,Table134[[#This Row],[A0]]/Table134[[#This Row],[اصله مستقل]],Table134[[#This Row],[A_tree]])</f>
        <v>1.3333333333333333</v>
      </c>
    </row>
    <row r="375" spans="2:16" ht="18.600000000000001" x14ac:dyDescent="0.3">
      <c r="B375" s="4" t="s">
        <v>518</v>
      </c>
      <c r="C375" s="4">
        <v>740</v>
      </c>
      <c r="D375" s="4">
        <v>740</v>
      </c>
      <c r="E375" s="4">
        <v>2960</v>
      </c>
      <c r="F375" s="4">
        <v>4498</v>
      </c>
      <c r="G375" s="2" t="s">
        <v>21</v>
      </c>
      <c r="H375" s="4">
        <v>9</v>
      </c>
      <c r="I375" s="4">
        <f>Table134[[#This Row],[اصله مستقل]]*Table134[[#This Row],[A_tree]]</f>
        <v>6660</v>
      </c>
      <c r="J375" s="4">
        <f>IF(Table134[[#This Row],[n * A_tree ]]&gt;Table134[[#This Row],[مساحت آدرس]],1,0)</f>
        <v>1</v>
      </c>
      <c r="K375" s="8">
        <f>IF(Table134[[#This Row],[check]]=1,1,Table134[[#This Row],[A_tree]]*Table134[[#This Row],[اصله مستقل]]/Table134[[#This Row],[مساحت آدرس]])</f>
        <v>1</v>
      </c>
      <c r="L375" s="14">
        <f>IF(Table134[[#This Row],[check]]=1,1,(Table134[[#This Row],[Psh]]+0.15*(1-Table134[[#This Row],[Psh]])))</f>
        <v>1</v>
      </c>
      <c r="M375" s="14">
        <f>IF(Table134[[#This Row],[check]]=1,0.65,1)</f>
        <v>0.65</v>
      </c>
      <c r="N375" s="4">
        <v>1</v>
      </c>
      <c r="O375" s="4">
        <f>IF(Table134[[#This Row],[check]]=1,Table134[[#This Row],[مساحت آدرس]]*Table134[[#This Row],[A0 Inc]],Table134[[#This Row],[A_tree]]*Table134[[#This Row],[اصله مستقل]])</f>
        <v>4498</v>
      </c>
      <c r="P375" s="11">
        <f>IF(Table134[[#This Row],[check]]=1,Table134[[#This Row],[A0]]/Table134[[#This Row],[اصله مستقل]],Table134[[#This Row],[A_tree]])</f>
        <v>6.0783783783783782</v>
      </c>
    </row>
    <row r="376" spans="2:16" ht="18.600000000000001" x14ac:dyDescent="0.3">
      <c r="B376" s="4" t="s">
        <v>519</v>
      </c>
      <c r="C376" s="4">
        <v>147</v>
      </c>
      <c r="D376" s="4">
        <v>147</v>
      </c>
      <c r="E376" s="4">
        <v>150</v>
      </c>
      <c r="F376" s="4">
        <v>150</v>
      </c>
      <c r="G376" s="2" t="s">
        <v>21</v>
      </c>
      <c r="H376" s="4">
        <v>9</v>
      </c>
      <c r="I376" s="4">
        <f>Table134[[#This Row],[اصله مستقل]]*Table134[[#This Row],[A_tree]]</f>
        <v>1323</v>
      </c>
      <c r="J376" s="4">
        <f>IF(Table134[[#This Row],[n * A_tree ]]&gt;Table134[[#This Row],[مساحت آدرس]],1,0)</f>
        <v>1</v>
      </c>
      <c r="K376" s="8">
        <f>IF(Table134[[#This Row],[check]]=1,1,Table134[[#This Row],[A_tree]]*Table134[[#This Row],[اصله مستقل]]/Table134[[#This Row],[مساحت آدرس]])</f>
        <v>1</v>
      </c>
      <c r="L376" s="14">
        <f>IF(Table134[[#This Row],[check]]=1,1,(Table134[[#This Row],[Psh]]+0.15*(1-Table134[[#This Row],[Psh]])))</f>
        <v>1</v>
      </c>
      <c r="M376" s="14">
        <f>IF(Table134[[#This Row],[check]]=1,0.65,1)</f>
        <v>0.65</v>
      </c>
      <c r="N376" s="4">
        <v>1</v>
      </c>
      <c r="O376" s="4">
        <f>IF(Table134[[#This Row],[check]]=1,Table134[[#This Row],[مساحت آدرس]]*Table134[[#This Row],[A0 Inc]],Table134[[#This Row],[A_tree]]*Table134[[#This Row],[اصله مستقل]])</f>
        <v>150</v>
      </c>
      <c r="P376" s="11">
        <f>IF(Table134[[#This Row],[check]]=1,Table134[[#This Row],[A0]]/Table134[[#This Row],[اصله مستقل]],Table134[[#This Row],[A_tree]])</f>
        <v>1.0204081632653061</v>
      </c>
    </row>
    <row r="377" spans="2:16" ht="18.600000000000001" x14ac:dyDescent="0.3">
      <c r="B377" s="4" t="s">
        <v>520</v>
      </c>
      <c r="C377" s="4">
        <v>50</v>
      </c>
      <c r="D377" s="4">
        <v>50</v>
      </c>
      <c r="E377" s="4">
        <v>150</v>
      </c>
      <c r="F377" s="4">
        <v>150</v>
      </c>
      <c r="G377" s="2" t="s">
        <v>21</v>
      </c>
      <c r="H377" s="4">
        <v>9</v>
      </c>
      <c r="I377" s="4">
        <f>Table134[[#This Row],[اصله مستقل]]*Table134[[#This Row],[A_tree]]</f>
        <v>450</v>
      </c>
      <c r="J377" s="4">
        <f>IF(Table134[[#This Row],[n * A_tree ]]&gt;Table134[[#This Row],[مساحت آدرس]],1,0)</f>
        <v>1</v>
      </c>
      <c r="K377" s="8">
        <f>IF(Table134[[#This Row],[check]]=1,1,Table134[[#This Row],[A_tree]]*Table134[[#This Row],[اصله مستقل]]/Table134[[#This Row],[مساحت آدرس]])</f>
        <v>1</v>
      </c>
      <c r="L377" s="14">
        <f>IF(Table134[[#This Row],[check]]=1,1,(Table134[[#This Row],[Psh]]+0.15*(1-Table134[[#This Row],[Psh]])))</f>
        <v>1</v>
      </c>
      <c r="M377" s="14">
        <f>IF(Table134[[#This Row],[check]]=1,0.65,1)</f>
        <v>0.65</v>
      </c>
      <c r="N377" s="4">
        <v>1</v>
      </c>
      <c r="O377" s="4">
        <f>IF(Table134[[#This Row],[check]]=1,Table134[[#This Row],[مساحت آدرس]]*Table134[[#This Row],[A0 Inc]],Table134[[#This Row],[A_tree]]*Table134[[#This Row],[اصله مستقل]])</f>
        <v>150</v>
      </c>
      <c r="P377" s="11">
        <f>IF(Table134[[#This Row],[check]]=1,Table134[[#This Row],[A0]]/Table134[[#This Row],[اصله مستقل]],Table134[[#This Row],[A_tree]])</f>
        <v>3</v>
      </c>
    </row>
    <row r="378" spans="2:16" ht="18.600000000000001" x14ac:dyDescent="0.3">
      <c r="B378" s="4" t="s">
        <v>521</v>
      </c>
      <c r="C378" s="4">
        <v>333</v>
      </c>
      <c r="D378" s="4">
        <v>70</v>
      </c>
      <c r="E378" s="4">
        <v>120</v>
      </c>
      <c r="F378" s="4">
        <v>2920</v>
      </c>
      <c r="G378" s="2" t="s">
        <v>21</v>
      </c>
      <c r="H378" s="4">
        <v>9</v>
      </c>
      <c r="I378" s="4">
        <f>Table134[[#This Row],[اصله مستقل]]*Table134[[#This Row],[A_tree]]</f>
        <v>630</v>
      </c>
      <c r="J378" s="4">
        <f>IF(Table134[[#This Row],[n * A_tree ]]&gt;Table134[[#This Row],[مساحت آدرس]],1,0)</f>
        <v>0</v>
      </c>
      <c r="K378" s="8">
        <f>IF(Table134[[#This Row],[check]]=1,1,Table134[[#This Row],[A_tree]]*Table134[[#This Row],[اصله مستقل]]/Table134[[#This Row],[مساحت آدرس]])</f>
        <v>0.21575342465753425</v>
      </c>
      <c r="L378" s="14">
        <f>IF(Table134[[#This Row],[check]]=1,1,(Table134[[#This Row],[Psh]]+0.15*(1-Table134[[#This Row],[Psh]])))</f>
        <v>0.33339041095890409</v>
      </c>
      <c r="M378" s="14">
        <f>IF(Table134[[#This Row],[check]]=1,0.65,1)</f>
        <v>1</v>
      </c>
      <c r="N378" s="4">
        <v>1</v>
      </c>
      <c r="O378" s="4">
        <f>IF(Table134[[#This Row],[check]]=1,Table134[[#This Row],[مساحت آدرس]]*Table134[[#This Row],[A0 Inc]],Table134[[#This Row],[A_tree]]*Table134[[#This Row],[اصله مستقل]])</f>
        <v>630</v>
      </c>
      <c r="P378" s="11">
        <f>IF(Table134[[#This Row],[check]]=1,Table134[[#This Row],[A0]]/Table134[[#This Row],[اصله مستقل]],Table134[[#This Row],[A_tree]])</f>
        <v>9</v>
      </c>
    </row>
    <row r="379" spans="2:16" ht="18.600000000000001" x14ac:dyDescent="0.3">
      <c r="B379" s="4" t="s">
        <v>522</v>
      </c>
      <c r="C379" s="4">
        <v>581</v>
      </c>
      <c r="D379" s="4">
        <v>43</v>
      </c>
      <c r="E379" s="4">
        <v>172</v>
      </c>
      <c r="F379" s="4">
        <v>2927</v>
      </c>
      <c r="G379" s="2" t="s">
        <v>21</v>
      </c>
      <c r="H379" s="4">
        <v>9</v>
      </c>
      <c r="I379" s="4">
        <f>Table134[[#This Row],[اصله مستقل]]*Table134[[#This Row],[A_tree]]</f>
        <v>387</v>
      </c>
      <c r="J379" s="4">
        <f>IF(Table134[[#This Row],[n * A_tree ]]&gt;Table134[[#This Row],[مساحت آدرس]],1,0)</f>
        <v>0</v>
      </c>
      <c r="K379" s="8">
        <f>IF(Table134[[#This Row],[check]]=1,1,Table134[[#This Row],[A_tree]]*Table134[[#This Row],[اصله مستقل]]/Table134[[#This Row],[مساحت آدرس]])</f>
        <v>0.13221728732490604</v>
      </c>
      <c r="L379" s="14">
        <f>IF(Table134[[#This Row],[check]]=1,1,(Table134[[#This Row],[Psh]]+0.15*(1-Table134[[#This Row],[Psh]])))</f>
        <v>0.26238469422617017</v>
      </c>
      <c r="M379" s="14">
        <f>IF(Table134[[#This Row],[check]]=1,0.65,1)</f>
        <v>1</v>
      </c>
      <c r="N379" s="4">
        <v>1</v>
      </c>
      <c r="O379" s="4">
        <f>IF(Table134[[#This Row],[check]]=1,Table134[[#This Row],[مساحت آدرس]]*Table134[[#This Row],[A0 Inc]],Table134[[#This Row],[A_tree]]*Table134[[#This Row],[اصله مستقل]])</f>
        <v>387</v>
      </c>
      <c r="P379" s="11">
        <f>IF(Table134[[#This Row],[check]]=1,Table134[[#This Row],[A0]]/Table134[[#This Row],[اصله مستقل]],Table134[[#This Row],[A_tree]])</f>
        <v>9</v>
      </c>
    </row>
    <row r="380" spans="2:16" ht="18.600000000000001" x14ac:dyDescent="0.3">
      <c r="B380" s="4" t="s">
        <v>523</v>
      </c>
      <c r="C380" s="4">
        <v>305</v>
      </c>
      <c r="D380" s="4">
        <v>25</v>
      </c>
      <c r="E380" s="4">
        <v>100</v>
      </c>
      <c r="F380" s="4">
        <v>990</v>
      </c>
      <c r="G380" s="2" t="s">
        <v>21</v>
      </c>
      <c r="H380" s="4">
        <v>9</v>
      </c>
      <c r="I380" s="4">
        <f>Table134[[#This Row],[اصله مستقل]]*Table134[[#This Row],[A_tree]]</f>
        <v>225</v>
      </c>
      <c r="J380" s="4">
        <f>IF(Table134[[#This Row],[n * A_tree ]]&gt;Table134[[#This Row],[مساحت آدرس]],1,0)</f>
        <v>0</v>
      </c>
      <c r="K380" s="8">
        <f>IF(Table134[[#This Row],[check]]=1,1,Table134[[#This Row],[A_tree]]*Table134[[#This Row],[اصله مستقل]]/Table134[[#This Row],[مساحت آدرس]])</f>
        <v>0.22727272727272727</v>
      </c>
      <c r="L380" s="14">
        <f>IF(Table134[[#This Row],[check]]=1,1,(Table134[[#This Row],[Psh]]+0.15*(1-Table134[[#This Row],[Psh]])))</f>
        <v>0.34318181818181814</v>
      </c>
      <c r="M380" s="14">
        <f>IF(Table134[[#This Row],[check]]=1,0.65,1)</f>
        <v>1</v>
      </c>
      <c r="N380" s="4">
        <v>1</v>
      </c>
      <c r="O380" s="4">
        <f>IF(Table134[[#This Row],[check]]=1,Table134[[#This Row],[مساحت آدرس]]*Table134[[#This Row],[A0 Inc]],Table134[[#This Row],[A_tree]]*Table134[[#This Row],[اصله مستقل]])</f>
        <v>225</v>
      </c>
      <c r="P380" s="11">
        <f>IF(Table134[[#This Row],[check]]=1,Table134[[#This Row],[A0]]/Table134[[#This Row],[اصله مستقل]],Table134[[#This Row],[A_tree]])</f>
        <v>9</v>
      </c>
    </row>
    <row r="381" spans="2:16" ht="18.600000000000001" x14ac:dyDescent="0.3">
      <c r="B381" s="4" t="s">
        <v>524</v>
      </c>
      <c r="C381" s="4">
        <v>389</v>
      </c>
      <c r="D381" s="4">
        <v>33</v>
      </c>
      <c r="E381" s="4">
        <v>132</v>
      </c>
      <c r="F381" s="4">
        <v>3517</v>
      </c>
      <c r="G381" s="2" t="s">
        <v>21</v>
      </c>
      <c r="H381" s="4">
        <v>9</v>
      </c>
      <c r="I381" s="4">
        <f>Table134[[#This Row],[اصله مستقل]]*Table134[[#This Row],[A_tree]]</f>
        <v>297</v>
      </c>
      <c r="J381" s="4">
        <f>IF(Table134[[#This Row],[n * A_tree ]]&gt;Table134[[#This Row],[مساحت آدرس]],1,0)</f>
        <v>0</v>
      </c>
      <c r="K381" s="8">
        <f>IF(Table134[[#This Row],[check]]=1,1,Table134[[#This Row],[A_tree]]*Table134[[#This Row],[اصله مستقل]]/Table134[[#This Row],[مساحت آدرس]])</f>
        <v>8.4446971851009384E-2</v>
      </c>
      <c r="L381" s="14">
        <f>IF(Table134[[#This Row],[check]]=1,1,(Table134[[#This Row],[Psh]]+0.15*(1-Table134[[#This Row],[Psh]])))</f>
        <v>0.22177992607335797</v>
      </c>
      <c r="M381" s="14">
        <f>IF(Table134[[#This Row],[check]]=1,0.65,1)</f>
        <v>1</v>
      </c>
      <c r="N381" s="4">
        <v>1</v>
      </c>
      <c r="O381" s="4">
        <f>IF(Table134[[#This Row],[check]]=1,Table134[[#This Row],[مساحت آدرس]]*Table134[[#This Row],[A0 Inc]],Table134[[#This Row],[A_tree]]*Table134[[#This Row],[اصله مستقل]])</f>
        <v>297</v>
      </c>
      <c r="P381" s="11">
        <f>IF(Table134[[#This Row],[check]]=1,Table134[[#This Row],[A0]]/Table134[[#This Row],[اصله مستقل]],Table134[[#This Row],[A_tree]])</f>
        <v>9</v>
      </c>
    </row>
    <row r="382" spans="2:16" ht="18.600000000000001" x14ac:dyDescent="0.3">
      <c r="B382" s="4" t="s">
        <v>525</v>
      </c>
      <c r="C382" s="4">
        <v>172</v>
      </c>
      <c r="D382" s="4">
        <v>35</v>
      </c>
      <c r="E382" s="4">
        <v>105</v>
      </c>
      <c r="F382" s="4">
        <v>855</v>
      </c>
      <c r="G382" s="2" t="s">
        <v>21</v>
      </c>
      <c r="H382" s="4">
        <v>9</v>
      </c>
      <c r="I382" s="4">
        <f>Table134[[#This Row],[اصله مستقل]]*Table134[[#This Row],[A_tree]]</f>
        <v>315</v>
      </c>
      <c r="J382" s="4">
        <f>IF(Table134[[#This Row],[n * A_tree ]]&gt;Table134[[#This Row],[مساحت آدرس]],1,0)</f>
        <v>0</v>
      </c>
      <c r="K382" s="8">
        <f>IF(Table134[[#This Row],[check]]=1,1,Table134[[#This Row],[A_tree]]*Table134[[#This Row],[اصله مستقل]]/Table134[[#This Row],[مساحت آدرس]])</f>
        <v>0.36842105263157893</v>
      </c>
      <c r="L382" s="14">
        <f>IF(Table134[[#This Row],[check]]=1,1,(Table134[[#This Row],[Psh]]+0.15*(1-Table134[[#This Row],[Psh]])))</f>
        <v>0.4631578947368421</v>
      </c>
      <c r="M382" s="14">
        <f>IF(Table134[[#This Row],[check]]=1,0.65,1)</f>
        <v>1</v>
      </c>
      <c r="N382" s="4">
        <v>1</v>
      </c>
      <c r="O382" s="4">
        <f>IF(Table134[[#This Row],[check]]=1,Table134[[#This Row],[مساحت آدرس]]*Table134[[#This Row],[A0 Inc]],Table134[[#This Row],[A_tree]]*Table134[[#This Row],[اصله مستقل]])</f>
        <v>315</v>
      </c>
      <c r="P382" s="11">
        <f>IF(Table134[[#This Row],[check]]=1,Table134[[#This Row],[A0]]/Table134[[#This Row],[اصله مستقل]],Table134[[#This Row],[A_tree]])</f>
        <v>9</v>
      </c>
    </row>
    <row r="383" spans="2:16" ht="18.600000000000001" x14ac:dyDescent="0.3">
      <c r="B383" s="4" t="s">
        <v>526</v>
      </c>
      <c r="C383" s="4">
        <v>145</v>
      </c>
      <c r="D383" s="4">
        <v>100</v>
      </c>
      <c r="E383" s="4">
        <v>400</v>
      </c>
      <c r="F383" s="4">
        <v>500</v>
      </c>
      <c r="G383" s="2" t="s">
        <v>21</v>
      </c>
      <c r="H383" s="4">
        <v>9</v>
      </c>
      <c r="I383" s="4">
        <f>Table134[[#This Row],[اصله مستقل]]*Table134[[#This Row],[A_tree]]</f>
        <v>900</v>
      </c>
      <c r="J383" s="4">
        <f>IF(Table134[[#This Row],[n * A_tree ]]&gt;Table134[[#This Row],[مساحت آدرس]],1,0)</f>
        <v>1</v>
      </c>
      <c r="K383" s="8">
        <f>IF(Table134[[#This Row],[check]]=1,1,Table134[[#This Row],[A_tree]]*Table134[[#This Row],[اصله مستقل]]/Table134[[#This Row],[مساحت آدرس]])</f>
        <v>1</v>
      </c>
      <c r="L383" s="14">
        <f>IF(Table134[[#This Row],[check]]=1,1,(Table134[[#This Row],[Psh]]+0.15*(1-Table134[[#This Row],[Psh]])))</f>
        <v>1</v>
      </c>
      <c r="M383" s="14">
        <f>IF(Table134[[#This Row],[check]]=1,0.65,1)</f>
        <v>0.65</v>
      </c>
      <c r="N383" s="4">
        <v>1</v>
      </c>
      <c r="O383" s="4">
        <f>IF(Table134[[#This Row],[check]]=1,Table134[[#This Row],[مساحت آدرس]]*Table134[[#This Row],[A0 Inc]],Table134[[#This Row],[A_tree]]*Table134[[#This Row],[اصله مستقل]])</f>
        <v>500</v>
      </c>
      <c r="P383" s="11">
        <f>IF(Table134[[#This Row],[check]]=1,Table134[[#This Row],[A0]]/Table134[[#This Row],[اصله مستقل]],Table134[[#This Row],[A_tree]])</f>
        <v>5</v>
      </c>
    </row>
    <row r="384" spans="2:16" ht="18.600000000000001" x14ac:dyDescent="0.3">
      <c r="B384" s="4" t="s">
        <v>527</v>
      </c>
      <c r="C384" s="4">
        <v>168</v>
      </c>
      <c r="D384" s="4">
        <v>168</v>
      </c>
      <c r="E384" s="4">
        <v>672</v>
      </c>
      <c r="F384" s="4">
        <v>672</v>
      </c>
      <c r="G384" s="2" t="s">
        <v>21</v>
      </c>
      <c r="H384" s="4">
        <v>9</v>
      </c>
      <c r="I384" s="4">
        <f>Table134[[#This Row],[اصله مستقل]]*Table134[[#This Row],[A_tree]]</f>
        <v>1512</v>
      </c>
      <c r="J384" s="4">
        <f>IF(Table134[[#This Row],[n * A_tree ]]&gt;Table134[[#This Row],[مساحت آدرس]],1,0)</f>
        <v>1</v>
      </c>
      <c r="K384" s="8">
        <f>IF(Table134[[#This Row],[check]]=1,1,Table134[[#This Row],[A_tree]]*Table134[[#This Row],[اصله مستقل]]/Table134[[#This Row],[مساحت آدرس]])</f>
        <v>1</v>
      </c>
      <c r="L384" s="14">
        <f>IF(Table134[[#This Row],[check]]=1,1,(Table134[[#This Row],[Psh]]+0.15*(1-Table134[[#This Row],[Psh]])))</f>
        <v>1</v>
      </c>
      <c r="M384" s="14">
        <f>IF(Table134[[#This Row],[check]]=1,0.65,1)</f>
        <v>0.65</v>
      </c>
      <c r="N384" s="4">
        <v>1</v>
      </c>
      <c r="O384" s="4">
        <f>IF(Table134[[#This Row],[check]]=1,Table134[[#This Row],[مساحت آدرس]]*Table134[[#This Row],[A0 Inc]],Table134[[#This Row],[A_tree]]*Table134[[#This Row],[اصله مستقل]])</f>
        <v>672</v>
      </c>
      <c r="P384" s="11">
        <f>IF(Table134[[#This Row],[check]]=1,Table134[[#This Row],[A0]]/Table134[[#This Row],[اصله مستقل]],Table134[[#This Row],[A_tree]])</f>
        <v>4</v>
      </c>
    </row>
    <row r="385" spans="2:16" ht="18.600000000000001" x14ac:dyDescent="0.3">
      <c r="B385" s="4" t="s">
        <v>528</v>
      </c>
      <c r="C385" s="4">
        <v>435</v>
      </c>
      <c r="D385" s="4">
        <v>225</v>
      </c>
      <c r="E385" s="4">
        <v>900</v>
      </c>
      <c r="F385" s="4">
        <v>2850</v>
      </c>
      <c r="G385" s="2" t="s">
        <v>21</v>
      </c>
      <c r="H385" s="4">
        <v>9</v>
      </c>
      <c r="I385" s="4">
        <f>Table134[[#This Row],[اصله مستقل]]*Table134[[#This Row],[A_tree]]</f>
        <v>2025</v>
      </c>
      <c r="J385" s="4">
        <f>IF(Table134[[#This Row],[n * A_tree ]]&gt;Table134[[#This Row],[مساحت آدرس]],1,0)</f>
        <v>0</v>
      </c>
      <c r="K385" s="8">
        <f>IF(Table134[[#This Row],[check]]=1,1,Table134[[#This Row],[A_tree]]*Table134[[#This Row],[اصله مستقل]]/Table134[[#This Row],[مساحت آدرس]])</f>
        <v>0.71052631578947367</v>
      </c>
      <c r="L385" s="14">
        <f>IF(Table134[[#This Row],[check]]=1,1,(Table134[[#This Row],[Psh]]+0.15*(1-Table134[[#This Row],[Psh]])))</f>
        <v>0.75394736842105259</v>
      </c>
      <c r="M385" s="14">
        <f>IF(Table134[[#This Row],[check]]=1,0.65,1)</f>
        <v>1</v>
      </c>
      <c r="N385" s="4">
        <v>1</v>
      </c>
      <c r="O385" s="4">
        <f>IF(Table134[[#This Row],[check]]=1,Table134[[#This Row],[مساحت آدرس]]*Table134[[#This Row],[A0 Inc]],Table134[[#This Row],[A_tree]]*Table134[[#This Row],[اصله مستقل]])</f>
        <v>2025</v>
      </c>
      <c r="P385" s="11">
        <f>IF(Table134[[#This Row],[check]]=1,Table134[[#This Row],[A0]]/Table134[[#This Row],[اصله مستقل]],Table134[[#This Row],[A_tree]])</f>
        <v>9</v>
      </c>
    </row>
    <row r="386" spans="2:16" ht="18.600000000000001" x14ac:dyDescent="0.3">
      <c r="B386" s="4" t="s">
        <v>529</v>
      </c>
      <c r="C386" s="4">
        <v>38</v>
      </c>
      <c r="D386" s="4">
        <v>38</v>
      </c>
      <c r="E386" s="4">
        <v>152</v>
      </c>
      <c r="F386" s="4">
        <v>229</v>
      </c>
      <c r="G386" s="2" t="s">
        <v>21</v>
      </c>
      <c r="H386" s="4">
        <v>9</v>
      </c>
      <c r="I386" s="4">
        <f>Table134[[#This Row],[اصله مستقل]]*Table134[[#This Row],[A_tree]]</f>
        <v>342</v>
      </c>
      <c r="J386" s="4">
        <f>IF(Table134[[#This Row],[n * A_tree ]]&gt;Table134[[#This Row],[مساحت آدرس]],1,0)</f>
        <v>1</v>
      </c>
      <c r="K386" s="8">
        <f>IF(Table134[[#This Row],[check]]=1,1,Table134[[#This Row],[A_tree]]*Table134[[#This Row],[اصله مستقل]]/Table134[[#This Row],[مساحت آدرس]])</f>
        <v>1</v>
      </c>
      <c r="L386" s="14">
        <f>IF(Table134[[#This Row],[check]]=1,1,(Table134[[#This Row],[Psh]]+0.15*(1-Table134[[#This Row],[Psh]])))</f>
        <v>1</v>
      </c>
      <c r="M386" s="14">
        <f>IF(Table134[[#This Row],[check]]=1,0.65,1)</f>
        <v>0.65</v>
      </c>
      <c r="N386" s="4">
        <v>1</v>
      </c>
      <c r="O386" s="4">
        <f>IF(Table134[[#This Row],[check]]=1,Table134[[#This Row],[مساحت آدرس]]*Table134[[#This Row],[A0 Inc]],Table134[[#This Row],[A_tree]]*Table134[[#This Row],[اصله مستقل]])</f>
        <v>229</v>
      </c>
      <c r="P386" s="11">
        <f>IF(Table134[[#This Row],[check]]=1,Table134[[#This Row],[A0]]/Table134[[#This Row],[اصله مستقل]],Table134[[#This Row],[A_tree]])</f>
        <v>6.0263157894736841</v>
      </c>
    </row>
    <row r="387" spans="2:16" ht="18.600000000000001" x14ac:dyDescent="0.3">
      <c r="B387" s="4" t="s">
        <v>530</v>
      </c>
      <c r="C387" s="4">
        <v>110</v>
      </c>
      <c r="D387" s="4">
        <v>65</v>
      </c>
      <c r="E387" s="4">
        <v>260</v>
      </c>
      <c r="F387" s="4">
        <v>420</v>
      </c>
      <c r="G387" s="2" t="s">
        <v>21</v>
      </c>
      <c r="H387" s="4">
        <v>9</v>
      </c>
      <c r="I387" s="4">
        <f>Table134[[#This Row],[اصله مستقل]]*Table134[[#This Row],[A_tree]]</f>
        <v>585</v>
      </c>
      <c r="J387" s="4">
        <f>IF(Table134[[#This Row],[n * A_tree ]]&gt;Table134[[#This Row],[مساحت آدرس]],1,0)</f>
        <v>1</v>
      </c>
      <c r="K387" s="8">
        <f>IF(Table134[[#This Row],[check]]=1,1,Table134[[#This Row],[A_tree]]*Table134[[#This Row],[اصله مستقل]]/Table134[[#This Row],[مساحت آدرس]])</f>
        <v>1</v>
      </c>
      <c r="L387" s="14">
        <f>IF(Table134[[#This Row],[check]]=1,1,(Table134[[#This Row],[Psh]]+0.15*(1-Table134[[#This Row],[Psh]])))</f>
        <v>1</v>
      </c>
      <c r="M387" s="14">
        <f>IF(Table134[[#This Row],[check]]=1,0.65,1)</f>
        <v>0.65</v>
      </c>
      <c r="N387" s="4">
        <v>1</v>
      </c>
      <c r="O387" s="4">
        <f>IF(Table134[[#This Row],[check]]=1,Table134[[#This Row],[مساحت آدرس]]*Table134[[#This Row],[A0 Inc]],Table134[[#This Row],[A_tree]]*Table134[[#This Row],[اصله مستقل]])</f>
        <v>420</v>
      </c>
      <c r="P387" s="11">
        <f>IF(Table134[[#This Row],[check]]=1,Table134[[#This Row],[A0]]/Table134[[#This Row],[اصله مستقل]],Table134[[#This Row],[A_tree]])</f>
        <v>6.4615384615384617</v>
      </c>
    </row>
    <row r="388" spans="2:16" ht="18.600000000000001" x14ac:dyDescent="0.3">
      <c r="B388" s="4" t="s">
        <v>531</v>
      </c>
      <c r="C388" s="4">
        <v>168</v>
      </c>
      <c r="D388" s="4">
        <v>168</v>
      </c>
      <c r="E388" s="4">
        <v>672</v>
      </c>
      <c r="F388" s="4">
        <v>744</v>
      </c>
      <c r="G388" s="2" t="s">
        <v>21</v>
      </c>
      <c r="H388" s="4">
        <v>9</v>
      </c>
      <c r="I388" s="4">
        <f>Table134[[#This Row],[اصله مستقل]]*Table134[[#This Row],[A_tree]]</f>
        <v>1512</v>
      </c>
      <c r="J388" s="4">
        <f>IF(Table134[[#This Row],[n * A_tree ]]&gt;Table134[[#This Row],[مساحت آدرس]],1,0)</f>
        <v>1</v>
      </c>
      <c r="K388" s="8">
        <f>IF(Table134[[#This Row],[check]]=1,1,Table134[[#This Row],[A_tree]]*Table134[[#This Row],[اصله مستقل]]/Table134[[#This Row],[مساحت آدرس]])</f>
        <v>1</v>
      </c>
      <c r="L388" s="14">
        <f>IF(Table134[[#This Row],[check]]=1,1,(Table134[[#This Row],[Psh]]+0.15*(1-Table134[[#This Row],[Psh]])))</f>
        <v>1</v>
      </c>
      <c r="M388" s="14">
        <f>IF(Table134[[#This Row],[check]]=1,0.65,1)</f>
        <v>0.65</v>
      </c>
      <c r="N388" s="4">
        <v>1</v>
      </c>
      <c r="O388" s="4">
        <f>IF(Table134[[#This Row],[check]]=1,Table134[[#This Row],[مساحت آدرس]]*Table134[[#This Row],[A0 Inc]],Table134[[#This Row],[A_tree]]*Table134[[#This Row],[اصله مستقل]])</f>
        <v>744</v>
      </c>
      <c r="P388" s="11">
        <f>IF(Table134[[#This Row],[check]]=1,Table134[[#This Row],[A0]]/Table134[[#This Row],[اصله مستقل]],Table134[[#This Row],[A_tree]])</f>
        <v>4.4285714285714288</v>
      </c>
    </row>
    <row r="389" spans="2:16" ht="18.600000000000001" x14ac:dyDescent="0.3">
      <c r="B389" s="4" t="s">
        <v>532</v>
      </c>
      <c r="C389" s="4">
        <v>57</v>
      </c>
      <c r="D389" s="4">
        <v>49</v>
      </c>
      <c r="E389" s="4">
        <v>196</v>
      </c>
      <c r="F389" s="4">
        <v>216</v>
      </c>
      <c r="G389" s="2" t="s">
        <v>21</v>
      </c>
      <c r="H389" s="4">
        <v>9</v>
      </c>
      <c r="I389" s="4">
        <f>Table134[[#This Row],[اصله مستقل]]*Table134[[#This Row],[A_tree]]</f>
        <v>441</v>
      </c>
      <c r="J389" s="4">
        <f>IF(Table134[[#This Row],[n * A_tree ]]&gt;Table134[[#This Row],[مساحت آدرس]],1,0)</f>
        <v>1</v>
      </c>
      <c r="K389" s="8">
        <f>IF(Table134[[#This Row],[check]]=1,1,Table134[[#This Row],[A_tree]]*Table134[[#This Row],[اصله مستقل]]/Table134[[#This Row],[مساحت آدرس]])</f>
        <v>1</v>
      </c>
      <c r="L389" s="14">
        <f>IF(Table134[[#This Row],[check]]=1,1,(Table134[[#This Row],[Psh]]+0.15*(1-Table134[[#This Row],[Psh]])))</f>
        <v>1</v>
      </c>
      <c r="M389" s="14">
        <f>IF(Table134[[#This Row],[check]]=1,0.65,1)</f>
        <v>0.65</v>
      </c>
      <c r="N389" s="4">
        <v>1</v>
      </c>
      <c r="O389" s="4">
        <f>IF(Table134[[#This Row],[check]]=1,Table134[[#This Row],[مساحت آدرس]]*Table134[[#This Row],[A0 Inc]],Table134[[#This Row],[A_tree]]*Table134[[#This Row],[اصله مستقل]])</f>
        <v>216</v>
      </c>
      <c r="P389" s="11">
        <f>IF(Table134[[#This Row],[check]]=1,Table134[[#This Row],[A0]]/Table134[[#This Row],[اصله مستقل]],Table134[[#This Row],[A_tree]])</f>
        <v>4.408163265306122</v>
      </c>
    </row>
    <row r="390" spans="2:16" ht="18.600000000000001" x14ac:dyDescent="0.3">
      <c r="B390" s="4" t="s">
        <v>533</v>
      </c>
      <c r="C390" s="4">
        <v>258</v>
      </c>
      <c r="D390" s="4">
        <v>258</v>
      </c>
      <c r="E390" s="4">
        <v>1032</v>
      </c>
      <c r="F390" s="4">
        <v>1032</v>
      </c>
      <c r="G390" s="2" t="s">
        <v>21</v>
      </c>
      <c r="H390" s="4">
        <v>9</v>
      </c>
      <c r="I390" s="4">
        <f>Table134[[#This Row],[اصله مستقل]]*Table134[[#This Row],[A_tree]]</f>
        <v>2322</v>
      </c>
      <c r="J390" s="4">
        <f>IF(Table134[[#This Row],[n * A_tree ]]&gt;Table134[[#This Row],[مساحت آدرس]],1,0)</f>
        <v>1</v>
      </c>
      <c r="K390" s="8">
        <f>IF(Table134[[#This Row],[check]]=1,1,Table134[[#This Row],[A_tree]]*Table134[[#This Row],[اصله مستقل]]/Table134[[#This Row],[مساحت آدرس]])</f>
        <v>1</v>
      </c>
      <c r="L390" s="14">
        <f>IF(Table134[[#This Row],[check]]=1,1,(Table134[[#This Row],[Psh]]+0.15*(1-Table134[[#This Row],[Psh]])))</f>
        <v>1</v>
      </c>
      <c r="M390" s="14">
        <f>IF(Table134[[#This Row],[check]]=1,0.65,1)</f>
        <v>0.65</v>
      </c>
      <c r="N390" s="4">
        <v>1</v>
      </c>
      <c r="O390" s="4">
        <f>IF(Table134[[#This Row],[check]]=1,Table134[[#This Row],[مساحت آدرس]]*Table134[[#This Row],[A0 Inc]],Table134[[#This Row],[A_tree]]*Table134[[#This Row],[اصله مستقل]])</f>
        <v>1032</v>
      </c>
      <c r="P390" s="11">
        <f>IF(Table134[[#This Row],[check]]=1,Table134[[#This Row],[A0]]/Table134[[#This Row],[اصله مستقل]],Table134[[#This Row],[A_tree]])</f>
        <v>4</v>
      </c>
    </row>
    <row r="391" spans="2:16" ht="18.600000000000001" x14ac:dyDescent="0.3">
      <c r="B391" s="4" t="s">
        <v>534</v>
      </c>
      <c r="C391" s="4">
        <v>727</v>
      </c>
      <c r="D391" s="4">
        <v>165</v>
      </c>
      <c r="E391" s="4">
        <v>660</v>
      </c>
      <c r="F391" s="4">
        <v>3535</v>
      </c>
      <c r="G391" s="2" t="s">
        <v>21</v>
      </c>
      <c r="H391" s="4">
        <v>9</v>
      </c>
      <c r="I391" s="4">
        <f>Table134[[#This Row],[اصله مستقل]]*Table134[[#This Row],[A_tree]]</f>
        <v>1485</v>
      </c>
      <c r="J391" s="4">
        <f>IF(Table134[[#This Row],[n * A_tree ]]&gt;Table134[[#This Row],[مساحت آدرس]],1,0)</f>
        <v>0</v>
      </c>
      <c r="K391" s="8">
        <f>IF(Table134[[#This Row],[check]]=1,1,Table134[[#This Row],[A_tree]]*Table134[[#This Row],[اصله مستقل]]/Table134[[#This Row],[مساحت آدرس]])</f>
        <v>0.4200848656294201</v>
      </c>
      <c r="L391" s="14">
        <f>IF(Table134[[#This Row],[check]]=1,1,(Table134[[#This Row],[Psh]]+0.15*(1-Table134[[#This Row],[Psh]])))</f>
        <v>0.50707213578500709</v>
      </c>
      <c r="M391" s="14">
        <f>IF(Table134[[#This Row],[check]]=1,0.65,1)</f>
        <v>1</v>
      </c>
      <c r="N391" s="4">
        <v>1</v>
      </c>
      <c r="O391" s="4">
        <f>IF(Table134[[#This Row],[check]]=1,Table134[[#This Row],[مساحت آدرس]]*Table134[[#This Row],[A0 Inc]],Table134[[#This Row],[A_tree]]*Table134[[#This Row],[اصله مستقل]])</f>
        <v>1485</v>
      </c>
      <c r="P391" s="11">
        <f>IF(Table134[[#This Row],[check]]=1,Table134[[#This Row],[A0]]/Table134[[#This Row],[اصله مستقل]],Table134[[#This Row],[A_tree]])</f>
        <v>9</v>
      </c>
    </row>
    <row r="392" spans="2:16" ht="18.600000000000001" x14ac:dyDescent="0.3">
      <c r="B392" s="4" t="s">
        <v>535</v>
      </c>
      <c r="C392" s="4">
        <v>62</v>
      </c>
      <c r="D392" s="4">
        <v>62</v>
      </c>
      <c r="E392" s="4">
        <v>248</v>
      </c>
      <c r="F392" s="4">
        <v>258</v>
      </c>
      <c r="G392" s="2" t="s">
        <v>21</v>
      </c>
      <c r="H392" s="4">
        <v>9</v>
      </c>
      <c r="I392" s="4">
        <f>Table134[[#This Row],[اصله مستقل]]*Table134[[#This Row],[A_tree]]</f>
        <v>558</v>
      </c>
      <c r="J392" s="4">
        <f>IF(Table134[[#This Row],[n * A_tree ]]&gt;Table134[[#This Row],[مساحت آدرس]],1,0)</f>
        <v>1</v>
      </c>
      <c r="K392" s="8">
        <f>IF(Table134[[#This Row],[check]]=1,1,Table134[[#This Row],[A_tree]]*Table134[[#This Row],[اصله مستقل]]/Table134[[#This Row],[مساحت آدرس]])</f>
        <v>1</v>
      </c>
      <c r="L392" s="14">
        <f>IF(Table134[[#This Row],[check]]=1,1,(Table134[[#This Row],[Psh]]+0.15*(1-Table134[[#This Row],[Psh]])))</f>
        <v>1</v>
      </c>
      <c r="M392" s="14">
        <f>IF(Table134[[#This Row],[check]]=1,0.65,1)</f>
        <v>0.65</v>
      </c>
      <c r="N392" s="4">
        <v>1</v>
      </c>
      <c r="O392" s="4">
        <f>IF(Table134[[#This Row],[check]]=1,Table134[[#This Row],[مساحت آدرس]]*Table134[[#This Row],[A0 Inc]],Table134[[#This Row],[A_tree]]*Table134[[#This Row],[اصله مستقل]])</f>
        <v>258</v>
      </c>
      <c r="P392" s="11">
        <f>IF(Table134[[#This Row],[check]]=1,Table134[[#This Row],[A0]]/Table134[[#This Row],[اصله مستقل]],Table134[[#This Row],[A_tree]])</f>
        <v>4.161290322580645</v>
      </c>
    </row>
    <row r="393" spans="2:16" ht="18.600000000000001" x14ac:dyDescent="0.3">
      <c r="B393" s="4" t="s">
        <v>536</v>
      </c>
      <c r="C393" s="4">
        <v>86</v>
      </c>
      <c r="D393" s="4">
        <v>86</v>
      </c>
      <c r="E393" s="4">
        <v>86</v>
      </c>
      <c r="F393" s="4">
        <v>86</v>
      </c>
      <c r="G393" s="2" t="s">
        <v>21</v>
      </c>
      <c r="H393" s="4">
        <v>9</v>
      </c>
      <c r="I393" s="4">
        <f>Table134[[#This Row],[اصله مستقل]]*Table134[[#This Row],[A_tree]]</f>
        <v>774</v>
      </c>
      <c r="J393" s="4">
        <f>IF(Table134[[#This Row],[n * A_tree ]]&gt;Table134[[#This Row],[مساحت آدرس]],1,0)</f>
        <v>1</v>
      </c>
      <c r="K393" s="8">
        <f>IF(Table134[[#This Row],[check]]=1,1,Table134[[#This Row],[A_tree]]*Table134[[#This Row],[اصله مستقل]]/Table134[[#This Row],[مساحت آدرس]])</f>
        <v>1</v>
      </c>
      <c r="L393" s="14">
        <f>IF(Table134[[#This Row],[check]]=1,1,(Table134[[#This Row],[Psh]]+0.15*(1-Table134[[#This Row],[Psh]])))</f>
        <v>1</v>
      </c>
      <c r="M393" s="14">
        <f>IF(Table134[[#This Row],[check]]=1,0.65,1)</f>
        <v>0.65</v>
      </c>
      <c r="N393" s="4">
        <v>1</v>
      </c>
      <c r="O393" s="4">
        <f>IF(Table134[[#This Row],[check]]=1,Table134[[#This Row],[مساحت آدرس]]*Table134[[#This Row],[A0 Inc]],Table134[[#This Row],[A_tree]]*Table134[[#This Row],[اصله مستقل]])</f>
        <v>86</v>
      </c>
      <c r="P393" s="11">
        <f>IF(Table134[[#This Row],[check]]=1,Table134[[#This Row],[A0]]/Table134[[#This Row],[اصله مستقل]],Table134[[#This Row],[A_tree]])</f>
        <v>1</v>
      </c>
    </row>
    <row r="394" spans="2:16" ht="18.600000000000001" x14ac:dyDescent="0.3">
      <c r="B394" s="4" t="s">
        <v>537</v>
      </c>
      <c r="C394" s="4">
        <v>120</v>
      </c>
      <c r="D394" s="4">
        <v>120</v>
      </c>
      <c r="E394" s="4">
        <v>120</v>
      </c>
      <c r="F394" s="4">
        <v>496</v>
      </c>
      <c r="G394" s="2" t="s">
        <v>21</v>
      </c>
      <c r="H394" s="4">
        <v>9</v>
      </c>
      <c r="I394" s="4">
        <f>Table134[[#This Row],[اصله مستقل]]*Table134[[#This Row],[A_tree]]</f>
        <v>1080</v>
      </c>
      <c r="J394" s="4">
        <f>IF(Table134[[#This Row],[n * A_tree ]]&gt;Table134[[#This Row],[مساحت آدرس]],1,0)</f>
        <v>1</v>
      </c>
      <c r="K394" s="8">
        <f>IF(Table134[[#This Row],[check]]=1,1,Table134[[#This Row],[A_tree]]*Table134[[#This Row],[اصله مستقل]]/Table134[[#This Row],[مساحت آدرس]])</f>
        <v>1</v>
      </c>
      <c r="L394" s="14">
        <f>IF(Table134[[#This Row],[check]]=1,1,(Table134[[#This Row],[Psh]]+0.15*(1-Table134[[#This Row],[Psh]])))</f>
        <v>1</v>
      </c>
      <c r="M394" s="14">
        <f>IF(Table134[[#This Row],[check]]=1,0.65,1)</f>
        <v>0.65</v>
      </c>
      <c r="N394" s="4">
        <v>1</v>
      </c>
      <c r="O394" s="4">
        <f>IF(Table134[[#This Row],[check]]=1,Table134[[#This Row],[مساحت آدرس]]*Table134[[#This Row],[A0 Inc]],Table134[[#This Row],[A_tree]]*Table134[[#This Row],[اصله مستقل]])</f>
        <v>496</v>
      </c>
      <c r="P394" s="11">
        <f>IF(Table134[[#This Row],[check]]=1,Table134[[#This Row],[A0]]/Table134[[#This Row],[اصله مستقل]],Table134[[#This Row],[A_tree]])</f>
        <v>4.1333333333333337</v>
      </c>
    </row>
    <row r="395" spans="2:16" ht="18.600000000000001" x14ac:dyDescent="0.3">
      <c r="B395" s="4" t="s">
        <v>538</v>
      </c>
      <c r="C395" s="4">
        <v>271</v>
      </c>
      <c r="D395" s="4">
        <v>271</v>
      </c>
      <c r="E395" s="4">
        <v>271</v>
      </c>
      <c r="F395" s="4">
        <v>271</v>
      </c>
      <c r="G395" s="2" t="s">
        <v>21</v>
      </c>
      <c r="H395" s="4">
        <v>9</v>
      </c>
      <c r="I395" s="4">
        <f>Table134[[#This Row],[اصله مستقل]]*Table134[[#This Row],[A_tree]]</f>
        <v>2439</v>
      </c>
      <c r="J395" s="4">
        <f>IF(Table134[[#This Row],[n * A_tree ]]&gt;Table134[[#This Row],[مساحت آدرس]],1,0)</f>
        <v>1</v>
      </c>
      <c r="K395" s="8">
        <f>IF(Table134[[#This Row],[check]]=1,1,Table134[[#This Row],[A_tree]]*Table134[[#This Row],[اصله مستقل]]/Table134[[#This Row],[مساحت آدرس]])</f>
        <v>1</v>
      </c>
      <c r="L395" s="14">
        <f>IF(Table134[[#This Row],[check]]=1,1,(Table134[[#This Row],[Psh]]+0.15*(1-Table134[[#This Row],[Psh]])))</f>
        <v>1</v>
      </c>
      <c r="M395" s="14">
        <f>IF(Table134[[#This Row],[check]]=1,0.65,1)</f>
        <v>0.65</v>
      </c>
      <c r="N395" s="4">
        <v>1</v>
      </c>
      <c r="O395" s="4">
        <f>IF(Table134[[#This Row],[check]]=1,Table134[[#This Row],[مساحت آدرس]]*Table134[[#This Row],[A0 Inc]],Table134[[#This Row],[A_tree]]*Table134[[#This Row],[اصله مستقل]])</f>
        <v>271</v>
      </c>
      <c r="P395" s="11">
        <f>IF(Table134[[#This Row],[check]]=1,Table134[[#This Row],[A0]]/Table134[[#This Row],[اصله مستقل]],Table134[[#This Row],[A_tree]])</f>
        <v>1</v>
      </c>
    </row>
    <row r="396" spans="2:16" ht="18.600000000000001" x14ac:dyDescent="0.3">
      <c r="B396" s="4" t="s">
        <v>539</v>
      </c>
      <c r="C396" s="4">
        <v>148</v>
      </c>
      <c r="D396" s="4">
        <v>148</v>
      </c>
      <c r="E396" s="4">
        <v>300</v>
      </c>
      <c r="F396" s="4">
        <v>300</v>
      </c>
      <c r="G396" s="2" t="s">
        <v>21</v>
      </c>
      <c r="H396" s="4">
        <v>9</v>
      </c>
      <c r="I396" s="4">
        <f>Table134[[#This Row],[اصله مستقل]]*Table134[[#This Row],[A_tree]]</f>
        <v>1332</v>
      </c>
      <c r="J396" s="4">
        <f>IF(Table134[[#This Row],[n * A_tree ]]&gt;Table134[[#This Row],[مساحت آدرس]],1,0)</f>
        <v>1</v>
      </c>
      <c r="K396" s="8">
        <f>IF(Table134[[#This Row],[check]]=1,1,Table134[[#This Row],[A_tree]]*Table134[[#This Row],[اصله مستقل]]/Table134[[#This Row],[مساحت آدرس]])</f>
        <v>1</v>
      </c>
      <c r="L396" s="14">
        <f>IF(Table134[[#This Row],[check]]=1,1,(Table134[[#This Row],[Psh]]+0.15*(1-Table134[[#This Row],[Psh]])))</f>
        <v>1</v>
      </c>
      <c r="M396" s="14">
        <f>IF(Table134[[#This Row],[check]]=1,0.65,1)</f>
        <v>0.65</v>
      </c>
      <c r="N396" s="4">
        <v>1</v>
      </c>
      <c r="O396" s="4">
        <f>IF(Table134[[#This Row],[check]]=1,Table134[[#This Row],[مساحت آدرس]]*Table134[[#This Row],[A0 Inc]],Table134[[#This Row],[A_tree]]*Table134[[#This Row],[اصله مستقل]])</f>
        <v>300</v>
      </c>
      <c r="P396" s="11">
        <f>IF(Table134[[#This Row],[check]]=1,Table134[[#This Row],[A0]]/Table134[[#This Row],[اصله مستقل]],Table134[[#This Row],[A_tree]])</f>
        <v>2.0270270270270272</v>
      </c>
    </row>
    <row r="397" spans="2:16" ht="18.600000000000001" x14ac:dyDescent="0.3">
      <c r="B397" s="4" t="s">
        <v>540</v>
      </c>
      <c r="C397" s="4">
        <v>24</v>
      </c>
      <c r="D397" s="4">
        <v>24</v>
      </c>
      <c r="E397" s="4">
        <v>200</v>
      </c>
      <c r="F397" s="4">
        <v>200</v>
      </c>
      <c r="G397" s="2" t="s">
        <v>21</v>
      </c>
      <c r="H397" s="4">
        <v>9</v>
      </c>
      <c r="I397" s="4">
        <f>Table134[[#This Row],[اصله مستقل]]*Table134[[#This Row],[A_tree]]</f>
        <v>216</v>
      </c>
      <c r="J397" s="4">
        <f>IF(Table134[[#This Row],[n * A_tree ]]&gt;Table134[[#This Row],[مساحت آدرس]],1,0)</f>
        <v>1</v>
      </c>
      <c r="K397" s="8">
        <f>IF(Table134[[#This Row],[check]]=1,1,Table134[[#This Row],[A_tree]]*Table134[[#This Row],[اصله مستقل]]/Table134[[#This Row],[مساحت آدرس]])</f>
        <v>1</v>
      </c>
      <c r="L397" s="14">
        <f>IF(Table134[[#This Row],[check]]=1,1,(Table134[[#This Row],[Psh]]+0.15*(1-Table134[[#This Row],[Psh]])))</f>
        <v>1</v>
      </c>
      <c r="M397" s="14">
        <f>IF(Table134[[#This Row],[check]]=1,0.65,1)</f>
        <v>0.65</v>
      </c>
      <c r="N397" s="4">
        <v>1</v>
      </c>
      <c r="O397" s="4">
        <f>IF(Table134[[#This Row],[check]]=1,Table134[[#This Row],[مساحت آدرس]]*Table134[[#This Row],[A0 Inc]],Table134[[#This Row],[A_tree]]*Table134[[#This Row],[اصله مستقل]])</f>
        <v>200</v>
      </c>
      <c r="P397" s="11">
        <f>IF(Table134[[#This Row],[check]]=1,Table134[[#This Row],[A0]]/Table134[[#This Row],[اصله مستقل]],Table134[[#This Row],[A_tree]])</f>
        <v>8.3333333333333339</v>
      </c>
    </row>
    <row r="398" spans="2:16" ht="18.600000000000001" x14ac:dyDescent="0.3">
      <c r="B398" s="4" t="s">
        <v>541</v>
      </c>
      <c r="C398" s="4">
        <v>139</v>
      </c>
      <c r="D398" s="4">
        <v>27</v>
      </c>
      <c r="E398" s="4">
        <v>108</v>
      </c>
      <c r="F398" s="4">
        <v>3759</v>
      </c>
      <c r="G398" s="2" t="s">
        <v>62</v>
      </c>
      <c r="H398" s="4">
        <v>9</v>
      </c>
      <c r="I398" s="4">
        <f>Table134[[#This Row],[اصله مستقل]]*Table134[[#This Row],[A_tree]]</f>
        <v>243</v>
      </c>
      <c r="J398" s="4">
        <f>IF(Table134[[#This Row],[n * A_tree ]]&gt;Table134[[#This Row],[مساحت آدرس]],1,0)</f>
        <v>0</v>
      </c>
      <c r="K398" s="8">
        <f>IF(Table134[[#This Row],[check]]=1,1,Table134[[#This Row],[A_tree]]*Table134[[#This Row],[اصله مستقل]]/Table134[[#This Row],[مساحت آدرس]])</f>
        <v>6.4644852354349566E-2</v>
      </c>
      <c r="L398" s="14">
        <f>IF(Table134[[#This Row],[check]]=1,1,(Table134[[#This Row],[Psh]]+0.15*(1-Table134[[#This Row],[Psh]])))</f>
        <v>0.20494812450119715</v>
      </c>
      <c r="M398" s="14">
        <f>IF(Table134[[#This Row],[check]]=1,0.65,1)</f>
        <v>1</v>
      </c>
      <c r="N398" s="4">
        <v>1</v>
      </c>
      <c r="O398" s="4">
        <f>IF(Table134[[#This Row],[check]]=1,Table134[[#This Row],[مساحت آدرس]]*Table134[[#This Row],[A0 Inc]],Table134[[#This Row],[A_tree]]*Table134[[#This Row],[اصله مستقل]])</f>
        <v>243</v>
      </c>
      <c r="P398" s="11">
        <f>IF(Table134[[#This Row],[check]]=1,Table134[[#This Row],[A0]]/Table134[[#This Row],[اصله مستقل]],Table134[[#This Row],[A_tree]])</f>
        <v>9</v>
      </c>
    </row>
    <row r="399" spans="2:16" ht="18.600000000000001" x14ac:dyDescent="0.3">
      <c r="B399" s="4" t="s">
        <v>542</v>
      </c>
      <c r="C399" s="4">
        <v>0</v>
      </c>
      <c r="D399" s="4">
        <v>150</v>
      </c>
      <c r="E399" s="4">
        <v>299</v>
      </c>
      <c r="F399" s="4">
        <v>299</v>
      </c>
      <c r="G399" s="2" t="s">
        <v>62</v>
      </c>
      <c r="H399" s="4">
        <v>9</v>
      </c>
      <c r="I399" s="4">
        <f>Table134[[#This Row],[اصله مستقل]]*Table134[[#This Row],[A_tree]]</f>
        <v>1350</v>
      </c>
      <c r="J399" s="4">
        <f>IF(Table134[[#This Row],[n * A_tree ]]&gt;Table134[[#This Row],[مساحت آدرس]],1,0)</f>
        <v>1</v>
      </c>
      <c r="K399" s="8">
        <f>IF(Table134[[#This Row],[check]]=1,1,Table134[[#This Row],[A_tree]]*Table134[[#This Row],[اصله مستقل]]/Table134[[#This Row],[مساحت آدرس]])</f>
        <v>1</v>
      </c>
      <c r="L399" s="14">
        <f>IF(Table134[[#This Row],[check]]=1,1,(Table134[[#This Row],[Psh]]+0.15*(1-Table134[[#This Row],[Psh]])))</f>
        <v>1</v>
      </c>
      <c r="M399" s="14">
        <f>IF(Table134[[#This Row],[check]]=1,0.65,1)</f>
        <v>0.65</v>
      </c>
      <c r="N399" s="4">
        <v>1</v>
      </c>
      <c r="O399" s="4">
        <f>IF(Table134[[#This Row],[check]]=1,Table134[[#This Row],[مساحت آدرس]]*Table134[[#This Row],[A0 Inc]],Table134[[#This Row],[A_tree]]*Table134[[#This Row],[اصله مستقل]])</f>
        <v>299</v>
      </c>
      <c r="P399" s="11">
        <f>IF(Table134[[#This Row],[check]]=1,Table134[[#This Row],[A0]]/Table134[[#This Row],[اصله مستقل]],Table134[[#This Row],[A_tree]])</f>
        <v>1.9933333333333334</v>
      </c>
    </row>
    <row r="400" spans="2:16" ht="18.600000000000001" x14ac:dyDescent="0.3">
      <c r="B400" s="4" t="s">
        <v>543</v>
      </c>
      <c r="C400" s="4">
        <v>742</v>
      </c>
      <c r="D400" s="4">
        <v>742</v>
      </c>
      <c r="E400" s="4">
        <v>1740</v>
      </c>
      <c r="F400" s="4">
        <v>2016</v>
      </c>
      <c r="G400" s="2" t="s">
        <v>62</v>
      </c>
      <c r="H400" s="4">
        <v>9</v>
      </c>
      <c r="I400" s="4">
        <f>Table134[[#This Row],[اصله مستقل]]*Table134[[#This Row],[A_tree]]</f>
        <v>6678</v>
      </c>
      <c r="J400" s="4">
        <f>IF(Table134[[#This Row],[n * A_tree ]]&gt;Table134[[#This Row],[مساحت آدرس]],1,0)</f>
        <v>1</v>
      </c>
      <c r="K400" s="8">
        <f>IF(Table134[[#This Row],[check]]=1,1,Table134[[#This Row],[A_tree]]*Table134[[#This Row],[اصله مستقل]]/Table134[[#This Row],[مساحت آدرس]])</f>
        <v>1</v>
      </c>
      <c r="L400" s="14">
        <f>IF(Table134[[#This Row],[check]]=1,1,(Table134[[#This Row],[Psh]]+0.15*(1-Table134[[#This Row],[Psh]])))</f>
        <v>1</v>
      </c>
      <c r="M400" s="14">
        <f>IF(Table134[[#This Row],[check]]=1,0.65,1)</f>
        <v>0.65</v>
      </c>
      <c r="N400" s="4">
        <v>1</v>
      </c>
      <c r="O400" s="4">
        <f>IF(Table134[[#This Row],[check]]=1,Table134[[#This Row],[مساحت آدرس]]*Table134[[#This Row],[A0 Inc]],Table134[[#This Row],[A_tree]]*Table134[[#This Row],[اصله مستقل]])</f>
        <v>2016</v>
      </c>
      <c r="P400" s="11">
        <f>IF(Table134[[#This Row],[check]]=1,Table134[[#This Row],[A0]]/Table134[[#This Row],[اصله مستقل]],Table134[[#This Row],[A_tree]])</f>
        <v>2.7169811320754715</v>
      </c>
    </row>
    <row r="401" spans="2:16" ht="18.600000000000001" x14ac:dyDescent="0.3">
      <c r="B401" s="4" t="s">
        <v>544</v>
      </c>
      <c r="C401" s="4">
        <v>5</v>
      </c>
      <c r="D401" s="4">
        <v>5</v>
      </c>
      <c r="E401" s="4">
        <v>15</v>
      </c>
      <c r="F401" s="4">
        <v>45</v>
      </c>
      <c r="G401" s="2" t="s">
        <v>62</v>
      </c>
      <c r="H401" s="4">
        <v>9</v>
      </c>
      <c r="I401" s="4">
        <f>Table134[[#This Row],[اصله مستقل]]*Table134[[#This Row],[A_tree]]</f>
        <v>45</v>
      </c>
      <c r="J401" s="4">
        <f>IF(Table134[[#This Row],[n * A_tree ]]&gt;Table134[[#This Row],[مساحت آدرس]],1,0)</f>
        <v>0</v>
      </c>
      <c r="K401" s="8">
        <f>IF(Table134[[#This Row],[check]]=1,1,Table134[[#This Row],[A_tree]]*Table134[[#This Row],[اصله مستقل]]/Table134[[#This Row],[مساحت آدرس]])</f>
        <v>1</v>
      </c>
      <c r="L401" s="14">
        <f>IF(Table134[[#This Row],[check]]=1,1,(Table134[[#This Row],[Psh]]+0.15*(1-Table134[[#This Row],[Psh]])))</f>
        <v>1</v>
      </c>
      <c r="M401" s="14">
        <f>IF(Table134[[#This Row],[check]]=1,0.65,1)</f>
        <v>1</v>
      </c>
      <c r="N401" s="4">
        <v>1</v>
      </c>
      <c r="O401" s="4">
        <f>IF(Table134[[#This Row],[check]]=1,Table134[[#This Row],[مساحت آدرس]]*Table134[[#This Row],[A0 Inc]],Table134[[#This Row],[A_tree]]*Table134[[#This Row],[اصله مستقل]])</f>
        <v>45</v>
      </c>
      <c r="P401" s="11">
        <f>IF(Table134[[#This Row],[check]]=1,Table134[[#This Row],[A0]]/Table134[[#This Row],[اصله مستقل]],Table134[[#This Row],[A_tree]])</f>
        <v>9</v>
      </c>
    </row>
    <row r="402" spans="2:16" ht="18.600000000000001" x14ac:dyDescent="0.3">
      <c r="B402" s="4" t="s">
        <v>545</v>
      </c>
      <c r="C402" s="4">
        <v>5</v>
      </c>
      <c r="D402" s="4">
        <v>5</v>
      </c>
      <c r="E402" s="4">
        <v>25</v>
      </c>
      <c r="F402" s="4">
        <v>587</v>
      </c>
      <c r="G402" s="2" t="s">
        <v>62</v>
      </c>
      <c r="H402" s="4">
        <v>9</v>
      </c>
      <c r="I402" s="4">
        <f>Table134[[#This Row],[اصله مستقل]]*Table134[[#This Row],[A_tree]]</f>
        <v>45</v>
      </c>
      <c r="J402" s="4">
        <f>IF(Table134[[#This Row],[n * A_tree ]]&gt;Table134[[#This Row],[مساحت آدرس]],1,0)</f>
        <v>0</v>
      </c>
      <c r="K402" s="8">
        <f>IF(Table134[[#This Row],[check]]=1,1,Table134[[#This Row],[A_tree]]*Table134[[#This Row],[اصله مستقل]]/Table134[[#This Row],[مساحت آدرس]])</f>
        <v>7.6660988074957415E-2</v>
      </c>
      <c r="L402" s="14">
        <f>IF(Table134[[#This Row],[check]]=1,1,(Table134[[#This Row],[Psh]]+0.15*(1-Table134[[#This Row],[Psh]])))</f>
        <v>0.21516183986371382</v>
      </c>
      <c r="M402" s="14">
        <f>IF(Table134[[#This Row],[check]]=1,0.65,1)</f>
        <v>1</v>
      </c>
      <c r="N402" s="4">
        <v>1</v>
      </c>
      <c r="O402" s="4">
        <f>IF(Table134[[#This Row],[check]]=1,Table134[[#This Row],[مساحت آدرس]]*Table134[[#This Row],[A0 Inc]],Table134[[#This Row],[A_tree]]*Table134[[#This Row],[اصله مستقل]])</f>
        <v>45</v>
      </c>
      <c r="P402" s="11">
        <f>IF(Table134[[#This Row],[check]]=1,Table134[[#This Row],[A0]]/Table134[[#This Row],[اصله مستقل]],Table134[[#This Row],[A_tree]])</f>
        <v>9</v>
      </c>
    </row>
    <row r="403" spans="2:16" ht="18.600000000000001" x14ac:dyDescent="0.3">
      <c r="B403" s="4" t="s">
        <v>546</v>
      </c>
      <c r="C403" s="4">
        <v>24</v>
      </c>
      <c r="D403" s="4">
        <v>24</v>
      </c>
      <c r="E403" s="4">
        <v>96</v>
      </c>
      <c r="F403" s="4">
        <v>496</v>
      </c>
      <c r="G403" s="2" t="s">
        <v>62</v>
      </c>
      <c r="H403" s="4">
        <v>9</v>
      </c>
      <c r="I403" s="4">
        <f>Table134[[#This Row],[اصله مستقل]]*Table134[[#This Row],[A_tree]]</f>
        <v>216</v>
      </c>
      <c r="J403" s="4">
        <f>IF(Table134[[#This Row],[n * A_tree ]]&gt;Table134[[#This Row],[مساحت آدرس]],1,0)</f>
        <v>0</v>
      </c>
      <c r="K403" s="8">
        <f>IF(Table134[[#This Row],[check]]=1,1,Table134[[#This Row],[A_tree]]*Table134[[#This Row],[اصله مستقل]]/Table134[[#This Row],[مساحت آدرس]])</f>
        <v>0.43548387096774194</v>
      </c>
      <c r="L403" s="14">
        <f>IF(Table134[[#This Row],[check]]=1,1,(Table134[[#This Row],[Psh]]+0.15*(1-Table134[[#This Row],[Psh]])))</f>
        <v>0.52016129032258063</v>
      </c>
      <c r="M403" s="14">
        <f>IF(Table134[[#This Row],[check]]=1,0.65,1)</f>
        <v>1</v>
      </c>
      <c r="N403" s="4">
        <v>1</v>
      </c>
      <c r="O403" s="4">
        <f>IF(Table134[[#This Row],[check]]=1,Table134[[#This Row],[مساحت آدرس]]*Table134[[#This Row],[A0 Inc]],Table134[[#This Row],[A_tree]]*Table134[[#This Row],[اصله مستقل]])</f>
        <v>216</v>
      </c>
      <c r="P403" s="11">
        <f>IF(Table134[[#This Row],[check]]=1,Table134[[#This Row],[A0]]/Table134[[#This Row],[اصله مستقل]],Table134[[#This Row],[A_tree]])</f>
        <v>9</v>
      </c>
    </row>
    <row r="404" spans="2:16" ht="18.600000000000001" x14ac:dyDescent="0.3">
      <c r="B404" s="4" t="s">
        <v>553</v>
      </c>
      <c r="C404" s="4">
        <v>11250</v>
      </c>
      <c r="D404" s="4">
        <v>11250</v>
      </c>
      <c r="E404" s="4">
        <v>18410</v>
      </c>
      <c r="F404" s="4">
        <v>38947</v>
      </c>
      <c r="G404" s="2" t="s">
        <v>283</v>
      </c>
      <c r="H404" s="4">
        <v>9</v>
      </c>
      <c r="I404" s="4">
        <f>Table134[[#This Row],[اصله مستقل]]*Table134[[#This Row],[A_tree]]</f>
        <v>101250</v>
      </c>
      <c r="J404" s="4">
        <f>IF(Table134[[#This Row],[n * A_tree ]]&gt;Table134[[#This Row],[مساحت آدرس]],1,0)</f>
        <v>1</v>
      </c>
      <c r="K404" s="8">
        <f>IF(Table134[[#This Row],[check]]=1,1,Table134[[#This Row],[A_tree]]*Table134[[#This Row],[اصله مستقل]]/Table134[[#This Row],[مساحت آدرس]])</f>
        <v>1</v>
      </c>
      <c r="L404" s="14">
        <f>IF(Table134[[#This Row],[check]]=1,1,(Table134[[#This Row],[Psh]]+0.15*(1-Table134[[#This Row],[Psh]])))</f>
        <v>1</v>
      </c>
      <c r="M404" s="14">
        <f>IF(Table134[[#This Row],[check]]=1,0.65,1)</f>
        <v>0.65</v>
      </c>
      <c r="N404" s="4">
        <v>1</v>
      </c>
      <c r="O404" s="4">
        <f>IF(Table134[[#This Row],[check]]=1,Table134[[#This Row],[مساحت آدرس]]*Table134[[#This Row],[A0 Inc]],Table134[[#This Row],[A_tree]]*Table134[[#This Row],[اصله مستقل]])</f>
        <v>38947</v>
      </c>
      <c r="P404" s="11">
        <f>IF(Table134[[#This Row],[check]]=1,Table134[[#This Row],[A0]]/Table134[[#This Row],[اصله مستقل]],Table134[[#This Row],[A_tree]])</f>
        <v>3.4619555555555555</v>
      </c>
    </row>
    <row r="405" spans="2:16" ht="18.600000000000001" x14ac:dyDescent="0.3">
      <c r="B405" s="4" t="s">
        <v>554</v>
      </c>
      <c r="C405" s="4">
        <v>1039</v>
      </c>
      <c r="D405" s="4">
        <v>1039</v>
      </c>
      <c r="E405" s="4">
        <v>1887</v>
      </c>
      <c r="F405" s="4">
        <v>7142</v>
      </c>
      <c r="G405" s="2" t="s">
        <v>3</v>
      </c>
      <c r="H405" s="4">
        <v>9</v>
      </c>
      <c r="I405" s="4">
        <f>Table134[[#This Row],[اصله مستقل]]*Table134[[#This Row],[A_tree]]</f>
        <v>9351</v>
      </c>
      <c r="J405" s="4">
        <f>IF(Table134[[#This Row],[n * A_tree ]]&gt;Table134[[#This Row],[مساحت آدرس]],1,0)</f>
        <v>1</v>
      </c>
      <c r="K405" s="8">
        <f>IF(Table134[[#This Row],[check]]=1,1,Table134[[#This Row],[A_tree]]*Table134[[#This Row],[اصله مستقل]]/Table134[[#This Row],[مساحت آدرس]])</f>
        <v>1</v>
      </c>
      <c r="L405" s="14">
        <f>IF(Table134[[#This Row],[check]]=1,1,(Table134[[#This Row],[Psh]]+0.15*(1-Table134[[#This Row],[Psh]])))</f>
        <v>1</v>
      </c>
      <c r="M405" s="14">
        <f>IF(Table134[[#This Row],[check]]=1,0.65,1)</f>
        <v>0.65</v>
      </c>
      <c r="N405" s="4">
        <v>1</v>
      </c>
      <c r="O405" s="4">
        <f>IF(Table134[[#This Row],[check]]=1,Table134[[#This Row],[مساحت آدرس]]*Table134[[#This Row],[A0 Inc]],Table134[[#This Row],[A_tree]]*Table134[[#This Row],[اصله مستقل]])</f>
        <v>7142</v>
      </c>
      <c r="P405" s="11">
        <f>IF(Table134[[#This Row],[check]]=1,Table134[[#This Row],[A0]]/Table134[[#This Row],[اصله مستقل]],Table134[[#This Row],[A_tree]])</f>
        <v>6.873917228103946</v>
      </c>
    </row>
    <row r="406" spans="2:16" ht="18.600000000000001" x14ac:dyDescent="0.3">
      <c r="B406" s="4" t="s">
        <v>555</v>
      </c>
      <c r="C406" s="4">
        <v>352</v>
      </c>
      <c r="D406" s="4">
        <v>352</v>
      </c>
      <c r="E406" s="4">
        <v>450</v>
      </c>
      <c r="F406" s="4">
        <v>7928</v>
      </c>
      <c r="G406" s="2" t="s">
        <v>3</v>
      </c>
      <c r="H406" s="4">
        <v>9</v>
      </c>
      <c r="I406" s="4">
        <f>Table134[[#This Row],[اصله مستقل]]*Table134[[#This Row],[A_tree]]</f>
        <v>3168</v>
      </c>
      <c r="J406" s="4">
        <f>IF(Table134[[#This Row],[n * A_tree ]]&gt;Table134[[#This Row],[مساحت آدرس]],1,0)</f>
        <v>0</v>
      </c>
      <c r="K406" s="8">
        <f>IF(Table134[[#This Row],[check]]=1,1,Table134[[#This Row],[A_tree]]*Table134[[#This Row],[اصله مستقل]]/Table134[[#This Row],[مساحت آدرس]])</f>
        <v>0.39959636730575177</v>
      </c>
      <c r="L406" s="14">
        <f>IF(Table134[[#This Row],[check]]=1,1,(Table134[[#This Row],[Psh]]+0.15*(1-Table134[[#This Row],[Psh]])))</f>
        <v>0.48965691220988899</v>
      </c>
      <c r="M406" s="14">
        <f>IF(Table134[[#This Row],[check]]=1,0.65,1)</f>
        <v>1</v>
      </c>
      <c r="N406" s="4">
        <v>1</v>
      </c>
      <c r="O406" s="4">
        <f>IF(Table134[[#This Row],[check]]=1,Table134[[#This Row],[مساحت آدرس]]*Table134[[#This Row],[A0 Inc]],Table134[[#This Row],[A_tree]]*Table134[[#This Row],[اصله مستقل]])</f>
        <v>3168</v>
      </c>
      <c r="P406" s="11">
        <f>IF(Table134[[#This Row],[check]]=1,Table134[[#This Row],[A0]]/Table134[[#This Row],[اصله مستقل]],Table134[[#This Row],[A_tree]])</f>
        <v>9</v>
      </c>
    </row>
    <row r="407" spans="2:16" ht="18.600000000000001" x14ac:dyDescent="0.3">
      <c r="B407" s="4" t="s">
        <v>556</v>
      </c>
      <c r="C407" s="4">
        <v>213</v>
      </c>
      <c r="D407" s="4">
        <v>213</v>
      </c>
      <c r="E407" s="4">
        <v>36</v>
      </c>
      <c r="F407" s="4">
        <v>722</v>
      </c>
      <c r="G407" s="2" t="s">
        <v>3</v>
      </c>
      <c r="H407" s="4">
        <v>9</v>
      </c>
      <c r="I407" s="4">
        <f>Table134[[#This Row],[اصله مستقل]]*Table134[[#This Row],[A_tree]]</f>
        <v>1917</v>
      </c>
      <c r="J407" s="4">
        <f>IF(Table134[[#This Row],[n * A_tree ]]&gt;Table134[[#This Row],[مساحت آدرس]],1,0)</f>
        <v>1</v>
      </c>
      <c r="K407" s="8">
        <f>IF(Table134[[#This Row],[check]]=1,1,Table134[[#This Row],[A_tree]]*Table134[[#This Row],[اصله مستقل]]/Table134[[#This Row],[مساحت آدرس]])</f>
        <v>1</v>
      </c>
      <c r="L407" s="14">
        <f>IF(Table134[[#This Row],[check]]=1,1,(Table134[[#This Row],[Psh]]+0.15*(1-Table134[[#This Row],[Psh]])))</f>
        <v>1</v>
      </c>
      <c r="M407" s="14">
        <f>IF(Table134[[#This Row],[check]]=1,0.65,1)</f>
        <v>0.65</v>
      </c>
      <c r="N407" s="4">
        <v>1</v>
      </c>
      <c r="O407" s="4">
        <f>IF(Table134[[#This Row],[check]]=1,Table134[[#This Row],[مساحت آدرس]]*Table134[[#This Row],[A0 Inc]],Table134[[#This Row],[A_tree]]*Table134[[#This Row],[اصله مستقل]])</f>
        <v>722</v>
      </c>
      <c r="P407" s="11">
        <f>IF(Table134[[#This Row],[check]]=1,Table134[[#This Row],[A0]]/Table134[[#This Row],[اصله مستقل]],Table134[[#This Row],[A_tree]])</f>
        <v>3.3896713615023475</v>
      </c>
    </row>
    <row r="408" spans="2:16" ht="18.600000000000001" x14ac:dyDescent="0.3">
      <c r="B408" s="4" t="s">
        <v>557</v>
      </c>
      <c r="C408" s="4">
        <v>12900</v>
      </c>
      <c r="D408" s="4">
        <v>12900</v>
      </c>
      <c r="E408" s="4">
        <v>19500</v>
      </c>
      <c r="F408" s="4">
        <v>25725</v>
      </c>
      <c r="G408" s="2" t="s">
        <v>283</v>
      </c>
      <c r="H408" s="4">
        <v>9</v>
      </c>
      <c r="I408" s="4">
        <f>Table134[[#This Row],[اصله مستقل]]*Table134[[#This Row],[A_tree]]</f>
        <v>116100</v>
      </c>
      <c r="J408" s="4">
        <f>IF(Table134[[#This Row],[n * A_tree ]]&gt;Table134[[#This Row],[مساحت آدرس]],1,0)</f>
        <v>1</v>
      </c>
      <c r="K408" s="8">
        <f>IF(Table134[[#This Row],[check]]=1,1,Table134[[#This Row],[A_tree]]*Table134[[#This Row],[اصله مستقل]]/Table134[[#This Row],[مساحت آدرس]])</f>
        <v>1</v>
      </c>
      <c r="L408" s="14">
        <f>IF(Table134[[#This Row],[check]]=1,1,(Table134[[#This Row],[Psh]]+0.15*(1-Table134[[#This Row],[Psh]])))</f>
        <v>1</v>
      </c>
      <c r="M408" s="14">
        <f>IF(Table134[[#This Row],[check]]=1,0.65,1)</f>
        <v>0.65</v>
      </c>
      <c r="N408" s="4">
        <v>1</v>
      </c>
      <c r="O408" s="4">
        <f>IF(Table134[[#This Row],[check]]=1,Table134[[#This Row],[مساحت آدرس]]*Table134[[#This Row],[A0 Inc]],Table134[[#This Row],[A_tree]]*Table134[[#This Row],[اصله مستقل]])</f>
        <v>25725</v>
      </c>
      <c r="P408" s="11">
        <f>IF(Table134[[#This Row],[check]]=1,Table134[[#This Row],[A0]]/Table134[[#This Row],[اصله مستقل]],Table134[[#This Row],[A_tree]])</f>
        <v>1.9941860465116279</v>
      </c>
    </row>
    <row r="409" spans="2:16" ht="18.600000000000001" x14ac:dyDescent="0.3">
      <c r="B409" s="4" t="s">
        <v>558</v>
      </c>
      <c r="C409" s="4">
        <v>805</v>
      </c>
      <c r="D409" s="4">
        <v>805</v>
      </c>
      <c r="E409" s="4">
        <v>1240</v>
      </c>
      <c r="F409" s="4">
        <v>1290</v>
      </c>
      <c r="G409" s="2" t="s">
        <v>300</v>
      </c>
      <c r="H409" s="4">
        <v>9</v>
      </c>
      <c r="I409" s="4">
        <f>Table134[[#This Row],[اصله مستقل]]*Table134[[#This Row],[A_tree]]</f>
        <v>7245</v>
      </c>
      <c r="J409" s="4">
        <f>IF(Table134[[#This Row],[n * A_tree ]]&gt;Table134[[#This Row],[مساحت آدرس]],1,0)</f>
        <v>1</v>
      </c>
      <c r="K409" s="8">
        <f>IF(Table134[[#This Row],[check]]=1,1,Table134[[#This Row],[A_tree]]*Table134[[#This Row],[اصله مستقل]]/Table134[[#This Row],[مساحت آدرس]])</f>
        <v>1</v>
      </c>
      <c r="L409" s="14">
        <f>IF(Table134[[#This Row],[check]]=1,1,(Table134[[#This Row],[Psh]]+0.15*(1-Table134[[#This Row],[Psh]])))</f>
        <v>1</v>
      </c>
      <c r="M409" s="14">
        <f>IF(Table134[[#This Row],[check]]=1,0.65,1)</f>
        <v>0.65</v>
      </c>
      <c r="N409" s="4">
        <v>1</v>
      </c>
      <c r="O409" s="4">
        <f>IF(Table134[[#This Row],[check]]=1,Table134[[#This Row],[مساحت آدرس]]*Table134[[#This Row],[A0 Inc]],Table134[[#This Row],[A_tree]]*Table134[[#This Row],[اصله مستقل]])</f>
        <v>1290</v>
      </c>
      <c r="P409" s="11">
        <f>IF(Table134[[#This Row],[check]]=1,Table134[[#This Row],[A0]]/Table134[[#This Row],[اصله مستقل]],Table134[[#This Row],[A_tree]])</f>
        <v>1.6024844720496894</v>
      </c>
    </row>
    <row r="410" spans="2:16" ht="18.600000000000001" x14ac:dyDescent="0.3">
      <c r="B410" s="4" t="s">
        <v>559</v>
      </c>
      <c r="C410" s="4">
        <v>190</v>
      </c>
      <c r="D410" s="4">
        <v>190</v>
      </c>
      <c r="E410" s="4">
        <v>200</v>
      </c>
      <c r="F410" s="4">
        <v>800</v>
      </c>
      <c r="G410" s="2" t="s">
        <v>21</v>
      </c>
      <c r="H410" s="4">
        <v>9</v>
      </c>
      <c r="I410" s="4">
        <f>Table134[[#This Row],[اصله مستقل]]*Table134[[#This Row],[A_tree]]</f>
        <v>1710</v>
      </c>
      <c r="J410" s="4">
        <f>IF(Table134[[#This Row],[n * A_tree ]]&gt;Table134[[#This Row],[مساحت آدرس]],1,0)</f>
        <v>1</v>
      </c>
      <c r="K410" s="8">
        <f>IF(Table134[[#This Row],[check]]=1,1,Table134[[#This Row],[A_tree]]*Table134[[#This Row],[اصله مستقل]]/Table134[[#This Row],[مساحت آدرس]])</f>
        <v>1</v>
      </c>
      <c r="L410" s="14">
        <f>IF(Table134[[#This Row],[check]]=1,1,(Table134[[#This Row],[Psh]]+0.15*(1-Table134[[#This Row],[Psh]])))</f>
        <v>1</v>
      </c>
      <c r="M410" s="14">
        <f>IF(Table134[[#This Row],[check]]=1,0.65,1)</f>
        <v>0.65</v>
      </c>
      <c r="N410" s="4">
        <v>1</v>
      </c>
      <c r="O410" s="4">
        <f>IF(Table134[[#This Row],[check]]=1,Table134[[#This Row],[مساحت آدرس]]*Table134[[#This Row],[A0 Inc]],Table134[[#This Row],[A_tree]]*Table134[[#This Row],[اصله مستقل]])</f>
        <v>800</v>
      </c>
      <c r="P410" s="11">
        <f>IF(Table134[[#This Row],[check]]=1,Table134[[#This Row],[A0]]/Table134[[#This Row],[اصله مستقل]],Table134[[#This Row],[A_tree]])</f>
        <v>4.2105263157894735</v>
      </c>
    </row>
    <row r="411" spans="2:16" ht="18.600000000000001" x14ac:dyDescent="0.3">
      <c r="B411" s="4" t="s">
        <v>560</v>
      </c>
      <c r="C411" s="4">
        <v>115</v>
      </c>
      <c r="D411" s="4">
        <v>115</v>
      </c>
      <c r="E411" s="4">
        <v>185</v>
      </c>
      <c r="F411" s="4">
        <v>185</v>
      </c>
      <c r="G411" s="2" t="s">
        <v>21</v>
      </c>
      <c r="H411" s="4">
        <v>9</v>
      </c>
      <c r="I411" s="4">
        <f>Table134[[#This Row],[اصله مستقل]]*Table134[[#This Row],[A_tree]]</f>
        <v>1035</v>
      </c>
      <c r="J411" s="4">
        <f>IF(Table134[[#This Row],[n * A_tree ]]&gt;Table134[[#This Row],[مساحت آدرس]],1,0)</f>
        <v>1</v>
      </c>
      <c r="K411" s="8">
        <f>IF(Table134[[#This Row],[check]]=1,1,Table134[[#This Row],[A_tree]]*Table134[[#This Row],[اصله مستقل]]/Table134[[#This Row],[مساحت آدرس]])</f>
        <v>1</v>
      </c>
      <c r="L411" s="14">
        <f>IF(Table134[[#This Row],[check]]=1,1,(Table134[[#This Row],[Psh]]+0.15*(1-Table134[[#This Row],[Psh]])))</f>
        <v>1</v>
      </c>
      <c r="M411" s="14">
        <f>IF(Table134[[#This Row],[check]]=1,0.65,1)</f>
        <v>0.65</v>
      </c>
      <c r="N411" s="4">
        <v>1</v>
      </c>
      <c r="O411" s="4">
        <f>IF(Table134[[#This Row],[check]]=1,Table134[[#This Row],[مساحت آدرس]]*Table134[[#This Row],[A0 Inc]],Table134[[#This Row],[A_tree]]*Table134[[#This Row],[اصله مستقل]])</f>
        <v>185</v>
      </c>
      <c r="P411" s="11">
        <f>IF(Table134[[#This Row],[check]]=1,Table134[[#This Row],[A0]]/Table134[[#This Row],[اصله مستقل]],Table134[[#This Row],[A_tree]])</f>
        <v>1.6086956521739131</v>
      </c>
    </row>
    <row r="412" spans="2:16" ht="18.600000000000001" x14ac:dyDescent="0.3">
      <c r="B412" s="4" t="s">
        <v>561</v>
      </c>
      <c r="C412" s="4">
        <v>222</v>
      </c>
      <c r="D412" s="4">
        <v>222</v>
      </c>
      <c r="E412" s="4">
        <v>270</v>
      </c>
      <c r="F412" s="4">
        <v>270</v>
      </c>
      <c r="G412" s="2" t="s">
        <v>300</v>
      </c>
      <c r="H412" s="4">
        <v>9</v>
      </c>
      <c r="I412" s="4">
        <f>Table134[[#This Row],[اصله مستقل]]*Table134[[#This Row],[A_tree]]</f>
        <v>1998</v>
      </c>
      <c r="J412" s="4">
        <f>IF(Table134[[#This Row],[n * A_tree ]]&gt;Table134[[#This Row],[مساحت آدرس]],1,0)</f>
        <v>1</v>
      </c>
      <c r="K412" s="8">
        <f>IF(Table134[[#This Row],[check]]=1,1,Table134[[#This Row],[A_tree]]*Table134[[#This Row],[اصله مستقل]]/Table134[[#This Row],[مساحت آدرس]])</f>
        <v>1</v>
      </c>
      <c r="L412" s="14">
        <f>IF(Table134[[#This Row],[check]]=1,1,(Table134[[#This Row],[Psh]]+0.15*(1-Table134[[#This Row],[Psh]])))</f>
        <v>1</v>
      </c>
      <c r="M412" s="14">
        <f>IF(Table134[[#This Row],[check]]=1,0.65,1)</f>
        <v>0.65</v>
      </c>
      <c r="N412" s="4">
        <v>1</v>
      </c>
      <c r="O412" s="4">
        <f>IF(Table134[[#This Row],[check]]=1,Table134[[#This Row],[مساحت آدرس]]*Table134[[#This Row],[A0 Inc]],Table134[[#This Row],[A_tree]]*Table134[[#This Row],[اصله مستقل]])</f>
        <v>270</v>
      </c>
      <c r="P412" s="11">
        <f>IF(Table134[[#This Row],[check]]=1,Table134[[#This Row],[A0]]/Table134[[#This Row],[اصله مستقل]],Table134[[#This Row],[A_tree]])</f>
        <v>1.2162162162162162</v>
      </c>
    </row>
    <row r="413" spans="2:16" ht="18.600000000000001" x14ac:dyDescent="0.3">
      <c r="B413" s="4" t="s">
        <v>562</v>
      </c>
      <c r="C413" s="4">
        <v>73</v>
      </c>
      <c r="D413" s="4">
        <v>73</v>
      </c>
      <c r="E413" s="4">
        <v>95</v>
      </c>
      <c r="F413" s="4">
        <v>95</v>
      </c>
      <c r="G413" s="2" t="s">
        <v>21</v>
      </c>
      <c r="H413" s="4">
        <v>9</v>
      </c>
      <c r="I413" s="4">
        <f>Table134[[#This Row],[اصله مستقل]]*Table134[[#This Row],[A_tree]]</f>
        <v>657</v>
      </c>
      <c r="J413" s="4">
        <f>IF(Table134[[#This Row],[n * A_tree ]]&gt;Table134[[#This Row],[مساحت آدرس]],1,0)</f>
        <v>1</v>
      </c>
      <c r="K413" s="8">
        <f>IF(Table134[[#This Row],[check]]=1,1,Table134[[#This Row],[A_tree]]*Table134[[#This Row],[اصله مستقل]]/Table134[[#This Row],[مساحت آدرس]])</f>
        <v>1</v>
      </c>
      <c r="L413" s="14">
        <f>IF(Table134[[#This Row],[check]]=1,1,(Table134[[#This Row],[Psh]]+0.15*(1-Table134[[#This Row],[Psh]])))</f>
        <v>1</v>
      </c>
      <c r="M413" s="14">
        <f>IF(Table134[[#This Row],[check]]=1,0.65,1)</f>
        <v>0.65</v>
      </c>
      <c r="N413" s="4">
        <v>1</v>
      </c>
      <c r="O413" s="4">
        <f>IF(Table134[[#This Row],[check]]=1,Table134[[#This Row],[مساحت آدرس]]*Table134[[#This Row],[A0 Inc]],Table134[[#This Row],[A_tree]]*Table134[[#This Row],[اصله مستقل]])</f>
        <v>95</v>
      </c>
      <c r="P413" s="11">
        <f>IF(Table134[[#This Row],[check]]=1,Table134[[#This Row],[A0]]/Table134[[#This Row],[اصله مستقل]],Table134[[#This Row],[A_tree]])</f>
        <v>1.3013698630136987</v>
      </c>
    </row>
    <row r="414" spans="2:16" ht="18.600000000000001" x14ac:dyDescent="0.3">
      <c r="B414" s="4" t="s">
        <v>563</v>
      </c>
      <c r="C414" s="4">
        <v>113</v>
      </c>
      <c r="D414" s="4">
        <v>113</v>
      </c>
      <c r="E414" s="4">
        <v>170</v>
      </c>
      <c r="F414" s="4">
        <v>170</v>
      </c>
      <c r="G414" s="2" t="s">
        <v>21</v>
      </c>
      <c r="H414" s="4">
        <v>9</v>
      </c>
      <c r="I414" s="4">
        <f>Table134[[#This Row],[اصله مستقل]]*Table134[[#This Row],[A_tree]]</f>
        <v>1017</v>
      </c>
      <c r="J414" s="4">
        <f>IF(Table134[[#This Row],[n * A_tree ]]&gt;Table134[[#This Row],[مساحت آدرس]],1,0)</f>
        <v>1</v>
      </c>
      <c r="K414" s="8">
        <f>IF(Table134[[#This Row],[check]]=1,1,Table134[[#This Row],[A_tree]]*Table134[[#This Row],[اصله مستقل]]/Table134[[#This Row],[مساحت آدرس]])</f>
        <v>1</v>
      </c>
      <c r="L414" s="14">
        <f>IF(Table134[[#This Row],[check]]=1,1,(Table134[[#This Row],[Psh]]+0.15*(1-Table134[[#This Row],[Psh]])))</f>
        <v>1</v>
      </c>
      <c r="M414" s="14">
        <f>IF(Table134[[#This Row],[check]]=1,0.65,1)</f>
        <v>0.65</v>
      </c>
      <c r="N414" s="4">
        <v>1</v>
      </c>
      <c r="O414" s="4">
        <f>IF(Table134[[#This Row],[check]]=1,Table134[[#This Row],[مساحت آدرس]]*Table134[[#This Row],[A0 Inc]],Table134[[#This Row],[A_tree]]*Table134[[#This Row],[اصله مستقل]])</f>
        <v>170</v>
      </c>
      <c r="P414" s="11">
        <f>IF(Table134[[#This Row],[check]]=1,Table134[[#This Row],[A0]]/Table134[[#This Row],[اصله مستقل]],Table134[[#This Row],[A_tree]])</f>
        <v>1.5044247787610618</v>
      </c>
    </row>
    <row r="415" spans="2:16" ht="18.600000000000001" x14ac:dyDescent="0.3">
      <c r="B415" s="4" t="s">
        <v>564</v>
      </c>
      <c r="C415" s="4">
        <v>73</v>
      </c>
      <c r="D415" s="4">
        <v>73</v>
      </c>
      <c r="E415" s="4">
        <v>85</v>
      </c>
      <c r="F415" s="4">
        <v>85</v>
      </c>
      <c r="G415" s="2" t="s">
        <v>21</v>
      </c>
      <c r="H415" s="4">
        <v>9</v>
      </c>
      <c r="I415" s="4">
        <f>Table134[[#This Row],[اصله مستقل]]*Table134[[#This Row],[A_tree]]</f>
        <v>657</v>
      </c>
      <c r="J415" s="4">
        <f>IF(Table134[[#This Row],[n * A_tree ]]&gt;Table134[[#This Row],[مساحت آدرس]],1,0)</f>
        <v>1</v>
      </c>
      <c r="K415" s="8">
        <f>IF(Table134[[#This Row],[check]]=1,1,Table134[[#This Row],[A_tree]]*Table134[[#This Row],[اصله مستقل]]/Table134[[#This Row],[مساحت آدرس]])</f>
        <v>1</v>
      </c>
      <c r="L415" s="14">
        <f>IF(Table134[[#This Row],[check]]=1,1,(Table134[[#This Row],[Psh]]+0.15*(1-Table134[[#This Row],[Psh]])))</f>
        <v>1</v>
      </c>
      <c r="M415" s="14">
        <f>IF(Table134[[#This Row],[check]]=1,0.65,1)</f>
        <v>0.65</v>
      </c>
      <c r="N415" s="4">
        <v>1</v>
      </c>
      <c r="O415" s="4">
        <f>IF(Table134[[#This Row],[check]]=1,Table134[[#This Row],[مساحت آدرس]]*Table134[[#This Row],[A0 Inc]],Table134[[#This Row],[A_tree]]*Table134[[#This Row],[اصله مستقل]])</f>
        <v>85</v>
      </c>
      <c r="P415" s="11">
        <f>IF(Table134[[#This Row],[check]]=1,Table134[[#This Row],[A0]]/Table134[[#This Row],[اصله مستقل]],Table134[[#This Row],[A_tree]])</f>
        <v>1.1643835616438356</v>
      </c>
    </row>
    <row r="416" spans="2:16" ht="18.600000000000001" x14ac:dyDescent="0.3">
      <c r="B416" s="4" t="s">
        <v>565</v>
      </c>
      <c r="C416" s="4">
        <v>218</v>
      </c>
      <c r="D416" s="4">
        <v>218</v>
      </c>
      <c r="E416" s="4">
        <v>385</v>
      </c>
      <c r="F416" s="4">
        <v>385</v>
      </c>
      <c r="G416" s="2" t="s">
        <v>21</v>
      </c>
      <c r="H416" s="4">
        <v>9</v>
      </c>
      <c r="I416" s="4">
        <f>Table134[[#This Row],[اصله مستقل]]*Table134[[#This Row],[A_tree]]</f>
        <v>1962</v>
      </c>
      <c r="J416" s="4">
        <f>IF(Table134[[#This Row],[n * A_tree ]]&gt;Table134[[#This Row],[مساحت آدرس]],1,0)</f>
        <v>1</v>
      </c>
      <c r="K416" s="8">
        <f>IF(Table134[[#This Row],[check]]=1,1,Table134[[#This Row],[A_tree]]*Table134[[#This Row],[اصله مستقل]]/Table134[[#This Row],[مساحت آدرس]])</f>
        <v>1</v>
      </c>
      <c r="L416" s="14">
        <f>IF(Table134[[#This Row],[check]]=1,1,(Table134[[#This Row],[Psh]]+0.15*(1-Table134[[#This Row],[Psh]])))</f>
        <v>1</v>
      </c>
      <c r="M416" s="14">
        <f>IF(Table134[[#This Row],[check]]=1,0.65,1)</f>
        <v>0.65</v>
      </c>
      <c r="N416" s="4">
        <v>1</v>
      </c>
      <c r="O416" s="4">
        <f>IF(Table134[[#This Row],[check]]=1,Table134[[#This Row],[مساحت آدرس]]*Table134[[#This Row],[A0 Inc]],Table134[[#This Row],[A_tree]]*Table134[[#This Row],[اصله مستقل]])</f>
        <v>385</v>
      </c>
      <c r="P416" s="11">
        <f>IF(Table134[[#This Row],[check]]=1,Table134[[#This Row],[A0]]/Table134[[#This Row],[اصله مستقل]],Table134[[#This Row],[A_tree]])</f>
        <v>1.7660550458715596</v>
      </c>
    </row>
    <row r="417" spans="2:16" ht="18.600000000000001" x14ac:dyDescent="0.3">
      <c r="B417" s="4" t="s">
        <v>566</v>
      </c>
      <c r="C417" s="4">
        <v>176</v>
      </c>
      <c r="D417" s="4">
        <v>176</v>
      </c>
      <c r="E417" s="4">
        <v>150</v>
      </c>
      <c r="F417" s="4">
        <v>150</v>
      </c>
      <c r="G417" s="2" t="s">
        <v>21</v>
      </c>
      <c r="H417" s="4">
        <v>9</v>
      </c>
      <c r="I417" s="4">
        <f>Table134[[#This Row],[اصله مستقل]]*Table134[[#This Row],[A_tree]]</f>
        <v>1584</v>
      </c>
      <c r="J417" s="4">
        <f>IF(Table134[[#This Row],[n * A_tree ]]&gt;Table134[[#This Row],[مساحت آدرس]],1,0)</f>
        <v>1</v>
      </c>
      <c r="K417" s="8">
        <f>IF(Table134[[#This Row],[check]]=1,1,Table134[[#This Row],[A_tree]]*Table134[[#This Row],[اصله مستقل]]/Table134[[#This Row],[مساحت آدرس]])</f>
        <v>1</v>
      </c>
      <c r="L417" s="14">
        <f>IF(Table134[[#This Row],[check]]=1,1,(Table134[[#This Row],[Psh]]+0.15*(1-Table134[[#This Row],[Psh]])))</f>
        <v>1</v>
      </c>
      <c r="M417" s="14">
        <f>IF(Table134[[#This Row],[check]]=1,0.65,1)</f>
        <v>0.65</v>
      </c>
      <c r="N417" s="4">
        <v>1</v>
      </c>
      <c r="O417" s="4">
        <f>IF(Table134[[#This Row],[check]]=1,Table134[[#This Row],[مساحت آدرس]]*Table134[[#This Row],[A0 Inc]],Table134[[#This Row],[A_tree]]*Table134[[#This Row],[اصله مستقل]])</f>
        <v>150</v>
      </c>
      <c r="P417" s="11">
        <f>IF(Table134[[#This Row],[check]]=1,Table134[[#This Row],[A0]]/Table134[[#This Row],[اصله مستقل]],Table134[[#This Row],[A_tree]])</f>
        <v>0.85227272727272729</v>
      </c>
    </row>
    <row r="418" spans="2:16" ht="18.600000000000001" x14ac:dyDescent="0.3">
      <c r="B418" s="4" t="s">
        <v>567</v>
      </c>
      <c r="C418" s="4">
        <v>127</v>
      </c>
      <c r="D418" s="4">
        <v>102</v>
      </c>
      <c r="E418" s="4">
        <v>125</v>
      </c>
      <c r="F418" s="4">
        <v>775</v>
      </c>
      <c r="G418" s="2" t="s">
        <v>21</v>
      </c>
      <c r="H418" s="4">
        <v>9</v>
      </c>
      <c r="I418" s="4">
        <f>Table134[[#This Row],[اصله مستقل]]*Table134[[#This Row],[A_tree]]</f>
        <v>918</v>
      </c>
      <c r="J418" s="4">
        <f>IF(Table134[[#This Row],[n * A_tree ]]&gt;Table134[[#This Row],[مساحت آدرس]],1,0)</f>
        <v>1</v>
      </c>
      <c r="K418" s="8">
        <f>IF(Table134[[#This Row],[check]]=1,1,Table134[[#This Row],[A_tree]]*Table134[[#This Row],[اصله مستقل]]/Table134[[#This Row],[مساحت آدرس]])</f>
        <v>1</v>
      </c>
      <c r="L418" s="14">
        <f>IF(Table134[[#This Row],[check]]=1,1,(Table134[[#This Row],[Psh]]+0.15*(1-Table134[[#This Row],[Psh]])))</f>
        <v>1</v>
      </c>
      <c r="M418" s="14">
        <f>IF(Table134[[#This Row],[check]]=1,0.65,1)</f>
        <v>0.65</v>
      </c>
      <c r="N418" s="4">
        <v>1</v>
      </c>
      <c r="O418" s="4">
        <f>IF(Table134[[#This Row],[check]]=1,Table134[[#This Row],[مساحت آدرس]]*Table134[[#This Row],[A0 Inc]],Table134[[#This Row],[A_tree]]*Table134[[#This Row],[اصله مستقل]])</f>
        <v>775</v>
      </c>
      <c r="P418" s="11">
        <f>IF(Table134[[#This Row],[check]]=1,Table134[[#This Row],[A0]]/Table134[[#This Row],[اصله مستقل]],Table134[[#This Row],[A_tree]])</f>
        <v>7.5980392156862742</v>
      </c>
    </row>
    <row r="419" spans="2:16" ht="18.600000000000001" x14ac:dyDescent="0.3">
      <c r="B419" s="4" t="s">
        <v>568</v>
      </c>
      <c r="C419" s="4">
        <v>333</v>
      </c>
      <c r="D419" s="4">
        <v>333</v>
      </c>
      <c r="E419" s="4">
        <v>485</v>
      </c>
      <c r="F419" s="4">
        <v>485</v>
      </c>
      <c r="G419" s="2" t="s">
        <v>21</v>
      </c>
      <c r="H419" s="4">
        <v>9</v>
      </c>
      <c r="I419" s="4">
        <f>Table134[[#This Row],[اصله مستقل]]*Table134[[#This Row],[A_tree]]</f>
        <v>2997</v>
      </c>
      <c r="J419" s="4">
        <f>IF(Table134[[#This Row],[n * A_tree ]]&gt;Table134[[#This Row],[مساحت آدرس]],1,0)</f>
        <v>1</v>
      </c>
      <c r="K419" s="8">
        <f>IF(Table134[[#This Row],[check]]=1,1,Table134[[#This Row],[A_tree]]*Table134[[#This Row],[اصله مستقل]]/Table134[[#This Row],[مساحت آدرس]])</f>
        <v>1</v>
      </c>
      <c r="L419" s="14">
        <f>IF(Table134[[#This Row],[check]]=1,1,(Table134[[#This Row],[Psh]]+0.15*(1-Table134[[#This Row],[Psh]])))</f>
        <v>1</v>
      </c>
      <c r="M419" s="14">
        <f>IF(Table134[[#This Row],[check]]=1,0.65,1)</f>
        <v>0.65</v>
      </c>
      <c r="N419" s="4">
        <v>1</v>
      </c>
      <c r="O419" s="4">
        <f>IF(Table134[[#This Row],[check]]=1,Table134[[#This Row],[مساحت آدرس]]*Table134[[#This Row],[A0 Inc]],Table134[[#This Row],[A_tree]]*Table134[[#This Row],[اصله مستقل]])</f>
        <v>485</v>
      </c>
      <c r="P419" s="11">
        <f>IF(Table134[[#This Row],[check]]=1,Table134[[#This Row],[A0]]/Table134[[#This Row],[اصله مستقل]],Table134[[#This Row],[A_tree]])</f>
        <v>1.4564564564564564</v>
      </c>
    </row>
    <row r="420" spans="2:16" ht="18.600000000000001" x14ac:dyDescent="0.3">
      <c r="B420" s="4" t="s">
        <v>569</v>
      </c>
      <c r="C420" s="4">
        <v>115</v>
      </c>
      <c r="D420" s="4">
        <v>115</v>
      </c>
      <c r="E420" s="4">
        <v>150</v>
      </c>
      <c r="F420" s="4">
        <v>150</v>
      </c>
      <c r="G420" s="2" t="s">
        <v>21</v>
      </c>
      <c r="H420" s="4">
        <v>9</v>
      </c>
      <c r="I420" s="4">
        <f>Table134[[#This Row],[اصله مستقل]]*Table134[[#This Row],[A_tree]]</f>
        <v>1035</v>
      </c>
      <c r="J420" s="4">
        <f>IF(Table134[[#This Row],[n * A_tree ]]&gt;Table134[[#This Row],[مساحت آدرس]],1,0)</f>
        <v>1</v>
      </c>
      <c r="K420" s="8">
        <f>IF(Table134[[#This Row],[check]]=1,1,Table134[[#This Row],[A_tree]]*Table134[[#This Row],[اصله مستقل]]/Table134[[#This Row],[مساحت آدرس]])</f>
        <v>1</v>
      </c>
      <c r="L420" s="14">
        <f>IF(Table134[[#This Row],[check]]=1,1,(Table134[[#This Row],[Psh]]+0.15*(1-Table134[[#This Row],[Psh]])))</f>
        <v>1</v>
      </c>
      <c r="M420" s="14">
        <f>IF(Table134[[#This Row],[check]]=1,0.65,1)</f>
        <v>0.65</v>
      </c>
      <c r="N420" s="4">
        <v>1</v>
      </c>
      <c r="O420" s="4">
        <f>IF(Table134[[#This Row],[check]]=1,Table134[[#This Row],[مساحت آدرس]]*Table134[[#This Row],[A0 Inc]],Table134[[#This Row],[A_tree]]*Table134[[#This Row],[اصله مستقل]])</f>
        <v>150</v>
      </c>
      <c r="P420" s="11">
        <f>IF(Table134[[#This Row],[check]]=1,Table134[[#This Row],[A0]]/Table134[[#This Row],[اصله مستقل]],Table134[[#This Row],[A_tree]])</f>
        <v>1.3043478260869565</v>
      </c>
    </row>
    <row r="421" spans="2:16" ht="18.600000000000001" x14ac:dyDescent="0.3">
      <c r="B421" s="4" t="s">
        <v>570</v>
      </c>
      <c r="C421" s="4">
        <v>1225</v>
      </c>
      <c r="D421" s="4">
        <v>1086</v>
      </c>
      <c r="E421" s="4">
        <v>1125</v>
      </c>
      <c r="F421" s="4">
        <v>7114</v>
      </c>
      <c r="G421" s="2" t="s">
        <v>21</v>
      </c>
      <c r="H421" s="4">
        <v>9</v>
      </c>
      <c r="I421" s="4">
        <f>Table134[[#This Row],[اصله مستقل]]*Table134[[#This Row],[A_tree]]</f>
        <v>9774</v>
      </c>
      <c r="J421" s="4">
        <f>IF(Table134[[#This Row],[n * A_tree ]]&gt;Table134[[#This Row],[مساحت آدرس]],1,0)</f>
        <v>1</v>
      </c>
      <c r="K421" s="8">
        <f>IF(Table134[[#This Row],[check]]=1,1,Table134[[#This Row],[A_tree]]*Table134[[#This Row],[اصله مستقل]]/Table134[[#This Row],[مساحت آدرس]])</f>
        <v>1</v>
      </c>
      <c r="L421" s="14">
        <f>IF(Table134[[#This Row],[check]]=1,1,(Table134[[#This Row],[Psh]]+0.15*(1-Table134[[#This Row],[Psh]])))</f>
        <v>1</v>
      </c>
      <c r="M421" s="14">
        <f>IF(Table134[[#This Row],[check]]=1,0.65,1)</f>
        <v>0.65</v>
      </c>
      <c r="N421" s="4">
        <v>1</v>
      </c>
      <c r="O421" s="4">
        <f>IF(Table134[[#This Row],[check]]=1,Table134[[#This Row],[مساحت آدرس]]*Table134[[#This Row],[A0 Inc]],Table134[[#This Row],[A_tree]]*Table134[[#This Row],[اصله مستقل]])</f>
        <v>7114</v>
      </c>
      <c r="P421" s="11">
        <f>IF(Table134[[#This Row],[check]]=1,Table134[[#This Row],[A0]]/Table134[[#This Row],[اصله مستقل]],Table134[[#This Row],[A_tree]])</f>
        <v>6.5506445672191527</v>
      </c>
    </row>
    <row r="422" spans="2:16" ht="18.600000000000001" x14ac:dyDescent="0.3">
      <c r="B422" s="4" t="s">
        <v>571</v>
      </c>
      <c r="C422" s="4">
        <v>28</v>
      </c>
      <c r="D422" s="4">
        <v>28</v>
      </c>
      <c r="E422" s="4">
        <v>35</v>
      </c>
      <c r="F422" s="4">
        <v>307</v>
      </c>
      <c r="G422" s="2" t="s">
        <v>62</v>
      </c>
      <c r="H422" s="4">
        <v>9</v>
      </c>
      <c r="I422" s="4">
        <f>Table134[[#This Row],[اصله مستقل]]*Table134[[#This Row],[A_tree]]</f>
        <v>252</v>
      </c>
      <c r="J422" s="4">
        <f>IF(Table134[[#This Row],[n * A_tree ]]&gt;Table134[[#This Row],[مساحت آدرس]],1,0)</f>
        <v>0</v>
      </c>
      <c r="K422" s="8">
        <f>IF(Table134[[#This Row],[check]]=1,1,Table134[[#This Row],[A_tree]]*Table134[[#This Row],[اصله مستقل]]/Table134[[#This Row],[مساحت آدرس]])</f>
        <v>0.82084690553745931</v>
      </c>
      <c r="L422" s="14">
        <f>IF(Table134[[#This Row],[check]]=1,1,(Table134[[#This Row],[Psh]]+0.15*(1-Table134[[#This Row],[Psh]])))</f>
        <v>0.84771986970684043</v>
      </c>
      <c r="M422" s="14">
        <f>IF(Table134[[#This Row],[check]]=1,0.65,1)</f>
        <v>1</v>
      </c>
      <c r="N422" s="4">
        <v>1</v>
      </c>
      <c r="O422" s="4">
        <f>IF(Table134[[#This Row],[check]]=1,Table134[[#This Row],[مساحت آدرس]]*Table134[[#This Row],[A0 Inc]],Table134[[#This Row],[A_tree]]*Table134[[#This Row],[اصله مستقل]])</f>
        <v>252</v>
      </c>
      <c r="P422" s="11">
        <f>IF(Table134[[#This Row],[check]]=1,Table134[[#This Row],[A0]]/Table134[[#This Row],[اصله مستقل]],Table134[[#This Row],[A_tree]])</f>
        <v>9</v>
      </c>
    </row>
    <row r="423" spans="2:16" ht="18.600000000000001" x14ac:dyDescent="0.3">
      <c r="B423" s="4" t="s">
        <v>572</v>
      </c>
      <c r="C423" s="4">
        <v>35</v>
      </c>
      <c r="D423" s="4">
        <v>5</v>
      </c>
      <c r="E423" s="4">
        <v>5</v>
      </c>
      <c r="F423" s="4">
        <v>1537</v>
      </c>
      <c r="G423" s="2" t="s">
        <v>62</v>
      </c>
      <c r="H423" s="4">
        <v>9</v>
      </c>
      <c r="I423" s="4">
        <f>Table134[[#This Row],[اصله مستقل]]*Table134[[#This Row],[A_tree]]</f>
        <v>45</v>
      </c>
      <c r="J423" s="4">
        <f>IF(Table134[[#This Row],[n * A_tree ]]&gt;Table134[[#This Row],[مساحت آدرس]],1,0)</f>
        <v>0</v>
      </c>
      <c r="K423" s="8">
        <f>IF(Table134[[#This Row],[check]]=1,1,Table134[[#This Row],[A_tree]]*Table134[[#This Row],[اصله مستقل]]/Table134[[#This Row],[مساحت آدرس]])</f>
        <v>2.9277813923227064E-2</v>
      </c>
      <c r="L423" s="14">
        <f>IF(Table134[[#This Row],[check]]=1,1,(Table134[[#This Row],[Psh]]+0.15*(1-Table134[[#This Row],[Psh]])))</f>
        <v>0.17488614183474299</v>
      </c>
      <c r="M423" s="14">
        <f>IF(Table134[[#This Row],[check]]=1,0.65,1)</f>
        <v>1</v>
      </c>
      <c r="N423" s="4">
        <v>1</v>
      </c>
      <c r="O423" s="4">
        <f>IF(Table134[[#This Row],[check]]=1,Table134[[#This Row],[مساحت آدرس]]*Table134[[#This Row],[A0 Inc]],Table134[[#This Row],[A_tree]]*Table134[[#This Row],[اصله مستقل]])</f>
        <v>45</v>
      </c>
      <c r="P423" s="11">
        <f>IF(Table134[[#This Row],[check]]=1,Table134[[#This Row],[A0]]/Table134[[#This Row],[اصله مستقل]],Table134[[#This Row],[A_tree]])</f>
        <v>9</v>
      </c>
    </row>
    <row r="424" spans="2:16" ht="18.600000000000001" x14ac:dyDescent="0.3">
      <c r="B424" s="4" t="s">
        <v>573</v>
      </c>
      <c r="C424" s="4">
        <v>2</v>
      </c>
      <c r="D424" s="4">
        <v>2</v>
      </c>
      <c r="E424" s="4">
        <v>4</v>
      </c>
      <c r="F424" s="4">
        <v>55</v>
      </c>
      <c r="G424" s="2" t="s">
        <v>62</v>
      </c>
      <c r="H424" s="4">
        <v>9</v>
      </c>
      <c r="I424" s="4">
        <f>Table134[[#This Row],[اصله مستقل]]*Table134[[#This Row],[A_tree]]</f>
        <v>18</v>
      </c>
      <c r="J424" s="4">
        <f>IF(Table134[[#This Row],[n * A_tree ]]&gt;Table134[[#This Row],[مساحت آدرس]],1,0)</f>
        <v>0</v>
      </c>
      <c r="K424" s="8">
        <f>IF(Table134[[#This Row],[check]]=1,1,Table134[[#This Row],[A_tree]]*Table134[[#This Row],[اصله مستقل]]/Table134[[#This Row],[مساحت آدرس]])</f>
        <v>0.32727272727272727</v>
      </c>
      <c r="L424" s="14">
        <f>IF(Table134[[#This Row],[check]]=1,1,(Table134[[#This Row],[Psh]]+0.15*(1-Table134[[#This Row],[Psh]])))</f>
        <v>0.42818181818181816</v>
      </c>
      <c r="M424" s="14">
        <f>IF(Table134[[#This Row],[check]]=1,0.65,1)</f>
        <v>1</v>
      </c>
      <c r="N424" s="4">
        <v>1</v>
      </c>
      <c r="O424" s="4">
        <f>IF(Table134[[#This Row],[check]]=1,Table134[[#This Row],[مساحت آدرس]]*Table134[[#This Row],[A0 Inc]],Table134[[#This Row],[A_tree]]*Table134[[#This Row],[اصله مستقل]])</f>
        <v>18</v>
      </c>
      <c r="P424" s="11">
        <f>IF(Table134[[#This Row],[check]]=1,Table134[[#This Row],[A0]]/Table134[[#This Row],[اصله مستقل]],Table134[[#This Row],[A_tree]])</f>
        <v>9</v>
      </c>
    </row>
    <row r="425" spans="2:16" ht="18.600000000000001" x14ac:dyDescent="0.3">
      <c r="B425" s="4" t="s">
        <v>574</v>
      </c>
      <c r="C425" s="4">
        <v>32</v>
      </c>
      <c r="D425" s="4">
        <v>32</v>
      </c>
      <c r="E425" s="4">
        <v>40</v>
      </c>
      <c r="F425" s="4">
        <v>97</v>
      </c>
      <c r="G425" s="2" t="s">
        <v>62</v>
      </c>
      <c r="H425" s="4">
        <v>9</v>
      </c>
      <c r="I425" s="4">
        <f>Table134[[#This Row],[اصله مستقل]]*Table134[[#This Row],[A_tree]]</f>
        <v>288</v>
      </c>
      <c r="J425" s="4">
        <f>IF(Table134[[#This Row],[n * A_tree ]]&gt;Table134[[#This Row],[مساحت آدرس]],1,0)</f>
        <v>1</v>
      </c>
      <c r="K425" s="8">
        <f>IF(Table134[[#This Row],[check]]=1,1,Table134[[#This Row],[A_tree]]*Table134[[#This Row],[اصله مستقل]]/Table134[[#This Row],[مساحت آدرس]])</f>
        <v>1</v>
      </c>
      <c r="L425" s="14">
        <f>IF(Table134[[#This Row],[check]]=1,1,(Table134[[#This Row],[Psh]]+0.15*(1-Table134[[#This Row],[Psh]])))</f>
        <v>1</v>
      </c>
      <c r="M425" s="14">
        <f>IF(Table134[[#This Row],[check]]=1,0.65,1)</f>
        <v>0.65</v>
      </c>
      <c r="N425" s="4">
        <v>1</v>
      </c>
      <c r="O425" s="4">
        <f>IF(Table134[[#This Row],[check]]=1,Table134[[#This Row],[مساحت آدرس]]*Table134[[#This Row],[A0 Inc]],Table134[[#This Row],[A_tree]]*Table134[[#This Row],[اصله مستقل]])</f>
        <v>97</v>
      </c>
      <c r="P425" s="11">
        <f>IF(Table134[[#This Row],[check]]=1,Table134[[#This Row],[A0]]/Table134[[#This Row],[اصله مستقل]],Table134[[#This Row],[A_tree]])</f>
        <v>3.03125</v>
      </c>
    </row>
    <row r="426" spans="2:16" ht="18.600000000000001" x14ac:dyDescent="0.3">
      <c r="B426" s="4" t="s">
        <v>575</v>
      </c>
      <c r="C426" s="4">
        <v>24</v>
      </c>
      <c r="D426" s="4">
        <v>24</v>
      </c>
      <c r="E426" s="4">
        <v>35</v>
      </c>
      <c r="F426" s="4">
        <v>59</v>
      </c>
      <c r="G426" s="2" t="s">
        <v>62</v>
      </c>
      <c r="H426" s="4">
        <v>9</v>
      </c>
      <c r="I426" s="4">
        <f>Table134[[#This Row],[اصله مستقل]]*Table134[[#This Row],[A_tree]]</f>
        <v>216</v>
      </c>
      <c r="J426" s="4">
        <f>IF(Table134[[#This Row],[n * A_tree ]]&gt;Table134[[#This Row],[مساحت آدرس]],1,0)</f>
        <v>1</v>
      </c>
      <c r="K426" s="8">
        <f>IF(Table134[[#This Row],[check]]=1,1,Table134[[#This Row],[A_tree]]*Table134[[#This Row],[اصله مستقل]]/Table134[[#This Row],[مساحت آدرس]])</f>
        <v>1</v>
      </c>
      <c r="L426" s="14">
        <f>IF(Table134[[#This Row],[check]]=1,1,(Table134[[#This Row],[Psh]]+0.15*(1-Table134[[#This Row],[Psh]])))</f>
        <v>1</v>
      </c>
      <c r="M426" s="14">
        <f>IF(Table134[[#This Row],[check]]=1,0.65,1)</f>
        <v>0.65</v>
      </c>
      <c r="N426" s="4">
        <v>1</v>
      </c>
      <c r="O426" s="4">
        <f>IF(Table134[[#This Row],[check]]=1,Table134[[#This Row],[مساحت آدرس]]*Table134[[#This Row],[A0 Inc]],Table134[[#This Row],[A_tree]]*Table134[[#This Row],[اصله مستقل]])</f>
        <v>59</v>
      </c>
      <c r="P426" s="11">
        <f>IF(Table134[[#This Row],[check]]=1,Table134[[#This Row],[A0]]/Table134[[#This Row],[اصله مستقل]],Table134[[#This Row],[A_tree]])</f>
        <v>2.4583333333333335</v>
      </c>
    </row>
    <row r="427" spans="2:16" ht="18.600000000000001" x14ac:dyDescent="0.3">
      <c r="B427" s="4" t="s">
        <v>576</v>
      </c>
      <c r="C427" s="4">
        <v>21</v>
      </c>
      <c r="D427" s="4">
        <v>8</v>
      </c>
      <c r="E427" s="4">
        <v>12</v>
      </c>
      <c r="F427" s="4">
        <v>438</v>
      </c>
      <c r="G427" s="2" t="s">
        <v>62</v>
      </c>
      <c r="H427" s="4">
        <v>9</v>
      </c>
      <c r="I427" s="4">
        <f>Table134[[#This Row],[اصله مستقل]]*Table134[[#This Row],[A_tree]]</f>
        <v>72</v>
      </c>
      <c r="J427" s="4">
        <f>IF(Table134[[#This Row],[n * A_tree ]]&gt;Table134[[#This Row],[مساحت آدرس]],1,0)</f>
        <v>0</v>
      </c>
      <c r="K427" s="8">
        <f>IF(Table134[[#This Row],[check]]=1,1,Table134[[#This Row],[A_tree]]*Table134[[#This Row],[اصله مستقل]]/Table134[[#This Row],[مساحت آدرس]])</f>
        <v>0.16438356164383561</v>
      </c>
      <c r="L427" s="14">
        <f>IF(Table134[[#This Row],[check]]=1,1,(Table134[[#This Row],[Psh]]+0.15*(1-Table134[[#This Row],[Psh]])))</f>
        <v>0.28972602739726028</v>
      </c>
      <c r="M427" s="14">
        <f>IF(Table134[[#This Row],[check]]=1,0.65,1)</f>
        <v>1</v>
      </c>
      <c r="N427" s="4">
        <v>1</v>
      </c>
      <c r="O427" s="4">
        <f>IF(Table134[[#This Row],[check]]=1,Table134[[#This Row],[مساحت آدرس]]*Table134[[#This Row],[A0 Inc]],Table134[[#This Row],[A_tree]]*Table134[[#This Row],[اصله مستقل]])</f>
        <v>72</v>
      </c>
      <c r="P427" s="11">
        <f>IF(Table134[[#This Row],[check]]=1,Table134[[#This Row],[A0]]/Table134[[#This Row],[اصله مستقل]],Table134[[#This Row],[A_tree]])</f>
        <v>9</v>
      </c>
    </row>
    <row r="428" spans="2:16" ht="18.600000000000001" x14ac:dyDescent="0.3">
      <c r="B428" s="4" t="s">
        <v>577</v>
      </c>
      <c r="C428" s="4">
        <v>20</v>
      </c>
      <c r="D428" s="4">
        <v>1</v>
      </c>
      <c r="E428" s="4">
        <v>3</v>
      </c>
      <c r="F428" s="4">
        <v>348</v>
      </c>
      <c r="G428" s="2" t="s">
        <v>62</v>
      </c>
      <c r="H428" s="4">
        <v>9</v>
      </c>
      <c r="I428" s="4">
        <f>Table134[[#This Row],[اصله مستقل]]*Table134[[#This Row],[A_tree]]</f>
        <v>9</v>
      </c>
      <c r="J428" s="4">
        <f>IF(Table134[[#This Row],[n * A_tree ]]&gt;Table134[[#This Row],[مساحت آدرس]],1,0)</f>
        <v>0</v>
      </c>
      <c r="K428" s="8">
        <f>IF(Table134[[#This Row],[check]]=1,1,Table134[[#This Row],[A_tree]]*Table134[[#This Row],[اصله مستقل]]/Table134[[#This Row],[مساحت آدرس]])</f>
        <v>2.5862068965517241E-2</v>
      </c>
      <c r="L428" s="14">
        <f>IF(Table134[[#This Row],[check]]=1,1,(Table134[[#This Row],[Psh]]+0.15*(1-Table134[[#This Row],[Psh]])))</f>
        <v>0.17198275862068965</v>
      </c>
      <c r="M428" s="14">
        <f>IF(Table134[[#This Row],[check]]=1,0.65,1)</f>
        <v>1</v>
      </c>
      <c r="N428" s="4">
        <v>1</v>
      </c>
      <c r="O428" s="4">
        <f>IF(Table134[[#This Row],[check]]=1,Table134[[#This Row],[مساحت آدرس]]*Table134[[#This Row],[A0 Inc]],Table134[[#This Row],[A_tree]]*Table134[[#This Row],[اصله مستقل]])</f>
        <v>9</v>
      </c>
      <c r="P428" s="11">
        <f>IF(Table134[[#This Row],[check]]=1,Table134[[#This Row],[A0]]/Table134[[#This Row],[اصله مستقل]],Table134[[#This Row],[A_tree]])</f>
        <v>9</v>
      </c>
    </row>
    <row r="429" spans="2:16" ht="18.600000000000001" x14ac:dyDescent="0.3">
      <c r="B429" s="4" t="s">
        <v>578</v>
      </c>
      <c r="C429" s="4">
        <v>49</v>
      </c>
      <c r="D429" s="4">
        <v>45</v>
      </c>
      <c r="E429" s="4">
        <v>49</v>
      </c>
      <c r="F429" s="4">
        <v>452</v>
      </c>
      <c r="G429" s="2" t="s">
        <v>66</v>
      </c>
      <c r="H429" s="4">
        <v>9</v>
      </c>
      <c r="I429" s="4">
        <f>Table134[[#This Row],[اصله مستقل]]*Table134[[#This Row],[A_tree]]</f>
        <v>405</v>
      </c>
      <c r="J429" s="4">
        <f>IF(Table134[[#This Row],[n * A_tree ]]&gt;Table134[[#This Row],[مساحت آدرس]],1,0)</f>
        <v>0</v>
      </c>
      <c r="K429" s="8">
        <f>IF(Table134[[#This Row],[check]]=1,1,Table134[[#This Row],[A_tree]]*Table134[[#This Row],[اصله مستقل]]/Table134[[#This Row],[مساحت آدرس]])</f>
        <v>0.89601769911504425</v>
      </c>
      <c r="L429" s="14">
        <f>IF(Table134[[#This Row],[check]]=1,1,(Table134[[#This Row],[Psh]]+0.15*(1-Table134[[#This Row],[Psh]])))</f>
        <v>0.91161504424778761</v>
      </c>
      <c r="M429" s="14">
        <f>IF(Table134[[#This Row],[check]]=1,0.65,1)</f>
        <v>1</v>
      </c>
      <c r="N429" s="4">
        <v>1</v>
      </c>
      <c r="O429" s="4">
        <f>IF(Table134[[#This Row],[check]]=1,Table134[[#This Row],[مساحت آدرس]]*Table134[[#This Row],[A0 Inc]],Table134[[#This Row],[A_tree]]*Table134[[#This Row],[اصله مستقل]])</f>
        <v>405</v>
      </c>
      <c r="P429" s="11">
        <f>IF(Table134[[#This Row],[check]]=1,Table134[[#This Row],[A0]]/Table134[[#This Row],[اصله مستقل]],Table134[[#This Row],[A_tree]])</f>
        <v>9</v>
      </c>
    </row>
    <row r="430" spans="2:16" ht="18.600000000000001" x14ac:dyDescent="0.3">
      <c r="B430" s="4" t="s">
        <v>579</v>
      </c>
      <c r="C430" s="4">
        <v>318</v>
      </c>
      <c r="D430" s="4">
        <v>318</v>
      </c>
      <c r="E430" s="4">
        <v>110</v>
      </c>
      <c r="F430" s="4">
        <v>160</v>
      </c>
      <c r="G430" s="2" t="s">
        <v>66</v>
      </c>
      <c r="H430" s="4">
        <v>9</v>
      </c>
      <c r="I430" s="4">
        <f>Table134[[#This Row],[اصله مستقل]]*Table134[[#This Row],[A_tree]]</f>
        <v>2862</v>
      </c>
      <c r="J430" s="4">
        <f>IF(Table134[[#This Row],[n * A_tree ]]&gt;Table134[[#This Row],[مساحت آدرس]],1,0)</f>
        <v>1</v>
      </c>
      <c r="K430" s="8">
        <f>IF(Table134[[#This Row],[check]]=1,1,Table134[[#This Row],[A_tree]]*Table134[[#This Row],[اصله مستقل]]/Table134[[#This Row],[مساحت آدرس]])</f>
        <v>1</v>
      </c>
      <c r="L430" s="14">
        <f>IF(Table134[[#This Row],[check]]=1,1,(Table134[[#This Row],[Psh]]+0.15*(1-Table134[[#This Row],[Psh]])))</f>
        <v>1</v>
      </c>
      <c r="M430" s="14">
        <f>IF(Table134[[#This Row],[check]]=1,0.65,1)</f>
        <v>0.65</v>
      </c>
      <c r="N430" s="4">
        <v>1</v>
      </c>
      <c r="O430" s="4">
        <f>IF(Table134[[#This Row],[check]]=1,Table134[[#This Row],[مساحت آدرس]]*Table134[[#This Row],[A0 Inc]],Table134[[#This Row],[A_tree]]*Table134[[#This Row],[اصله مستقل]])</f>
        <v>160</v>
      </c>
      <c r="P430" s="11">
        <f>IF(Table134[[#This Row],[check]]=1,Table134[[#This Row],[A0]]/Table134[[#This Row],[اصله مستقل]],Table134[[#This Row],[A_tree]])</f>
        <v>0.50314465408805031</v>
      </c>
    </row>
    <row r="431" spans="2:16" ht="18.600000000000001" x14ac:dyDescent="0.3">
      <c r="B431" s="4" t="s">
        <v>580</v>
      </c>
      <c r="C431" s="4">
        <v>28</v>
      </c>
      <c r="D431" s="4">
        <v>28</v>
      </c>
      <c r="E431" s="4">
        <v>35</v>
      </c>
      <c r="F431" s="4">
        <v>225</v>
      </c>
      <c r="G431" s="2" t="s">
        <v>66</v>
      </c>
      <c r="H431" s="4">
        <v>9</v>
      </c>
      <c r="I431" s="4">
        <f>Table134[[#This Row],[اصله مستقل]]*Table134[[#This Row],[A_tree]]</f>
        <v>252</v>
      </c>
      <c r="J431" s="4">
        <f>IF(Table134[[#This Row],[n * A_tree ]]&gt;Table134[[#This Row],[مساحت آدرس]],1,0)</f>
        <v>1</v>
      </c>
      <c r="K431" s="8">
        <f>IF(Table134[[#This Row],[check]]=1,1,Table134[[#This Row],[A_tree]]*Table134[[#This Row],[اصله مستقل]]/Table134[[#This Row],[مساحت آدرس]])</f>
        <v>1</v>
      </c>
      <c r="L431" s="14">
        <f>IF(Table134[[#This Row],[check]]=1,1,(Table134[[#This Row],[Psh]]+0.15*(1-Table134[[#This Row],[Psh]])))</f>
        <v>1</v>
      </c>
      <c r="M431" s="14">
        <f>IF(Table134[[#This Row],[check]]=1,0.65,1)</f>
        <v>0.65</v>
      </c>
      <c r="N431" s="4">
        <v>1</v>
      </c>
      <c r="O431" s="4">
        <f>IF(Table134[[#This Row],[check]]=1,Table134[[#This Row],[مساحت آدرس]]*Table134[[#This Row],[A0 Inc]],Table134[[#This Row],[A_tree]]*Table134[[#This Row],[اصله مستقل]])</f>
        <v>225</v>
      </c>
      <c r="P431" s="11">
        <f>IF(Table134[[#This Row],[check]]=1,Table134[[#This Row],[A0]]/Table134[[#This Row],[اصله مستقل]],Table134[[#This Row],[A_tree]])</f>
        <v>8.0357142857142865</v>
      </c>
    </row>
    <row r="432" spans="2:16" ht="18.600000000000001" x14ac:dyDescent="0.3">
      <c r="B432" s="4" t="s">
        <v>581</v>
      </c>
      <c r="C432" s="4">
        <v>7</v>
      </c>
      <c r="D432" s="4">
        <v>7</v>
      </c>
      <c r="E432" s="4">
        <v>7</v>
      </c>
      <c r="F432" s="4">
        <v>286</v>
      </c>
      <c r="G432" s="2" t="s">
        <v>66</v>
      </c>
      <c r="H432" s="4">
        <v>9</v>
      </c>
      <c r="I432" s="4">
        <f>Table134[[#This Row],[اصله مستقل]]*Table134[[#This Row],[A_tree]]</f>
        <v>63</v>
      </c>
      <c r="J432" s="4">
        <f>IF(Table134[[#This Row],[n * A_tree ]]&gt;Table134[[#This Row],[مساحت آدرس]],1,0)</f>
        <v>0</v>
      </c>
      <c r="K432" s="8">
        <f>IF(Table134[[#This Row],[check]]=1,1,Table134[[#This Row],[A_tree]]*Table134[[#This Row],[اصله مستقل]]/Table134[[#This Row],[مساحت آدرس]])</f>
        <v>0.22027972027972029</v>
      </c>
      <c r="L432" s="14">
        <f>IF(Table134[[#This Row],[check]]=1,1,(Table134[[#This Row],[Psh]]+0.15*(1-Table134[[#This Row],[Psh]])))</f>
        <v>0.33723776223776225</v>
      </c>
      <c r="M432" s="14">
        <f>IF(Table134[[#This Row],[check]]=1,0.65,1)</f>
        <v>1</v>
      </c>
      <c r="N432" s="4">
        <v>1</v>
      </c>
      <c r="O432" s="4">
        <f>IF(Table134[[#This Row],[check]]=1,Table134[[#This Row],[مساحت آدرس]]*Table134[[#This Row],[A0 Inc]],Table134[[#This Row],[A_tree]]*Table134[[#This Row],[اصله مستقل]])</f>
        <v>63</v>
      </c>
      <c r="P432" s="11">
        <f>IF(Table134[[#This Row],[check]]=1,Table134[[#This Row],[A0]]/Table134[[#This Row],[اصله مستقل]],Table134[[#This Row],[A_tree]])</f>
        <v>9</v>
      </c>
    </row>
    <row r="433" spans="2:16" ht="18.600000000000001" x14ac:dyDescent="0.3">
      <c r="B433" s="4" t="s">
        <v>582</v>
      </c>
      <c r="C433" s="4">
        <v>1</v>
      </c>
      <c r="D433" s="4">
        <v>1</v>
      </c>
      <c r="E433" s="4">
        <v>2</v>
      </c>
      <c r="F433" s="4">
        <v>1156</v>
      </c>
      <c r="G433" s="2" t="s">
        <v>66</v>
      </c>
      <c r="H433" s="4">
        <v>9</v>
      </c>
      <c r="I433" s="4">
        <f>Table134[[#This Row],[اصله مستقل]]*Table134[[#This Row],[A_tree]]</f>
        <v>9</v>
      </c>
      <c r="J433" s="4">
        <f>IF(Table134[[#This Row],[n * A_tree ]]&gt;Table134[[#This Row],[مساحت آدرس]],1,0)</f>
        <v>0</v>
      </c>
      <c r="K433" s="8">
        <f>IF(Table134[[#This Row],[check]]=1,1,Table134[[#This Row],[A_tree]]*Table134[[#This Row],[اصله مستقل]]/Table134[[#This Row],[مساحت آدرس]])</f>
        <v>7.7854671280276812E-3</v>
      </c>
      <c r="L433" s="14">
        <f>IF(Table134[[#This Row],[check]]=1,1,(Table134[[#This Row],[Psh]]+0.15*(1-Table134[[#This Row],[Psh]])))</f>
        <v>0.15661764705882353</v>
      </c>
      <c r="M433" s="14">
        <f>IF(Table134[[#This Row],[check]]=1,0.65,1)</f>
        <v>1</v>
      </c>
      <c r="N433" s="4">
        <v>1</v>
      </c>
      <c r="O433" s="4">
        <f>IF(Table134[[#This Row],[check]]=1,Table134[[#This Row],[مساحت آدرس]]*Table134[[#This Row],[A0 Inc]],Table134[[#This Row],[A_tree]]*Table134[[#This Row],[اصله مستقل]])</f>
        <v>9</v>
      </c>
      <c r="P433" s="11">
        <f>IF(Table134[[#This Row],[check]]=1,Table134[[#This Row],[A0]]/Table134[[#This Row],[اصله مستقل]],Table134[[#This Row],[A_tree]])</f>
        <v>9</v>
      </c>
    </row>
    <row r="434" spans="2:16" ht="18.600000000000001" x14ac:dyDescent="0.3">
      <c r="B434" s="4" t="s">
        <v>591</v>
      </c>
      <c r="C434" s="4">
        <v>257</v>
      </c>
      <c r="D434" s="4">
        <v>257</v>
      </c>
      <c r="E434" s="4">
        <v>350</v>
      </c>
      <c r="F434" s="4">
        <v>776</v>
      </c>
      <c r="G434" s="2" t="s">
        <v>3</v>
      </c>
      <c r="H434" s="4">
        <v>9</v>
      </c>
      <c r="I434" s="4">
        <f>Table134[[#This Row],[اصله مستقل]]*Table134[[#This Row],[A_tree]]</f>
        <v>2313</v>
      </c>
      <c r="J434" s="4">
        <f>IF(Table134[[#This Row],[n * A_tree ]]&gt;Table134[[#This Row],[مساحت آدرس]],1,0)</f>
        <v>1</v>
      </c>
      <c r="K434" s="8">
        <f>IF(Table134[[#This Row],[check]]=1,1,Table134[[#This Row],[A_tree]]*Table134[[#This Row],[اصله مستقل]]/Table134[[#This Row],[مساحت آدرس]])</f>
        <v>1</v>
      </c>
      <c r="L434" s="14">
        <f>IF(Table134[[#This Row],[check]]=1,1,(Table134[[#This Row],[Psh]]+0.15*(1-Table134[[#This Row],[Psh]])))</f>
        <v>1</v>
      </c>
      <c r="M434" s="14">
        <f>IF(Table134[[#This Row],[check]]=1,0.65,1)</f>
        <v>0.65</v>
      </c>
      <c r="N434" s="4">
        <v>1</v>
      </c>
      <c r="O434" s="4">
        <f>IF(Table134[[#This Row],[check]]=1,Table134[[#This Row],[مساحت آدرس]]*Table134[[#This Row],[A0 Inc]],Table134[[#This Row],[A_tree]]*Table134[[#This Row],[اصله مستقل]])</f>
        <v>776</v>
      </c>
      <c r="P434" s="11">
        <f>IF(Table134[[#This Row],[check]]=1,Table134[[#This Row],[A0]]/Table134[[#This Row],[اصله مستقل]],Table134[[#This Row],[A_tree]])</f>
        <v>3.0194552529182879</v>
      </c>
    </row>
    <row r="435" spans="2:16" ht="18.600000000000001" x14ac:dyDescent="0.3">
      <c r="B435" s="4" t="s">
        <v>592</v>
      </c>
      <c r="C435" s="4">
        <v>139</v>
      </c>
      <c r="D435" s="4">
        <v>204</v>
      </c>
      <c r="E435" s="4">
        <v>0</v>
      </c>
      <c r="F435" s="4">
        <v>1863</v>
      </c>
      <c r="G435" s="2" t="s">
        <v>3</v>
      </c>
      <c r="H435" s="4">
        <v>9</v>
      </c>
      <c r="I435" s="4">
        <f>Table134[[#This Row],[اصله مستقل]]*Table134[[#This Row],[A_tree]]</f>
        <v>1836</v>
      </c>
      <c r="J435" s="4">
        <f>IF(Table134[[#This Row],[n * A_tree ]]&gt;Table134[[#This Row],[مساحت آدرس]],1,0)</f>
        <v>0</v>
      </c>
      <c r="K435" s="8">
        <f>IF(Table134[[#This Row],[check]]=1,1,Table134[[#This Row],[A_tree]]*Table134[[#This Row],[اصله مستقل]]/Table134[[#This Row],[مساحت آدرس]])</f>
        <v>0.98550724637681164</v>
      </c>
      <c r="L435" s="14">
        <f>IF(Table134[[#This Row],[check]]=1,1,(Table134[[#This Row],[Psh]]+0.15*(1-Table134[[#This Row],[Psh]])))</f>
        <v>0.98768115942028989</v>
      </c>
      <c r="M435" s="14">
        <f>IF(Table134[[#This Row],[check]]=1,0.65,1)</f>
        <v>1</v>
      </c>
      <c r="N435" s="4">
        <v>1</v>
      </c>
      <c r="O435" s="4">
        <f>IF(Table134[[#This Row],[check]]=1,Table134[[#This Row],[مساحت آدرس]]*Table134[[#This Row],[A0 Inc]],Table134[[#This Row],[A_tree]]*Table134[[#This Row],[اصله مستقل]])</f>
        <v>1836</v>
      </c>
      <c r="P435" s="11">
        <f>IF(Table134[[#This Row],[check]]=1,Table134[[#This Row],[A0]]/Table134[[#This Row],[اصله مستقل]],Table134[[#This Row],[A_tree]])</f>
        <v>9</v>
      </c>
    </row>
    <row r="436" spans="2:16" ht="18.600000000000001" x14ac:dyDescent="0.3">
      <c r="B436" s="4" t="s">
        <v>593</v>
      </c>
      <c r="C436" s="4">
        <v>334</v>
      </c>
      <c r="D436" s="4">
        <v>36</v>
      </c>
      <c r="E436" s="4">
        <v>188</v>
      </c>
      <c r="F436" s="4">
        <v>758</v>
      </c>
      <c r="G436" s="2" t="s">
        <v>3</v>
      </c>
      <c r="H436" s="4">
        <v>9</v>
      </c>
      <c r="I436" s="4">
        <f>Table134[[#This Row],[اصله مستقل]]*Table134[[#This Row],[A_tree]]</f>
        <v>324</v>
      </c>
      <c r="J436" s="4">
        <f>IF(Table134[[#This Row],[n * A_tree ]]&gt;Table134[[#This Row],[مساحت آدرس]],1,0)</f>
        <v>0</v>
      </c>
      <c r="K436" s="8">
        <f>IF(Table134[[#This Row],[check]]=1,1,Table134[[#This Row],[A_tree]]*Table134[[#This Row],[اصله مستقل]]/Table134[[#This Row],[مساحت آدرس]])</f>
        <v>0.42744063324538256</v>
      </c>
      <c r="L436" s="14">
        <f>IF(Table134[[#This Row],[check]]=1,1,(Table134[[#This Row],[Psh]]+0.15*(1-Table134[[#This Row],[Psh]])))</f>
        <v>0.51332453825857516</v>
      </c>
      <c r="M436" s="14">
        <f>IF(Table134[[#This Row],[check]]=1,0.65,1)</f>
        <v>1</v>
      </c>
      <c r="N436" s="4">
        <v>1</v>
      </c>
      <c r="O436" s="4">
        <f>IF(Table134[[#This Row],[check]]=1,Table134[[#This Row],[مساحت آدرس]]*Table134[[#This Row],[A0 Inc]],Table134[[#This Row],[A_tree]]*Table134[[#This Row],[اصله مستقل]])</f>
        <v>324</v>
      </c>
      <c r="P436" s="11">
        <f>IF(Table134[[#This Row],[check]]=1,Table134[[#This Row],[A0]]/Table134[[#This Row],[اصله مستقل]],Table134[[#This Row],[A_tree]])</f>
        <v>9</v>
      </c>
    </row>
    <row r="437" spans="2:16" ht="18.600000000000001" x14ac:dyDescent="0.3">
      <c r="B437" s="4" t="s">
        <v>594</v>
      </c>
      <c r="C437" s="4">
        <v>276</v>
      </c>
      <c r="D437" s="4">
        <v>94</v>
      </c>
      <c r="E437" s="4">
        <v>95</v>
      </c>
      <c r="F437" s="4">
        <v>1733</v>
      </c>
      <c r="G437" s="2" t="s">
        <v>21</v>
      </c>
      <c r="H437" s="4">
        <v>9</v>
      </c>
      <c r="I437" s="4">
        <f>Table134[[#This Row],[اصله مستقل]]*Table134[[#This Row],[A_tree]]</f>
        <v>846</v>
      </c>
      <c r="J437" s="4">
        <f>IF(Table134[[#This Row],[n * A_tree ]]&gt;Table134[[#This Row],[مساحت آدرس]],1,0)</f>
        <v>0</v>
      </c>
      <c r="K437" s="8">
        <f>IF(Table134[[#This Row],[check]]=1,1,Table134[[#This Row],[A_tree]]*Table134[[#This Row],[اصله مستقل]]/Table134[[#This Row],[مساحت آدرس]])</f>
        <v>0.48817080207732255</v>
      </c>
      <c r="L437" s="14">
        <f>IF(Table134[[#This Row],[check]]=1,1,(Table134[[#This Row],[Psh]]+0.15*(1-Table134[[#This Row],[Psh]])))</f>
        <v>0.56494518176572417</v>
      </c>
      <c r="M437" s="14">
        <f>IF(Table134[[#This Row],[check]]=1,0.65,1)</f>
        <v>1</v>
      </c>
      <c r="N437" s="4">
        <v>1</v>
      </c>
      <c r="O437" s="4">
        <f>IF(Table134[[#This Row],[check]]=1,Table134[[#This Row],[مساحت آدرس]]*Table134[[#This Row],[A0 Inc]],Table134[[#This Row],[A_tree]]*Table134[[#This Row],[اصله مستقل]])</f>
        <v>846</v>
      </c>
      <c r="P437" s="11">
        <f>IF(Table134[[#This Row],[check]]=1,Table134[[#This Row],[A0]]/Table134[[#This Row],[اصله مستقل]],Table134[[#This Row],[A_tree]])</f>
        <v>9</v>
      </c>
    </row>
    <row r="438" spans="2:16" ht="18.600000000000001" x14ac:dyDescent="0.3">
      <c r="B438" s="4" t="s">
        <v>595</v>
      </c>
      <c r="C438" s="4">
        <v>610</v>
      </c>
      <c r="D438" s="4">
        <v>28</v>
      </c>
      <c r="E438" s="4">
        <v>60</v>
      </c>
      <c r="F438" s="4">
        <v>4220</v>
      </c>
      <c r="G438" s="2" t="s">
        <v>21</v>
      </c>
      <c r="H438" s="4">
        <v>9</v>
      </c>
      <c r="I438" s="4">
        <f>Table134[[#This Row],[اصله مستقل]]*Table134[[#This Row],[A_tree]]</f>
        <v>252</v>
      </c>
      <c r="J438" s="4">
        <f>IF(Table134[[#This Row],[n * A_tree ]]&gt;Table134[[#This Row],[مساحت آدرس]],1,0)</f>
        <v>0</v>
      </c>
      <c r="K438" s="8">
        <f>IF(Table134[[#This Row],[check]]=1,1,Table134[[#This Row],[A_tree]]*Table134[[#This Row],[اصله مستقل]]/Table134[[#This Row],[مساحت آدرس]])</f>
        <v>5.9715639810426539E-2</v>
      </c>
      <c r="L438" s="14">
        <f>IF(Table134[[#This Row],[check]]=1,1,(Table134[[#This Row],[Psh]]+0.15*(1-Table134[[#This Row],[Psh]])))</f>
        <v>0.20075829383886257</v>
      </c>
      <c r="M438" s="14">
        <f>IF(Table134[[#This Row],[check]]=1,0.65,1)</f>
        <v>1</v>
      </c>
      <c r="N438" s="4">
        <v>1</v>
      </c>
      <c r="O438" s="4">
        <f>IF(Table134[[#This Row],[check]]=1,Table134[[#This Row],[مساحت آدرس]]*Table134[[#This Row],[A0 Inc]],Table134[[#This Row],[A_tree]]*Table134[[#This Row],[اصله مستقل]])</f>
        <v>252</v>
      </c>
      <c r="P438" s="11">
        <f>IF(Table134[[#This Row],[check]]=1,Table134[[#This Row],[A0]]/Table134[[#This Row],[اصله مستقل]],Table134[[#This Row],[A_tree]])</f>
        <v>9</v>
      </c>
    </row>
    <row r="439" spans="2:16" ht="18.600000000000001" x14ac:dyDescent="0.3">
      <c r="B439" s="4" t="s">
        <v>596</v>
      </c>
      <c r="C439" s="4">
        <v>98</v>
      </c>
      <c r="D439" s="4">
        <v>81</v>
      </c>
      <c r="E439" s="4">
        <v>110</v>
      </c>
      <c r="F439" s="4">
        <v>175</v>
      </c>
      <c r="G439" s="2" t="s">
        <v>21</v>
      </c>
      <c r="H439" s="4">
        <v>9</v>
      </c>
      <c r="I439" s="4">
        <f>Table134[[#This Row],[اصله مستقل]]*Table134[[#This Row],[A_tree]]</f>
        <v>729</v>
      </c>
      <c r="J439" s="4">
        <f>IF(Table134[[#This Row],[n * A_tree ]]&gt;Table134[[#This Row],[مساحت آدرس]],1,0)</f>
        <v>1</v>
      </c>
      <c r="K439" s="8">
        <f>IF(Table134[[#This Row],[check]]=1,1,Table134[[#This Row],[A_tree]]*Table134[[#This Row],[اصله مستقل]]/Table134[[#This Row],[مساحت آدرس]])</f>
        <v>1</v>
      </c>
      <c r="L439" s="14">
        <f>IF(Table134[[#This Row],[check]]=1,1,(Table134[[#This Row],[Psh]]+0.15*(1-Table134[[#This Row],[Psh]])))</f>
        <v>1</v>
      </c>
      <c r="M439" s="14">
        <f>IF(Table134[[#This Row],[check]]=1,0.65,1)</f>
        <v>0.65</v>
      </c>
      <c r="N439" s="4">
        <v>1</v>
      </c>
      <c r="O439" s="4">
        <f>IF(Table134[[#This Row],[check]]=1,Table134[[#This Row],[مساحت آدرس]]*Table134[[#This Row],[A0 Inc]],Table134[[#This Row],[A_tree]]*Table134[[#This Row],[اصله مستقل]])</f>
        <v>175</v>
      </c>
      <c r="P439" s="11">
        <f>IF(Table134[[#This Row],[check]]=1,Table134[[#This Row],[A0]]/Table134[[#This Row],[اصله مستقل]],Table134[[#This Row],[A_tree]])</f>
        <v>2.1604938271604937</v>
      </c>
    </row>
    <row r="440" spans="2:16" ht="18.600000000000001" x14ac:dyDescent="0.3">
      <c r="B440" s="4" t="s">
        <v>597</v>
      </c>
      <c r="C440" s="4">
        <v>799</v>
      </c>
      <c r="D440" s="4">
        <v>432</v>
      </c>
      <c r="E440" s="4">
        <v>570</v>
      </c>
      <c r="F440" s="4">
        <v>570</v>
      </c>
      <c r="G440" s="2" t="s">
        <v>21</v>
      </c>
      <c r="H440" s="4">
        <v>9</v>
      </c>
      <c r="I440" s="4">
        <f>Table134[[#This Row],[اصله مستقل]]*Table134[[#This Row],[A_tree]]</f>
        <v>3888</v>
      </c>
      <c r="J440" s="4">
        <f>IF(Table134[[#This Row],[n * A_tree ]]&gt;Table134[[#This Row],[مساحت آدرس]],1,0)</f>
        <v>1</v>
      </c>
      <c r="K440" s="8">
        <f>IF(Table134[[#This Row],[check]]=1,1,Table134[[#This Row],[A_tree]]*Table134[[#This Row],[اصله مستقل]]/Table134[[#This Row],[مساحت آدرس]])</f>
        <v>1</v>
      </c>
      <c r="L440" s="14">
        <f>IF(Table134[[#This Row],[check]]=1,1,(Table134[[#This Row],[Psh]]+0.15*(1-Table134[[#This Row],[Psh]])))</f>
        <v>1</v>
      </c>
      <c r="M440" s="14">
        <f>IF(Table134[[#This Row],[check]]=1,0.65,1)</f>
        <v>0.65</v>
      </c>
      <c r="N440" s="4">
        <v>1</v>
      </c>
      <c r="O440" s="4">
        <f>IF(Table134[[#This Row],[check]]=1,Table134[[#This Row],[مساحت آدرس]]*Table134[[#This Row],[A0 Inc]],Table134[[#This Row],[A_tree]]*Table134[[#This Row],[اصله مستقل]])</f>
        <v>570</v>
      </c>
      <c r="P440" s="11">
        <f>IF(Table134[[#This Row],[check]]=1,Table134[[#This Row],[A0]]/Table134[[#This Row],[اصله مستقل]],Table134[[#This Row],[A_tree]])</f>
        <v>1.3194444444444444</v>
      </c>
    </row>
    <row r="441" spans="2:16" ht="18.600000000000001" x14ac:dyDescent="0.3">
      <c r="B441" s="4" t="s">
        <v>598</v>
      </c>
      <c r="C441" s="4">
        <v>464</v>
      </c>
      <c r="D441" s="4">
        <v>245</v>
      </c>
      <c r="E441" s="4">
        <v>280</v>
      </c>
      <c r="F441" s="4">
        <v>848</v>
      </c>
      <c r="G441" s="2" t="s">
        <v>21</v>
      </c>
      <c r="H441" s="4">
        <v>9</v>
      </c>
      <c r="I441" s="4">
        <f>Table134[[#This Row],[اصله مستقل]]*Table134[[#This Row],[A_tree]]</f>
        <v>2205</v>
      </c>
      <c r="J441" s="4">
        <f>IF(Table134[[#This Row],[n * A_tree ]]&gt;Table134[[#This Row],[مساحت آدرس]],1,0)</f>
        <v>1</v>
      </c>
      <c r="K441" s="8">
        <f>IF(Table134[[#This Row],[check]]=1,1,Table134[[#This Row],[A_tree]]*Table134[[#This Row],[اصله مستقل]]/Table134[[#This Row],[مساحت آدرس]])</f>
        <v>1</v>
      </c>
      <c r="L441" s="14">
        <f>IF(Table134[[#This Row],[check]]=1,1,(Table134[[#This Row],[Psh]]+0.15*(1-Table134[[#This Row],[Psh]])))</f>
        <v>1</v>
      </c>
      <c r="M441" s="14">
        <f>IF(Table134[[#This Row],[check]]=1,0.65,1)</f>
        <v>0.65</v>
      </c>
      <c r="N441" s="4">
        <v>1</v>
      </c>
      <c r="O441" s="4">
        <f>IF(Table134[[#This Row],[check]]=1,Table134[[#This Row],[مساحت آدرس]]*Table134[[#This Row],[A0 Inc]],Table134[[#This Row],[A_tree]]*Table134[[#This Row],[اصله مستقل]])</f>
        <v>848</v>
      </c>
      <c r="P441" s="11">
        <f>IF(Table134[[#This Row],[check]]=1,Table134[[#This Row],[A0]]/Table134[[#This Row],[اصله مستقل]],Table134[[#This Row],[A_tree]])</f>
        <v>3.4612244897959186</v>
      </c>
    </row>
    <row r="442" spans="2:16" ht="18.600000000000001" x14ac:dyDescent="0.3">
      <c r="B442" s="4" t="s">
        <v>599</v>
      </c>
      <c r="C442" s="4">
        <v>125</v>
      </c>
      <c r="D442" s="4">
        <v>55</v>
      </c>
      <c r="E442" s="4">
        <v>377</v>
      </c>
      <c r="F442" s="4">
        <v>8242</v>
      </c>
      <c r="G442" s="2" t="s">
        <v>62</v>
      </c>
      <c r="H442" s="4">
        <v>9</v>
      </c>
      <c r="I442" s="4">
        <f>Table134[[#This Row],[اصله مستقل]]*Table134[[#This Row],[A_tree]]</f>
        <v>495</v>
      </c>
      <c r="J442" s="4">
        <f>IF(Table134[[#This Row],[n * A_tree ]]&gt;Table134[[#This Row],[مساحت آدرس]],1,0)</f>
        <v>0</v>
      </c>
      <c r="K442" s="8">
        <f>IF(Table134[[#This Row],[check]]=1,1,Table134[[#This Row],[A_tree]]*Table134[[#This Row],[اصله مستقل]]/Table134[[#This Row],[مساحت آدرس]])</f>
        <v>6.005823829167678E-2</v>
      </c>
      <c r="L442" s="14">
        <f>IF(Table134[[#This Row],[check]]=1,1,(Table134[[#This Row],[Psh]]+0.15*(1-Table134[[#This Row],[Psh]])))</f>
        <v>0.20104950254792525</v>
      </c>
      <c r="M442" s="14">
        <f>IF(Table134[[#This Row],[check]]=1,0.65,1)</f>
        <v>1</v>
      </c>
      <c r="N442" s="4">
        <v>1</v>
      </c>
      <c r="O442" s="4">
        <f>IF(Table134[[#This Row],[check]]=1,Table134[[#This Row],[مساحت آدرس]]*Table134[[#This Row],[A0 Inc]],Table134[[#This Row],[A_tree]]*Table134[[#This Row],[اصله مستقل]])</f>
        <v>495</v>
      </c>
      <c r="P442" s="11">
        <f>IF(Table134[[#This Row],[check]]=1,Table134[[#This Row],[A0]]/Table134[[#This Row],[اصله مستقل]],Table134[[#This Row],[A_tree]])</f>
        <v>9</v>
      </c>
    </row>
    <row r="443" spans="2:16" ht="18.600000000000001" x14ac:dyDescent="0.3">
      <c r="B443" s="4" t="s">
        <v>602</v>
      </c>
      <c r="C443" s="4">
        <v>259</v>
      </c>
      <c r="D443" s="4">
        <v>259</v>
      </c>
      <c r="E443" s="4">
        <v>984</v>
      </c>
      <c r="F443" s="4">
        <v>4462</v>
      </c>
      <c r="G443" s="2" t="s">
        <v>3</v>
      </c>
      <c r="H443" s="4">
        <v>9</v>
      </c>
      <c r="I443" s="4">
        <f>Table134[[#This Row],[اصله مستقل]]*Table134[[#This Row],[A_tree]]</f>
        <v>2331</v>
      </c>
      <c r="J443" s="4">
        <f>IF(Table134[[#This Row],[n * A_tree ]]&gt;Table134[[#This Row],[مساحت آدرس]],1,0)</f>
        <v>0</v>
      </c>
      <c r="K443" s="8">
        <f>IF(Table134[[#This Row],[check]]=1,1,Table134[[#This Row],[A_tree]]*Table134[[#This Row],[اصله مستقل]]/Table134[[#This Row],[مساحت آدرس]])</f>
        <v>0.52241147467503357</v>
      </c>
      <c r="L443" s="14">
        <f>IF(Table134[[#This Row],[check]]=1,1,(Table134[[#This Row],[Psh]]+0.15*(1-Table134[[#This Row],[Psh]])))</f>
        <v>0.59404975347377853</v>
      </c>
      <c r="M443" s="14">
        <f>IF(Table134[[#This Row],[check]]=1,0.65,1)</f>
        <v>1</v>
      </c>
      <c r="N443" s="4">
        <v>1</v>
      </c>
      <c r="O443" s="4">
        <f>IF(Table134[[#This Row],[check]]=1,Table134[[#This Row],[مساحت آدرس]]*Table134[[#This Row],[A0 Inc]],Table134[[#This Row],[A_tree]]*Table134[[#This Row],[اصله مستقل]])</f>
        <v>2331</v>
      </c>
      <c r="P443" s="11">
        <f>IF(Table134[[#This Row],[check]]=1,Table134[[#This Row],[A0]]/Table134[[#This Row],[اصله مستقل]],Table134[[#This Row],[A_tree]])</f>
        <v>9</v>
      </c>
    </row>
    <row r="444" spans="2:16" ht="18.600000000000001" x14ac:dyDescent="0.3">
      <c r="B444" s="4" t="s">
        <v>603</v>
      </c>
      <c r="C444" s="4">
        <v>811</v>
      </c>
      <c r="D444" s="4">
        <v>234.53333333333333</v>
      </c>
      <c r="E444" s="4">
        <v>1238</v>
      </c>
      <c r="F444" s="4">
        <v>2823</v>
      </c>
      <c r="G444" s="2" t="s">
        <v>62</v>
      </c>
      <c r="H444" s="4">
        <v>9</v>
      </c>
      <c r="I444" s="4">
        <f>Table134[[#This Row],[اصله مستقل]]*Table134[[#This Row],[A_tree]]</f>
        <v>2110.8000000000002</v>
      </c>
      <c r="J444" s="4">
        <f>IF(Table134[[#This Row],[n * A_tree ]]&gt;Table134[[#This Row],[مساحت آدرس]],1,0)</f>
        <v>0</v>
      </c>
      <c r="K444" s="8">
        <f>IF(Table134[[#This Row],[check]]=1,1,Table134[[#This Row],[A_tree]]*Table134[[#This Row],[اصله مستقل]]/Table134[[#This Row],[مساحت آدرس]])</f>
        <v>0.74771519659936247</v>
      </c>
      <c r="L444" s="14">
        <f>IF(Table134[[#This Row],[check]]=1,1,(Table134[[#This Row],[Psh]]+0.15*(1-Table134[[#This Row],[Psh]])))</f>
        <v>0.7855579171094581</v>
      </c>
      <c r="M444" s="14">
        <f>IF(Table134[[#This Row],[check]]=1,0.65,1)</f>
        <v>1</v>
      </c>
      <c r="N444" s="4">
        <v>1</v>
      </c>
      <c r="O444" s="4">
        <f>IF(Table134[[#This Row],[check]]=1,Table134[[#This Row],[مساحت آدرس]]*Table134[[#This Row],[A0 Inc]],Table134[[#This Row],[A_tree]]*Table134[[#This Row],[اصله مستقل]])</f>
        <v>2110.8000000000002</v>
      </c>
      <c r="P444" s="11">
        <f>IF(Table134[[#This Row],[check]]=1,Table134[[#This Row],[A0]]/Table134[[#This Row],[اصله مستقل]],Table134[[#This Row],[A_tree]])</f>
        <v>9</v>
      </c>
    </row>
    <row r="445" spans="2:16" ht="18.600000000000001" x14ac:dyDescent="0.3">
      <c r="B445" s="4" t="s">
        <v>604</v>
      </c>
      <c r="C445" s="4">
        <v>831</v>
      </c>
      <c r="D445" s="4">
        <v>488</v>
      </c>
      <c r="E445" s="4">
        <v>6701</v>
      </c>
      <c r="F445" s="4">
        <v>10036</v>
      </c>
      <c r="G445" s="2" t="s">
        <v>21</v>
      </c>
      <c r="H445" s="4">
        <v>9</v>
      </c>
      <c r="I445" s="4">
        <f>Table134[[#This Row],[اصله مستقل]]*Table134[[#This Row],[A_tree]]</f>
        <v>4392</v>
      </c>
      <c r="J445" s="4">
        <f>IF(Table134[[#This Row],[n * A_tree ]]&gt;Table134[[#This Row],[مساحت آدرس]],1,0)</f>
        <v>0</v>
      </c>
      <c r="K445" s="8">
        <f>IF(Table134[[#This Row],[check]]=1,1,Table134[[#This Row],[A_tree]]*Table134[[#This Row],[اصله مستقل]]/Table134[[#This Row],[مساحت آدرس]])</f>
        <v>0.43762455161418889</v>
      </c>
      <c r="L445" s="14">
        <f>IF(Table134[[#This Row],[check]]=1,1,(Table134[[#This Row],[Psh]]+0.15*(1-Table134[[#This Row],[Psh]])))</f>
        <v>0.52198086887206052</v>
      </c>
      <c r="M445" s="14">
        <f>IF(Table134[[#This Row],[check]]=1,0.65,1)</f>
        <v>1</v>
      </c>
      <c r="N445" s="4">
        <v>1</v>
      </c>
      <c r="O445" s="4">
        <f>IF(Table134[[#This Row],[check]]=1,Table134[[#This Row],[مساحت آدرس]]*Table134[[#This Row],[A0 Inc]],Table134[[#This Row],[A_tree]]*Table134[[#This Row],[اصله مستقل]])</f>
        <v>4392</v>
      </c>
      <c r="P445" s="11">
        <f>IF(Table134[[#This Row],[check]]=1,Table134[[#This Row],[A0]]/Table134[[#This Row],[اصله مستقل]],Table134[[#This Row],[A_tree]])</f>
        <v>9</v>
      </c>
    </row>
    <row r="446" spans="2:16" ht="18.600000000000001" x14ac:dyDescent="0.3">
      <c r="B446" s="4" t="s">
        <v>605</v>
      </c>
      <c r="C446" s="4">
        <v>917</v>
      </c>
      <c r="D446" s="4">
        <v>116</v>
      </c>
      <c r="E446" s="4">
        <v>2196</v>
      </c>
      <c r="F446" s="4">
        <v>5946</v>
      </c>
      <c r="G446" s="2" t="s">
        <v>21</v>
      </c>
      <c r="H446" s="4">
        <v>9</v>
      </c>
      <c r="I446" s="4">
        <f>Table134[[#This Row],[اصله مستقل]]*Table134[[#This Row],[A_tree]]</f>
        <v>1044</v>
      </c>
      <c r="J446" s="4">
        <f>IF(Table134[[#This Row],[n * A_tree ]]&gt;Table134[[#This Row],[مساحت آدرس]],1,0)</f>
        <v>0</v>
      </c>
      <c r="K446" s="8">
        <f>IF(Table134[[#This Row],[check]]=1,1,Table134[[#This Row],[A_tree]]*Table134[[#This Row],[اصله مستقل]]/Table134[[#This Row],[مساحت آدرس]])</f>
        <v>0.17558022199798184</v>
      </c>
      <c r="L446" s="14">
        <f>IF(Table134[[#This Row],[check]]=1,1,(Table134[[#This Row],[Psh]]+0.15*(1-Table134[[#This Row],[Psh]])))</f>
        <v>0.29924318869828459</v>
      </c>
      <c r="M446" s="14">
        <f>IF(Table134[[#This Row],[check]]=1,0.65,1)</f>
        <v>1</v>
      </c>
      <c r="N446" s="4">
        <v>1</v>
      </c>
      <c r="O446" s="4">
        <f>IF(Table134[[#This Row],[check]]=1,Table134[[#This Row],[مساحت آدرس]]*Table134[[#This Row],[A0 Inc]],Table134[[#This Row],[A_tree]]*Table134[[#This Row],[اصله مستقل]])</f>
        <v>1044</v>
      </c>
      <c r="P446" s="11">
        <f>IF(Table134[[#This Row],[check]]=1,Table134[[#This Row],[A0]]/Table134[[#This Row],[اصله مستقل]],Table134[[#This Row],[A_tree]])</f>
        <v>9</v>
      </c>
    </row>
    <row r="447" spans="2:16" ht="18.600000000000001" x14ac:dyDescent="0.3">
      <c r="B447" s="4" t="s">
        <v>606</v>
      </c>
      <c r="C447" s="4">
        <v>679</v>
      </c>
      <c r="D447" s="4">
        <v>486</v>
      </c>
      <c r="E447" s="4">
        <v>2400</v>
      </c>
      <c r="F447" s="4">
        <v>2470</v>
      </c>
      <c r="G447" s="2" t="s">
        <v>21</v>
      </c>
      <c r="H447" s="4">
        <v>9</v>
      </c>
      <c r="I447" s="4">
        <f>Table134[[#This Row],[اصله مستقل]]*Table134[[#This Row],[A_tree]]</f>
        <v>4374</v>
      </c>
      <c r="J447" s="4">
        <f>IF(Table134[[#This Row],[n * A_tree ]]&gt;Table134[[#This Row],[مساحت آدرس]],1,0)</f>
        <v>1</v>
      </c>
      <c r="K447" s="8">
        <f>IF(Table134[[#This Row],[check]]=1,1,Table134[[#This Row],[A_tree]]*Table134[[#This Row],[اصله مستقل]]/Table134[[#This Row],[مساحت آدرس]])</f>
        <v>1</v>
      </c>
      <c r="L447" s="14">
        <f>IF(Table134[[#This Row],[check]]=1,1,(Table134[[#This Row],[Psh]]+0.15*(1-Table134[[#This Row],[Psh]])))</f>
        <v>1</v>
      </c>
      <c r="M447" s="14">
        <f>IF(Table134[[#This Row],[check]]=1,0.65,1)</f>
        <v>0.65</v>
      </c>
      <c r="N447" s="4">
        <v>1</v>
      </c>
      <c r="O447" s="4">
        <f>IF(Table134[[#This Row],[check]]=1,Table134[[#This Row],[مساحت آدرس]]*Table134[[#This Row],[A0 Inc]],Table134[[#This Row],[A_tree]]*Table134[[#This Row],[اصله مستقل]])</f>
        <v>2470</v>
      </c>
      <c r="P447" s="11">
        <f>IF(Table134[[#This Row],[check]]=1,Table134[[#This Row],[A0]]/Table134[[#This Row],[اصله مستقل]],Table134[[#This Row],[A_tree]])</f>
        <v>5.0823045267489713</v>
      </c>
    </row>
    <row r="448" spans="2:16" ht="18.600000000000001" x14ac:dyDescent="0.3">
      <c r="B448" s="4" t="s">
        <v>608</v>
      </c>
      <c r="C448" s="4">
        <v>796</v>
      </c>
      <c r="D448" s="4">
        <v>667</v>
      </c>
      <c r="E448" s="4">
        <v>2700</v>
      </c>
      <c r="F448" s="4">
        <v>2967</v>
      </c>
      <c r="G448" s="2" t="s">
        <v>62</v>
      </c>
      <c r="H448" s="4">
        <v>9</v>
      </c>
      <c r="I448" s="4">
        <f>Table134[[#This Row],[اصله مستقل]]*Table134[[#This Row],[A_tree]]</f>
        <v>6003</v>
      </c>
      <c r="J448" s="4">
        <f>IF(Table134[[#This Row],[n * A_tree ]]&gt;Table134[[#This Row],[مساحت آدرس]],1,0)</f>
        <v>1</v>
      </c>
      <c r="K448" s="8">
        <f>IF(Table134[[#This Row],[check]]=1,1,Table134[[#This Row],[A_tree]]*Table134[[#This Row],[اصله مستقل]]/Table134[[#This Row],[مساحت آدرس]])</f>
        <v>1</v>
      </c>
      <c r="L448" s="14">
        <f>IF(Table134[[#This Row],[check]]=1,1,(Table134[[#This Row],[Psh]]+0.15*(1-Table134[[#This Row],[Psh]])))</f>
        <v>1</v>
      </c>
      <c r="M448" s="14">
        <f>IF(Table134[[#This Row],[check]]=1,0.65,1)</f>
        <v>0.65</v>
      </c>
      <c r="N448" s="4">
        <v>1</v>
      </c>
      <c r="O448" s="4">
        <f>IF(Table134[[#This Row],[check]]=1,Table134[[#This Row],[مساحت آدرس]]*Table134[[#This Row],[A0 Inc]],Table134[[#This Row],[A_tree]]*Table134[[#This Row],[اصله مستقل]])</f>
        <v>2967</v>
      </c>
      <c r="P448" s="11">
        <f>IF(Table134[[#This Row],[check]]=1,Table134[[#This Row],[A0]]/Table134[[#This Row],[اصله مستقل]],Table134[[#This Row],[A_tree]])</f>
        <v>4.4482758620689653</v>
      </c>
    </row>
    <row r="449" spans="2:16" ht="18.600000000000001" x14ac:dyDescent="0.3">
      <c r="B449" s="4" t="s">
        <v>609</v>
      </c>
      <c r="C449" s="4">
        <v>118</v>
      </c>
      <c r="D449" s="4">
        <v>15.4</v>
      </c>
      <c r="E449" s="4">
        <v>132</v>
      </c>
      <c r="F449" s="4">
        <v>264</v>
      </c>
      <c r="G449" s="2" t="s">
        <v>62</v>
      </c>
      <c r="H449" s="4">
        <v>9</v>
      </c>
      <c r="I449" s="4">
        <f>Table134[[#This Row],[اصله مستقل]]*Table134[[#This Row],[A_tree]]</f>
        <v>138.6</v>
      </c>
      <c r="J449" s="4">
        <f>IF(Table134[[#This Row],[n * A_tree ]]&gt;Table134[[#This Row],[مساحت آدرس]],1,0)</f>
        <v>0</v>
      </c>
      <c r="K449" s="8">
        <f>IF(Table134[[#This Row],[check]]=1,1,Table134[[#This Row],[A_tree]]*Table134[[#This Row],[اصله مستقل]]/Table134[[#This Row],[مساحت آدرس]])</f>
        <v>0.52500000000000002</v>
      </c>
      <c r="L449" s="14">
        <f>IF(Table134[[#This Row],[check]]=1,1,(Table134[[#This Row],[Psh]]+0.15*(1-Table134[[#This Row],[Psh]])))</f>
        <v>0.59625000000000006</v>
      </c>
      <c r="M449" s="14">
        <f>IF(Table134[[#This Row],[check]]=1,0.65,1)</f>
        <v>1</v>
      </c>
      <c r="N449" s="4">
        <v>1</v>
      </c>
      <c r="O449" s="4">
        <f>IF(Table134[[#This Row],[check]]=1,Table134[[#This Row],[مساحت آدرس]]*Table134[[#This Row],[A0 Inc]],Table134[[#This Row],[A_tree]]*Table134[[#This Row],[اصله مستقل]])</f>
        <v>138.6</v>
      </c>
      <c r="P449" s="11">
        <f>IF(Table134[[#This Row],[check]]=1,Table134[[#This Row],[A0]]/Table134[[#This Row],[اصله مستقل]],Table134[[#This Row],[A_tree]])</f>
        <v>9</v>
      </c>
    </row>
    <row r="450" spans="2:16" ht="18.600000000000001" x14ac:dyDescent="0.3">
      <c r="B450" s="4" t="s">
        <v>610</v>
      </c>
      <c r="C450" s="4">
        <v>949</v>
      </c>
      <c r="D450" s="4">
        <v>765</v>
      </c>
      <c r="E450" s="4">
        <v>3628</v>
      </c>
      <c r="F450" s="4">
        <v>4130</v>
      </c>
      <c r="G450" s="2" t="s">
        <v>62</v>
      </c>
      <c r="H450" s="4">
        <v>9</v>
      </c>
      <c r="I450" s="4">
        <f>Table134[[#This Row],[اصله مستقل]]*Table134[[#This Row],[A_tree]]</f>
        <v>6885</v>
      </c>
      <c r="J450" s="4">
        <f>IF(Table134[[#This Row],[n * A_tree ]]&gt;Table134[[#This Row],[مساحت آدرس]],1,0)</f>
        <v>1</v>
      </c>
      <c r="K450" s="8">
        <f>IF(Table134[[#This Row],[check]]=1,1,Table134[[#This Row],[A_tree]]*Table134[[#This Row],[اصله مستقل]]/Table134[[#This Row],[مساحت آدرس]])</f>
        <v>1</v>
      </c>
      <c r="L450" s="14">
        <f>IF(Table134[[#This Row],[check]]=1,1,(Table134[[#This Row],[Psh]]+0.15*(1-Table134[[#This Row],[Psh]])))</f>
        <v>1</v>
      </c>
      <c r="M450" s="14">
        <f>IF(Table134[[#This Row],[check]]=1,0.65,1)</f>
        <v>0.65</v>
      </c>
      <c r="N450" s="4">
        <v>1</v>
      </c>
      <c r="O450" s="4">
        <f>IF(Table134[[#This Row],[check]]=1,Table134[[#This Row],[مساحت آدرس]]*Table134[[#This Row],[A0 Inc]],Table134[[#This Row],[A_tree]]*Table134[[#This Row],[اصله مستقل]])</f>
        <v>4130</v>
      </c>
      <c r="P450" s="11">
        <f>IF(Table134[[#This Row],[check]]=1,Table134[[#This Row],[A0]]/Table134[[#This Row],[اصله مستقل]],Table134[[#This Row],[A_tree]])</f>
        <v>5.3986928104575167</v>
      </c>
    </row>
    <row r="451" spans="2:16" ht="18.600000000000001" x14ac:dyDescent="0.3">
      <c r="B451" s="4" t="s">
        <v>632</v>
      </c>
      <c r="C451" s="4">
        <v>548</v>
      </c>
      <c r="D451" s="4">
        <v>308</v>
      </c>
      <c r="E451" s="4">
        <v>2723</v>
      </c>
      <c r="F451" s="4">
        <v>5548</v>
      </c>
      <c r="G451" s="2" t="s">
        <v>21</v>
      </c>
      <c r="H451" s="4">
        <v>9</v>
      </c>
      <c r="I451" s="4">
        <f>Table134[[#This Row],[اصله مستقل]]*Table134[[#This Row],[A_tree]]</f>
        <v>2772</v>
      </c>
      <c r="J451" s="4">
        <f>IF(Table134[[#This Row],[n * A_tree ]]&gt;Table134[[#This Row],[مساحت آدرس]],1,0)</f>
        <v>0</v>
      </c>
      <c r="K451" s="8">
        <f>IF(Table134[[#This Row],[check]]=1,1,Table134[[#This Row],[A_tree]]*Table134[[#This Row],[اصله مستقل]]/Table134[[#This Row],[مساحت آدرس]])</f>
        <v>0.49963950973323717</v>
      </c>
      <c r="L451" s="14">
        <f>IF(Table134[[#This Row],[check]]=1,1,(Table134[[#This Row],[Psh]]+0.15*(1-Table134[[#This Row],[Psh]])))</f>
        <v>0.5746935832732516</v>
      </c>
      <c r="M451" s="14">
        <f>IF(Table134[[#This Row],[check]]=1,0.65,1)</f>
        <v>1</v>
      </c>
      <c r="N451" s="4">
        <v>1</v>
      </c>
      <c r="O451" s="4">
        <f>IF(Table134[[#This Row],[check]]=1,Table134[[#This Row],[مساحت آدرس]]*Table134[[#This Row],[A0 Inc]],Table134[[#This Row],[A_tree]]*Table134[[#This Row],[اصله مستقل]])</f>
        <v>2772</v>
      </c>
      <c r="P451" s="11">
        <f>IF(Table134[[#This Row],[check]]=1,Table134[[#This Row],[A0]]/Table134[[#This Row],[اصله مستقل]],Table134[[#This Row],[A_tree]])</f>
        <v>9</v>
      </c>
    </row>
    <row r="452" spans="2:16" ht="18.600000000000001" x14ac:dyDescent="0.3">
      <c r="B452" s="4" t="s">
        <v>633</v>
      </c>
      <c r="C452" s="4">
        <v>8207</v>
      </c>
      <c r="D452" s="4">
        <v>7527</v>
      </c>
      <c r="E452" s="4">
        <v>48809</v>
      </c>
      <c r="F452" s="4">
        <v>69925</v>
      </c>
      <c r="G452" s="2" t="s">
        <v>283</v>
      </c>
      <c r="H452" s="4">
        <v>9</v>
      </c>
      <c r="I452" s="4">
        <f>Table134[[#This Row],[اصله مستقل]]*Table134[[#This Row],[A_tree]]</f>
        <v>67743</v>
      </c>
      <c r="J452" s="4">
        <f>IF(Table134[[#This Row],[n * A_tree ]]&gt;Table134[[#This Row],[مساحت آدرس]],1,0)</f>
        <v>0</v>
      </c>
      <c r="K452" s="8">
        <f>IF(Table134[[#This Row],[check]]=1,1,Table134[[#This Row],[A_tree]]*Table134[[#This Row],[اصله مستقل]]/Table134[[#This Row],[مساحت آدرس]])</f>
        <v>0.96879513764747949</v>
      </c>
      <c r="L452" s="14">
        <f>IF(Table134[[#This Row],[check]]=1,1,(Table134[[#This Row],[Psh]]+0.15*(1-Table134[[#This Row],[Psh]])))</f>
        <v>0.9734758670003576</v>
      </c>
      <c r="M452" s="14">
        <f>IF(Table134[[#This Row],[check]]=1,0.65,1)</f>
        <v>1</v>
      </c>
      <c r="N452" s="4">
        <v>1</v>
      </c>
      <c r="O452" s="4">
        <f>IF(Table134[[#This Row],[check]]=1,Table134[[#This Row],[مساحت آدرس]]*Table134[[#This Row],[A0 Inc]],Table134[[#This Row],[A_tree]]*Table134[[#This Row],[اصله مستقل]])</f>
        <v>67743</v>
      </c>
      <c r="P452" s="11">
        <f>IF(Table134[[#This Row],[check]]=1,Table134[[#This Row],[A0]]/Table134[[#This Row],[اصله مستقل]],Table134[[#This Row],[A_tree]])</f>
        <v>9</v>
      </c>
    </row>
    <row r="453" spans="2:16" ht="18.600000000000001" x14ac:dyDescent="0.3">
      <c r="B453" s="4" t="s">
        <v>634</v>
      </c>
      <c r="C453" s="4">
        <v>3636</v>
      </c>
      <c r="D453" s="4">
        <v>2560</v>
      </c>
      <c r="E453" s="4">
        <v>30041</v>
      </c>
      <c r="F453" s="4">
        <v>61837</v>
      </c>
      <c r="G453" s="2" t="s">
        <v>283</v>
      </c>
      <c r="H453" s="4">
        <v>9</v>
      </c>
      <c r="I453" s="4">
        <f>Table134[[#This Row],[اصله مستقل]]*Table134[[#This Row],[A_tree]]</f>
        <v>23040</v>
      </c>
      <c r="J453" s="4">
        <f>IF(Table134[[#This Row],[n * A_tree ]]&gt;Table134[[#This Row],[مساحت آدرس]],1,0)</f>
        <v>0</v>
      </c>
      <c r="K453" s="8">
        <f>IF(Table134[[#This Row],[check]]=1,1,Table134[[#This Row],[A_tree]]*Table134[[#This Row],[اصله مستقل]]/Table134[[#This Row],[مساحت آدرس]])</f>
        <v>0.37259246082442549</v>
      </c>
      <c r="L453" s="14">
        <f>IF(Table134[[#This Row],[check]]=1,1,(Table134[[#This Row],[Psh]]+0.15*(1-Table134[[#This Row],[Psh]])))</f>
        <v>0.46670359170076164</v>
      </c>
      <c r="M453" s="14">
        <f>IF(Table134[[#This Row],[check]]=1,0.65,1)</f>
        <v>1</v>
      </c>
      <c r="N453" s="4">
        <v>1</v>
      </c>
      <c r="O453" s="4">
        <f>IF(Table134[[#This Row],[check]]=1,Table134[[#This Row],[مساحت آدرس]]*Table134[[#This Row],[A0 Inc]],Table134[[#This Row],[A_tree]]*Table134[[#This Row],[اصله مستقل]])</f>
        <v>23040</v>
      </c>
      <c r="P453" s="11">
        <f>IF(Table134[[#This Row],[check]]=1,Table134[[#This Row],[A0]]/Table134[[#This Row],[اصله مستقل]],Table134[[#This Row],[A_tree]])</f>
        <v>9</v>
      </c>
    </row>
    <row r="454" spans="2:16" ht="18.600000000000001" x14ac:dyDescent="0.3">
      <c r="B454" s="4" t="s">
        <v>635</v>
      </c>
      <c r="C454" s="4">
        <v>1526</v>
      </c>
      <c r="D454" s="4">
        <v>1476</v>
      </c>
      <c r="E454" s="4">
        <v>3435</v>
      </c>
      <c r="F454" s="4">
        <v>17690</v>
      </c>
      <c r="G454" s="2" t="s">
        <v>3</v>
      </c>
      <c r="H454" s="4">
        <v>9</v>
      </c>
      <c r="I454" s="4">
        <f>Table134[[#This Row],[اصله مستقل]]*Table134[[#This Row],[A_tree]]</f>
        <v>13284</v>
      </c>
      <c r="J454" s="4">
        <f>IF(Table134[[#This Row],[n * A_tree ]]&gt;Table134[[#This Row],[مساحت آدرس]],1,0)</f>
        <v>0</v>
      </c>
      <c r="K454" s="8">
        <f>IF(Table134[[#This Row],[check]]=1,1,Table134[[#This Row],[A_tree]]*Table134[[#This Row],[اصله مستقل]]/Table134[[#This Row],[مساحت آدرس]])</f>
        <v>0.75093273035613339</v>
      </c>
      <c r="L454" s="14">
        <f>IF(Table134[[#This Row],[check]]=1,1,(Table134[[#This Row],[Psh]]+0.15*(1-Table134[[#This Row],[Psh]])))</f>
        <v>0.78829282080271335</v>
      </c>
      <c r="M454" s="14">
        <f>IF(Table134[[#This Row],[check]]=1,0.65,1)</f>
        <v>1</v>
      </c>
      <c r="N454" s="4">
        <v>1</v>
      </c>
      <c r="O454" s="4">
        <f>IF(Table134[[#This Row],[check]]=1,Table134[[#This Row],[مساحت آدرس]]*Table134[[#This Row],[A0 Inc]],Table134[[#This Row],[A_tree]]*Table134[[#This Row],[اصله مستقل]])</f>
        <v>13284</v>
      </c>
      <c r="P454" s="11">
        <f>IF(Table134[[#This Row],[check]]=1,Table134[[#This Row],[A0]]/Table134[[#This Row],[اصله مستقل]],Table134[[#This Row],[A_tree]])</f>
        <v>9</v>
      </c>
    </row>
    <row r="455" spans="2:16" ht="18.600000000000001" x14ac:dyDescent="0.3">
      <c r="B455" s="4" t="s">
        <v>636</v>
      </c>
      <c r="C455" s="4">
        <v>660</v>
      </c>
      <c r="D455" s="4">
        <v>660</v>
      </c>
      <c r="E455" s="4">
        <v>3944</v>
      </c>
      <c r="F455" s="4">
        <v>13195</v>
      </c>
      <c r="G455" s="2" t="s">
        <v>283</v>
      </c>
      <c r="H455" s="4">
        <v>9</v>
      </c>
      <c r="I455" s="4">
        <f>Table134[[#This Row],[اصله مستقل]]*Table134[[#This Row],[A_tree]]</f>
        <v>5940</v>
      </c>
      <c r="J455" s="4">
        <f>IF(Table134[[#This Row],[n * A_tree ]]&gt;Table134[[#This Row],[مساحت آدرس]],1,0)</f>
        <v>0</v>
      </c>
      <c r="K455" s="8">
        <f>IF(Table134[[#This Row],[check]]=1,1,Table134[[#This Row],[A_tree]]*Table134[[#This Row],[اصله مستقل]]/Table134[[#This Row],[مساحت آدرس]])</f>
        <v>0.4501705191360364</v>
      </c>
      <c r="L455" s="14">
        <f>IF(Table134[[#This Row],[check]]=1,1,(Table134[[#This Row],[Psh]]+0.15*(1-Table134[[#This Row],[Psh]])))</f>
        <v>0.53264494126563089</v>
      </c>
      <c r="M455" s="14">
        <f>IF(Table134[[#This Row],[check]]=1,0.65,1)</f>
        <v>1</v>
      </c>
      <c r="N455" s="4">
        <v>1</v>
      </c>
      <c r="O455" s="4">
        <f>IF(Table134[[#This Row],[check]]=1,Table134[[#This Row],[مساحت آدرس]]*Table134[[#This Row],[A0 Inc]],Table134[[#This Row],[A_tree]]*Table134[[#This Row],[اصله مستقل]])</f>
        <v>5940</v>
      </c>
      <c r="P455" s="11">
        <f>IF(Table134[[#This Row],[check]]=1,Table134[[#This Row],[A0]]/Table134[[#This Row],[اصله مستقل]],Table134[[#This Row],[A_tree]])</f>
        <v>9</v>
      </c>
    </row>
    <row r="456" spans="2:16" ht="18.600000000000001" x14ac:dyDescent="0.3">
      <c r="B456" s="4" t="s">
        <v>637</v>
      </c>
      <c r="C456" s="4">
        <v>168</v>
      </c>
      <c r="D456" s="4">
        <v>168</v>
      </c>
      <c r="E456" s="4">
        <v>1172</v>
      </c>
      <c r="F456" s="4">
        <v>1256</v>
      </c>
      <c r="G456" s="2" t="s">
        <v>3</v>
      </c>
      <c r="H456" s="4">
        <v>9</v>
      </c>
      <c r="I456" s="4">
        <f>Table134[[#This Row],[اصله مستقل]]*Table134[[#This Row],[A_tree]]</f>
        <v>1512</v>
      </c>
      <c r="J456" s="4">
        <f>IF(Table134[[#This Row],[n * A_tree ]]&gt;Table134[[#This Row],[مساحت آدرس]],1,0)</f>
        <v>1</v>
      </c>
      <c r="K456" s="8">
        <f>IF(Table134[[#This Row],[check]]=1,1,Table134[[#This Row],[A_tree]]*Table134[[#This Row],[اصله مستقل]]/Table134[[#This Row],[مساحت آدرس]])</f>
        <v>1</v>
      </c>
      <c r="L456" s="14">
        <f>IF(Table134[[#This Row],[check]]=1,1,(Table134[[#This Row],[Psh]]+0.15*(1-Table134[[#This Row],[Psh]])))</f>
        <v>1</v>
      </c>
      <c r="M456" s="14">
        <f>IF(Table134[[#This Row],[check]]=1,0.65,1)</f>
        <v>0.65</v>
      </c>
      <c r="N456" s="4">
        <v>1</v>
      </c>
      <c r="O456" s="4">
        <f>IF(Table134[[#This Row],[check]]=1,Table134[[#This Row],[مساحت آدرس]]*Table134[[#This Row],[A0 Inc]],Table134[[#This Row],[A_tree]]*Table134[[#This Row],[اصله مستقل]])</f>
        <v>1256</v>
      </c>
      <c r="P456" s="11">
        <f>IF(Table134[[#This Row],[check]]=1,Table134[[#This Row],[A0]]/Table134[[#This Row],[اصله مستقل]],Table134[[#This Row],[A_tree]])</f>
        <v>7.4761904761904763</v>
      </c>
    </row>
    <row r="457" spans="2:16" ht="18.600000000000001" x14ac:dyDescent="0.3">
      <c r="B457" s="4" t="s">
        <v>638</v>
      </c>
      <c r="C457" s="4">
        <v>549</v>
      </c>
      <c r="D457" s="4">
        <v>168</v>
      </c>
      <c r="E457" s="4">
        <v>850</v>
      </c>
      <c r="F457" s="4">
        <v>15102</v>
      </c>
      <c r="G457" s="2" t="s">
        <v>62</v>
      </c>
      <c r="H457" s="4">
        <v>9</v>
      </c>
      <c r="I457" s="4">
        <f>Table134[[#This Row],[اصله مستقل]]*Table134[[#This Row],[A_tree]]</f>
        <v>1512</v>
      </c>
      <c r="J457" s="4">
        <f>IF(Table134[[#This Row],[n * A_tree ]]&gt;Table134[[#This Row],[مساحت آدرس]],1,0)</f>
        <v>0</v>
      </c>
      <c r="K457" s="8">
        <f>IF(Table134[[#This Row],[check]]=1,1,Table134[[#This Row],[A_tree]]*Table134[[#This Row],[اصله مستقل]]/Table134[[#This Row],[مساحت آدرس]])</f>
        <v>0.10011918951132301</v>
      </c>
      <c r="L457" s="14">
        <f>IF(Table134[[#This Row],[check]]=1,1,(Table134[[#This Row],[Psh]]+0.15*(1-Table134[[#This Row],[Psh]])))</f>
        <v>0.23510131108462454</v>
      </c>
      <c r="M457" s="14">
        <f>IF(Table134[[#This Row],[check]]=1,0.65,1)</f>
        <v>1</v>
      </c>
      <c r="N457" s="4">
        <v>1</v>
      </c>
      <c r="O457" s="4">
        <f>IF(Table134[[#This Row],[check]]=1,Table134[[#This Row],[مساحت آدرس]]*Table134[[#This Row],[A0 Inc]],Table134[[#This Row],[A_tree]]*Table134[[#This Row],[اصله مستقل]])</f>
        <v>1512</v>
      </c>
      <c r="P457" s="11">
        <f>IF(Table134[[#This Row],[check]]=1,Table134[[#This Row],[A0]]/Table134[[#This Row],[اصله مستقل]],Table134[[#This Row],[A_tree]])</f>
        <v>9</v>
      </c>
    </row>
    <row r="458" spans="2:16" ht="18.600000000000001" x14ac:dyDescent="0.3">
      <c r="B458" s="4" t="s">
        <v>639</v>
      </c>
      <c r="C458" s="4">
        <v>951</v>
      </c>
      <c r="D458" s="4">
        <v>951</v>
      </c>
      <c r="E458" s="4">
        <v>3800</v>
      </c>
      <c r="F458" s="4">
        <v>3800</v>
      </c>
      <c r="G458" s="2" t="s">
        <v>300</v>
      </c>
      <c r="H458" s="4">
        <v>9</v>
      </c>
      <c r="I458" s="4">
        <f>Table134[[#This Row],[اصله مستقل]]*Table134[[#This Row],[A_tree]]</f>
        <v>8559</v>
      </c>
      <c r="J458" s="4">
        <f>IF(Table134[[#This Row],[n * A_tree ]]&gt;Table134[[#This Row],[مساحت آدرس]],1,0)</f>
        <v>1</v>
      </c>
      <c r="K458" s="8">
        <f>IF(Table134[[#This Row],[check]]=1,1,Table134[[#This Row],[A_tree]]*Table134[[#This Row],[اصله مستقل]]/Table134[[#This Row],[مساحت آدرس]])</f>
        <v>1</v>
      </c>
      <c r="L458" s="14">
        <f>IF(Table134[[#This Row],[check]]=1,1,(Table134[[#This Row],[Psh]]+0.15*(1-Table134[[#This Row],[Psh]])))</f>
        <v>1</v>
      </c>
      <c r="M458" s="14">
        <f>IF(Table134[[#This Row],[check]]=1,0.65,1)</f>
        <v>0.65</v>
      </c>
      <c r="N458" s="4">
        <v>1</v>
      </c>
      <c r="O458" s="4">
        <f>IF(Table134[[#This Row],[check]]=1,Table134[[#This Row],[مساحت آدرس]]*Table134[[#This Row],[A0 Inc]],Table134[[#This Row],[A_tree]]*Table134[[#This Row],[اصله مستقل]])</f>
        <v>3800</v>
      </c>
      <c r="P458" s="11">
        <f>IF(Table134[[#This Row],[check]]=1,Table134[[#This Row],[A0]]/Table134[[#This Row],[اصله مستقل]],Table134[[#This Row],[A_tree]])</f>
        <v>3.9957939011566772</v>
      </c>
    </row>
    <row r="459" spans="2:16" ht="18.600000000000001" x14ac:dyDescent="0.3">
      <c r="B459" s="4" t="s">
        <v>640</v>
      </c>
      <c r="C459" s="4">
        <v>1051</v>
      </c>
      <c r="D459" s="4">
        <v>1051</v>
      </c>
      <c r="E459" s="4">
        <v>4200</v>
      </c>
      <c r="F459" s="4">
        <v>4200</v>
      </c>
      <c r="G459" s="2" t="s">
        <v>300</v>
      </c>
      <c r="H459" s="4">
        <v>9</v>
      </c>
      <c r="I459" s="4">
        <f>Table134[[#This Row],[اصله مستقل]]*Table134[[#This Row],[A_tree]]</f>
        <v>9459</v>
      </c>
      <c r="J459" s="4">
        <f>IF(Table134[[#This Row],[n * A_tree ]]&gt;Table134[[#This Row],[مساحت آدرس]],1,0)</f>
        <v>1</v>
      </c>
      <c r="K459" s="8">
        <f>IF(Table134[[#This Row],[check]]=1,1,Table134[[#This Row],[A_tree]]*Table134[[#This Row],[اصله مستقل]]/Table134[[#This Row],[مساحت آدرس]])</f>
        <v>1</v>
      </c>
      <c r="L459" s="14">
        <f>IF(Table134[[#This Row],[check]]=1,1,(Table134[[#This Row],[Psh]]+0.15*(1-Table134[[#This Row],[Psh]])))</f>
        <v>1</v>
      </c>
      <c r="M459" s="14">
        <f>IF(Table134[[#This Row],[check]]=1,0.65,1)</f>
        <v>0.65</v>
      </c>
      <c r="N459" s="4">
        <v>1</v>
      </c>
      <c r="O459" s="4">
        <f>IF(Table134[[#This Row],[check]]=1,Table134[[#This Row],[مساحت آدرس]]*Table134[[#This Row],[A0 Inc]],Table134[[#This Row],[A_tree]]*Table134[[#This Row],[اصله مستقل]])</f>
        <v>4200</v>
      </c>
      <c r="P459" s="11">
        <f>IF(Table134[[#This Row],[check]]=1,Table134[[#This Row],[A0]]/Table134[[#This Row],[اصله مستقل]],Table134[[#This Row],[A_tree]])</f>
        <v>3.9961941008563273</v>
      </c>
    </row>
    <row r="460" spans="2:16" ht="18.600000000000001" x14ac:dyDescent="0.3">
      <c r="B460" s="4" t="s">
        <v>643</v>
      </c>
      <c r="C460" s="4">
        <v>483</v>
      </c>
      <c r="D460" s="4">
        <v>177</v>
      </c>
      <c r="E460" s="4">
        <v>2161</v>
      </c>
      <c r="F460" s="4">
        <v>9251</v>
      </c>
      <c r="G460" s="2" t="s">
        <v>3</v>
      </c>
      <c r="H460" s="4">
        <v>9</v>
      </c>
      <c r="I460" s="4">
        <f>Table134[[#This Row],[اصله مستقل]]*Table134[[#This Row],[A_tree]]</f>
        <v>1593</v>
      </c>
      <c r="J460" s="4">
        <f>IF(Table134[[#This Row],[n * A_tree ]]&gt;Table134[[#This Row],[مساحت آدرس]],1,0)</f>
        <v>0</v>
      </c>
      <c r="K460" s="8">
        <f>IF(Table134[[#This Row],[check]]=1,1,Table134[[#This Row],[A_tree]]*Table134[[#This Row],[اصله مستقل]]/Table134[[#This Row],[مساحت آدرس]])</f>
        <v>0.1721976002594314</v>
      </c>
      <c r="L460" s="14">
        <f>IF(Table134[[#This Row],[check]]=1,1,(Table134[[#This Row],[Psh]]+0.15*(1-Table134[[#This Row],[Psh]])))</f>
        <v>0.2963679602205167</v>
      </c>
      <c r="M460" s="14">
        <f>IF(Table134[[#This Row],[check]]=1,0.65,1)</f>
        <v>1</v>
      </c>
      <c r="N460" s="4">
        <v>1</v>
      </c>
      <c r="O460" s="4">
        <f>IF(Table134[[#This Row],[check]]=1,Table134[[#This Row],[مساحت آدرس]]*Table134[[#This Row],[A0 Inc]],Table134[[#This Row],[A_tree]]*Table134[[#This Row],[اصله مستقل]])</f>
        <v>1593</v>
      </c>
      <c r="P460" s="11">
        <f>IF(Table134[[#This Row],[check]]=1,Table134[[#This Row],[A0]]/Table134[[#This Row],[اصله مستقل]],Table134[[#This Row],[A_tree]])</f>
        <v>9</v>
      </c>
    </row>
    <row r="461" spans="2:16" ht="18.600000000000001" x14ac:dyDescent="0.3">
      <c r="B461" s="4" t="s">
        <v>644</v>
      </c>
      <c r="C461" s="4">
        <v>320</v>
      </c>
      <c r="D461" s="4">
        <v>41</v>
      </c>
      <c r="E461" s="4">
        <v>41</v>
      </c>
      <c r="F461" s="4">
        <v>1963</v>
      </c>
      <c r="G461" s="2" t="s">
        <v>3</v>
      </c>
      <c r="H461" s="4">
        <v>9</v>
      </c>
      <c r="I461" s="4">
        <f>Table134[[#This Row],[اصله مستقل]]*Table134[[#This Row],[A_tree]]</f>
        <v>369</v>
      </c>
      <c r="J461" s="4">
        <f>IF(Table134[[#This Row],[n * A_tree ]]&gt;Table134[[#This Row],[مساحت آدرس]],1,0)</f>
        <v>0</v>
      </c>
      <c r="K461" s="8">
        <f>IF(Table134[[#This Row],[check]]=1,1,Table134[[#This Row],[A_tree]]*Table134[[#This Row],[اصله مستقل]]/Table134[[#This Row],[مساحت آدرس]])</f>
        <v>0.18797758532857869</v>
      </c>
      <c r="L461" s="14">
        <f>IF(Table134[[#This Row],[check]]=1,1,(Table134[[#This Row],[Psh]]+0.15*(1-Table134[[#This Row],[Psh]])))</f>
        <v>0.30978094752929186</v>
      </c>
      <c r="M461" s="14">
        <f>IF(Table134[[#This Row],[check]]=1,0.65,1)</f>
        <v>1</v>
      </c>
      <c r="N461" s="4">
        <v>1</v>
      </c>
      <c r="O461" s="4">
        <f>IF(Table134[[#This Row],[check]]=1,Table134[[#This Row],[مساحت آدرس]]*Table134[[#This Row],[A0 Inc]],Table134[[#This Row],[A_tree]]*Table134[[#This Row],[اصله مستقل]])</f>
        <v>369</v>
      </c>
      <c r="P461" s="11">
        <f>IF(Table134[[#This Row],[check]]=1,Table134[[#This Row],[A0]]/Table134[[#This Row],[اصله مستقل]],Table134[[#This Row],[A_tree]])</f>
        <v>9</v>
      </c>
    </row>
    <row r="462" spans="2:16" ht="18.600000000000001" x14ac:dyDescent="0.3">
      <c r="B462" s="4" t="s">
        <v>645</v>
      </c>
      <c r="C462" s="4">
        <v>367</v>
      </c>
      <c r="D462" s="4">
        <v>367</v>
      </c>
      <c r="E462" s="4">
        <v>497</v>
      </c>
      <c r="F462" s="4">
        <v>2113</v>
      </c>
      <c r="G462" s="2" t="s">
        <v>3</v>
      </c>
      <c r="H462" s="4">
        <v>9</v>
      </c>
      <c r="I462" s="4">
        <f>Table134[[#This Row],[اصله مستقل]]*Table134[[#This Row],[A_tree]]</f>
        <v>3303</v>
      </c>
      <c r="J462" s="4">
        <f>IF(Table134[[#This Row],[n * A_tree ]]&gt;Table134[[#This Row],[مساحت آدرس]],1,0)</f>
        <v>1</v>
      </c>
      <c r="K462" s="8">
        <f>IF(Table134[[#This Row],[check]]=1,1,Table134[[#This Row],[A_tree]]*Table134[[#This Row],[اصله مستقل]]/Table134[[#This Row],[مساحت آدرس]])</f>
        <v>1</v>
      </c>
      <c r="L462" s="14">
        <f>IF(Table134[[#This Row],[check]]=1,1,(Table134[[#This Row],[Psh]]+0.15*(1-Table134[[#This Row],[Psh]])))</f>
        <v>1</v>
      </c>
      <c r="M462" s="14">
        <f>IF(Table134[[#This Row],[check]]=1,0.65,1)</f>
        <v>0.65</v>
      </c>
      <c r="N462" s="4">
        <v>1</v>
      </c>
      <c r="O462" s="4">
        <f>IF(Table134[[#This Row],[check]]=1,Table134[[#This Row],[مساحت آدرس]]*Table134[[#This Row],[A0 Inc]],Table134[[#This Row],[A_tree]]*Table134[[#This Row],[اصله مستقل]])</f>
        <v>2113</v>
      </c>
      <c r="P462" s="11">
        <f>IF(Table134[[#This Row],[check]]=1,Table134[[#This Row],[A0]]/Table134[[#This Row],[اصله مستقل]],Table134[[#This Row],[A_tree]])</f>
        <v>5.7574931880108995</v>
      </c>
    </row>
    <row r="463" spans="2:16" ht="18.600000000000001" x14ac:dyDescent="0.3">
      <c r="B463" s="4" t="s">
        <v>646</v>
      </c>
      <c r="C463" s="4">
        <v>386</v>
      </c>
      <c r="D463" s="4">
        <v>190</v>
      </c>
      <c r="E463" s="4">
        <v>191</v>
      </c>
      <c r="F463" s="4">
        <v>1541</v>
      </c>
      <c r="G463" s="2" t="s">
        <v>21</v>
      </c>
      <c r="H463" s="4">
        <v>9</v>
      </c>
      <c r="I463" s="4">
        <f>Table134[[#This Row],[اصله مستقل]]*Table134[[#This Row],[A_tree]]</f>
        <v>1710</v>
      </c>
      <c r="J463" s="4">
        <f>IF(Table134[[#This Row],[n * A_tree ]]&gt;Table134[[#This Row],[مساحت آدرس]],1,0)</f>
        <v>1</v>
      </c>
      <c r="K463" s="8">
        <f>IF(Table134[[#This Row],[check]]=1,1,Table134[[#This Row],[A_tree]]*Table134[[#This Row],[اصله مستقل]]/Table134[[#This Row],[مساحت آدرس]])</f>
        <v>1</v>
      </c>
      <c r="L463" s="14">
        <f>IF(Table134[[#This Row],[check]]=1,1,(Table134[[#This Row],[Psh]]+0.15*(1-Table134[[#This Row],[Psh]])))</f>
        <v>1</v>
      </c>
      <c r="M463" s="14">
        <f>IF(Table134[[#This Row],[check]]=1,0.65,1)</f>
        <v>0.65</v>
      </c>
      <c r="N463" s="4">
        <v>1</v>
      </c>
      <c r="O463" s="4">
        <f>IF(Table134[[#This Row],[check]]=1,Table134[[#This Row],[مساحت آدرس]]*Table134[[#This Row],[A0 Inc]],Table134[[#This Row],[A_tree]]*Table134[[#This Row],[اصله مستقل]])</f>
        <v>1541</v>
      </c>
      <c r="P463" s="11">
        <f>IF(Table134[[#This Row],[check]]=1,Table134[[#This Row],[A0]]/Table134[[#This Row],[اصله مستقل]],Table134[[#This Row],[A_tree]])</f>
        <v>8.1105263157894729</v>
      </c>
    </row>
    <row r="464" spans="2:16" ht="18.600000000000001" x14ac:dyDescent="0.3">
      <c r="B464" s="4" t="s">
        <v>647</v>
      </c>
      <c r="C464" s="4">
        <v>128</v>
      </c>
      <c r="D464" s="4">
        <v>7</v>
      </c>
      <c r="E464" s="4">
        <v>53</v>
      </c>
      <c r="F464" s="4">
        <v>703</v>
      </c>
      <c r="G464" s="2" t="s">
        <v>21</v>
      </c>
      <c r="H464" s="4">
        <v>9</v>
      </c>
      <c r="I464" s="4">
        <f>Table134[[#This Row],[اصله مستقل]]*Table134[[#This Row],[A_tree]]</f>
        <v>63</v>
      </c>
      <c r="J464" s="4">
        <f>IF(Table134[[#This Row],[n * A_tree ]]&gt;Table134[[#This Row],[مساحت آدرس]],1,0)</f>
        <v>0</v>
      </c>
      <c r="K464" s="8">
        <f>IF(Table134[[#This Row],[check]]=1,1,Table134[[#This Row],[A_tree]]*Table134[[#This Row],[اصله مستقل]]/Table134[[#This Row],[مساحت آدرس]])</f>
        <v>8.9615931721194877E-2</v>
      </c>
      <c r="L464" s="14">
        <f>IF(Table134[[#This Row],[check]]=1,1,(Table134[[#This Row],[Psh]]+0.15*(1-Table134[[#This Row],[Psh]])))</f>
        <v>0.22617354196301565</v>
      </c>
      <c r="M464" s="14">
        <f>IF(Table134[[#This Row],[check]]=1,0.65,1)</f>
        <v>1</v>
      </c>
      <c r="N464" s="4">
        <v>1</v>
      </c>
      <c r="O464" s="4">
        <f>IF(Table134[[#This Row],[check]]=1,Table134[[#This Row],[مساحت آدرس]]*Table134[[#This Row],[A0 Inc]],Table134[[#This Row],[A_tree]]*Table134[[#This Row],[اصله مستقل]])</f>
        <v>63</v>
      </c>
      <c r="P464" s="11">
        <f>IF(Table134[[#This Row],[check]]=1,Table134[[#This Row],[A0]]/Table134[[#This Row],[اصله مستقل]],Table134[[#This Row],[A_tree]])</f>
        <v>9</v>
      </c>
    </row>
    <row r="465" spans="2:16" ht="18.600000000000001" x14ac:dyDescent="0.3">
      <c r="B465" s="4" t="s">
        <v>648</v>
      </c>
      <c r="C465" s="4">
        <v>1258</v>
      </c>
      <c r="D465" s="4">
        <v>86</v>
      </c>
      <c r="E465" s="4">
        <v>86</v>
      </c>
      <c r="F465" s="4">
        <v>86</v>
      </c>
      <c r="G465" s="2" t="s">
        <v>21</v>
      </c>
      <c r="H465" s="4">
        <v>9</v>
      </c>
      <c r="I465" s="4">
        <f>Table134[[#This Row],[اصله مستقل]]*Table134[[#This Row],[A_tree]]</f>
        <v>774</v>
      </c>
      <c r="J465" s="4">
        <f>IF(Table134[[#This Row],[n * A_tree ]]&gt;Table134[[#This Row],[مساحت آدرس]],1,0)</f>
        <v>1</v>
      </c>
      <c r="K465" s="8">
        <f>IF(Table134[[#This Row],[check]]=1,1,Table134[[#This Row],[A_tree]]*Table134[[#This Row],[اصله مستقل]]/Table134[[#This Row],[مساحت آدرس]])</f>
        <v>1</v>
      </c>
      <c r="L465" s="14">
        <f>IF(Table134[[#This Row],[check]]=1,1,(Table134[[#This Row],[Psh]]+0.15*(1-Table134[[#This Row],[Psh]])))</f>
        <v>1</v>
      </c>
      <c r="M465" s="14">
        <f>IF(Table134[[#This Row],[check]]=1,0.65,1)</f>
        <v>0.65</v>
      </c>
      <c r="N465" s="4">
        <v>1</v>
      </c>
      <c r="O465" s="4">
        <f>IF(Table134[[#This Row],[check]]=1,Table134[[#This Row],[مساحت آدرس]]*Table134[[#This Row],[A0 Inc]],Table134[[#This Row],[A_tree]]*Table134[[#This Row],[اصله مستقل]])</f>
        <v>86</v>
      </c>
      <c r="P465" s="11">
        <f>IF(Table134[[#This Row],[check]]=1,Table134[[#This Row],[A0]]/Table134[[#This Row],[اصله مستقل]],Table134[[#This Row],[A_tree]])</f>
        <v>1</v>
      </c>
    </row>
    <row r="466" spans="2:16" ht="18.600000000000001" x14ac:dyDescent="0.3">
      <c r="B466" s="4" t="s">
        <v>651</v>
      </c>
      <c r="C466" s="4">
        <v>814</v>
      </c>
      <c r="D466" s="4">
        <v>564</v>
      </c>
      <c r="E466" s="4">
        <v>546</v>
      </c>
      <c r="F466" s="4">
        <v>6431</v>
      </c>
      <c r="G466" s="2" t="s">
        <v>3</v>
      </c>
      <c r="H466" s="4">
        <v>9</v>
      </c>
      <c r="I466" s="4">
        <f>Table134[[#This Row],[اصله مستقل]]*Table134[[#This Row],[A_tree]]</f>
        <v>5076</v>
      </c>
      <c r="J466" s="4">
        <f>IF(Table134[[#This Row],[n * A_tree ]]&gt;Table134[[#This Row],[مساحت آدرس]],1,0)</f>
        <v>0</v>
      </c>
      <c r="K466" s="8">
        <f>IF(Table134[[#This Row],[check]]=1,1,Table134[[#This Row],[A_tree]]*Table134[[#This Row],[اصله مستقل]]/Table134[[#This Row],[مساحت آدرس]])</f>
        <v>0.78930181931270404</v>
      </c>
      <c r="L466" s="14">
        <f>IF(Table134[[#This Row],[check]]=1,1,(Table134[[#This Row],[Psh]]+0.15*(1-Table134[[#This Row],[Psh]])))</f>
        <v>0.82090654641579841</v>
      </c>
      <c r="M466" s="14">
        <f>IF(Table134[[#This Row],[check]]=1,0.65,1)</f>
        <v>1</v>
      </c>
      <c r="N466" s="4">
        <v>1</v>
      </c>
      <c r="O466" s="4">
        <f>IF(Table134[[#This Row],[check]]=1,Table134[[#This Row],[مساحت آدرس]]*Table134[[#This Row],[A0 Inc]],Table134[[#This Row],[A_tree]]*Table134[[#This Row],[اصله مستقل]])</f>
        <v>5076</v>
      </c>
      <c r="P466" s="11">
        <f>IF(Table134[[#This Row],[check]]=1,Table134[[#This Row],[A0]]/Table134[[#This Row],[اصله مستقل]],Table134[[#This Row],[A_tree]])</f>
        <v>9</v>
      </c>
    </row>
    <row r="467" spans="2:16" ht="18.600000000000001" x14ac:dyDescent="0.3">
      <c r="B467" s="4" t="s">
        <v>652</v>
      </c>
      <c r="C467" s="4">
        <v>355</v>
      </c>
      <c r="D467" s="4">
        <v>355</v>
      </c>
      <c r="E467" s="4">
        <v>0</v>
      </c>
      <c r="F467" s="4"/>
      <c r="G467" s="2" t="s">
        <v>21</v>
      </c>
      <c r="H467" s="4">
        <v>9</v>
      </c>
      <c r="I467" s="4">
        <f>Table134[[#This Row],[اصله مستقل]]*Table134[[#This Row],[A_tree]]</f>
        <v>3195</v>
      </c>
      <c r="J467" s="4">
        <f>IF(Table134[[#This Row],[n * A_tree ]]&gt;Table134[[#This Row],[مساحت آدرس]],1,0)</f>
        <v>1</v>
      </c>
      <c r="K467" s="8">
        <f>IF(Table134[[#This Row],[check]]=1,1,Table134[[#This Row],[A_tree]]*Table134[[#This Row],[اصله مستقل]]/Table134[[#This Row],[مساحت آدرس]])</f>
        <v>1</v>
      </c>
      <c r="L467" s="14">
        <f>IF(Table134[[#This Row],[check]]=1,1,(Table134[[#This Row],[Psh]]+0.15*(1-Table134[[#This Row],[Psh]])))</f>
        <v>1</v>
      </c>
      <c r="M467" s="14">
        <f>IF(Table134[[#This Row],[check]]=1,0.65,1)</f>
        <v>0.65</v>
      </c>
      <c r="N467" s="4">
        <v>1</v>
      </c>
      <c r="O467" s="4">
        <f>IF(Table134[[#This Row],[check]]=1,Table134[[#This Row],[مساحت آدرس]]*Table134[[#This Row],[A0 Inc]],Table134[[#This Row],[A_tree]]*Table134[[#This Row],[اصله مستقل]])</f>
        <v>0</v>
      </c>
      <c r="P467" s="11">
        <f>IF(Table134[[#This Row],[check]]=1,Table134[[#This Row],[A0]]/Table134[[#This Row],[اصله مستقل]],Table134[[#This Row],[A_tree]])</f>
        <v>0</v>
      </c>
    </row>
    <row r="468" spans="2:16" ht="18.600000000000001" x14ac:dyDescent="0.3">
      <c r="B468" s="4" t="s">
        <v>653</v>
      </c>
      <c r="C468" s="4">
        <v>519</v>
      </c>
      <c r="D468" s="4">
        <v>519</v>
      </c>
      <c r="E468" s="4">
        <v>519</v>
      </c>
      <c r="F468" s="4">
        <v>839</v>
      </c>
      <c r="G468" s="2" t="s">
        <v>21</v>
      </c>
      <c r="H468" s="4">
        <v>9</v>
      </c>
      <c r="I468" s="4">
        <f>Table134[[#This Row],[اصله مستقل]]*Table134[[#This Row],[A_tree]]</f>
        <v>4671</v>
      </c>
      <c r="J468" s="4">
        <f>IF(Table134[[#This Row],[n * A_tree ]]&gt;Table134[[#This Row],[مساحت آدرس]],1,0)</f>
        <v>1</v>
      </c>
      <c r="K468" s="8">
        <f>IF(Table134[[#This Row],[check]]=1,1,Table134[[#This Row],[A_tree]]*Table134[[#This Row],[اصله مستقل]]/Table134[[#This Row],[مساحت آدرس]])</f>
        <v>1</v>
      </c>
      <c r="L468" s="14">
        <f>IF(Table134[[#This Row],[check]]=1,1,(Table134[[#This Row],[Psh]]+0.15*(1-Table134[[#This Row],[Psh]])))</f>
        <v>1</v>
      </c>
      <c r="M468" s="14">
        <f>IF(Table134[[#This Row],[check]]=1,0.65,1)</f>
        <v>0.65</v>
      </c>
      <c r="N468" s="4">
        <v>1</v>
      </c>
      <c r="O468" s="4">
        <f>IF(Table134[[#This Row],[check]]=1,Table134[[#This Row],[مساحت آدرس]]*Table134[[#This Row],[A0 Inc]],Table134[[#This Row],[A_tree]]*Table134[[#This Row],[اصله مستقل]])</f>
        <v>839</v>
      </c>
      <c r="P468" s="11">
        <f>IF(Table134[[#This Row],[check]]=1,Table134[[#This Row],[A0]]/Table134[[#This Row],[اصله مستقل]],Table134[[#This Row],[A_tree]])</f>
        <v>1.6165703275529866</v>
      </c>
    </row>
    <row r="469" spans="2:16" ht="18.600000000000001" x14ac:dyDescent="0.3">
      <c r="B469" s="4" t="s">
        <v>654</v>
      </c>
      <c r="C469" s="4">
        <v>297</v>
      </c>
      <c r="D469" s="4">
        <v>190</v>
      </c>
      <c r="E469" s="4">
        <v>640</v>
      </c>
      <c r="F469" s="4">
        <v>6648</v>
      </c>
      <c r="G469" s="2" t="s">
        <v>3</v>
      </c>
      <c r="H469" s="4">
        <v>9</v>
      </c>
      <c r="I469" s="4">
        <f>Table134[[#This Row],[اصله مستقل]]*Table134[[#This Row],[A_tree]]</f>
        <v>1710</v>
      </c>
      <c r="J469" s="4">
        <f>IF(Table134[[#This Row],[n * A_tree ]]&gt;Table134[[#This Row],[مساحت آدرس]],1,0)</f>
        <v>0</v>
      </c>
      <c r="K469" s="8">
        <f>IF(Table134[[#This Row],[check]]=1,1,Table134[[#This Row],[A_tree]]*Table134[[#This Row],[اصله مستقل]]/Table134[[#This Row],[مساحت آدرس]])</f>
        <v>0.25722021660649819</v>
      </c>
      <c r="L469" s="14">
        <f>IF(Table134[[#This Row],[check]]=1,1,(Table134[[#This Row],[Psh]]+0.15*(1-Table134[[#This Row],[Psh]])))</f>
        <v>0.36863718411552349</v>
      </c>
      <c r="M469" s="14">
        <f>IF(Table134[[#This Row],[check]]=1,0.65,1)</f>
        <v>1</v>
      </c>
      <c r="N469" s="4">
        <v>1</v>
      </c>
      <c r="O469" s="4">
        <f>IF(Table134[[#This Row],[check]]=1,Table134[[#This Row],[مساحت آدرس]]*Table134[[#This Row],[A0 Inc]],Table134[[#This Row],[A_tree]]*Table134[[#This Row],[اصله مستقل]])</f>
        <v>1710</v>
      </c>
      <c r="P469" s="11">
        <f>IF(Table134[[#This Row],[check]]=1,Table134[[#This Row],[A0]]/Table134[[#This Row],[اصله مستقل]],Table134[[#This Row],[A_tree]])</f>
        <v>9</v>
      </c>
    </row>
    <row r="470" spans="2:16" ht="18.600000000000001" x14ac:dyDescent="0.3">
      <c r="B470" s="4" t="s">
        <v>655</v>
      </c>
      <c r="C470" s="4">
        <v>728</v>
      </c>
      <c r="D470" s="4">
        <v>728</v>
      </c>
      <c r="E470" s="4">
        <v>728</v>
      </c>
      <c r="F470" s="4">
        <v>728</v>
      </c>
      <c r="G470" s="2" t="s">
        <v>21</v>
      </c>
      <c r="H470" s="4">
        <v>9</v>
      </c>
      <c r="I470" s="4">
        <f>Table134[[#This Row],[اصله مستقل]]*Table134[[#This Row],[A_tree]]</f>
        <v>6552</v>
      </c>
      <c r="J470" s="4">
        <f>IF(Table134[[#This Row],[n * A_tree ]]&gt;Table134[[#This Row],[مساحت آدرس]],1,0)</f>
        <v>1</v>
      </c>
      <c r="K470" s="8">
        <f>IF(Table134[[#This Row],[check]]=1,1,Table134[[#This Row],[A_tree]]*Table134[[#This Row],[اصله مستقل]]/Table134[[#This Row],[مساحت آدرس]])</f>
        <v>1</v>
      </c>
      <c r="L470" s="14">
        <f>IF(Table134[[#This Row],[check]]=1,1,(Table134[[#This Row],[Psh]]+0.15*(1-Table134[[#This Row],[Psh]])))</f>
        <v>1</v>
      </c>
      <c r="M470" s="14">
        <f>IF(Table134[[#This Row],[check]]=1,0.65,1)</f>
        <v>0.65</v>
      </c>
      <c r="N470" s="4">
        <v>1</v>
      </c>
      <c r="O470" s="4">
        <f>IF(Table134[[#This Row],[check]]=1,Table134[[#This Row],[مساحت آدرس]]*Table134[[#This Row],[A0 Inc]],Table134[[#This Row],[A_tree]]*Table134[[#This Row],[اصله مستقل]])</f>
        <v>728</v>
      </c>
      <c r="P470" s="11">
        <f>IF(Table134[[#This Row],[check]]=1,Table134[[#This Row],[A0]]/Table134[[#This Row],[اصله مستقل]],Table134[[#This Row],[A_tree]])</f>
        <v>1</v>
      </c>
    </row>
    <row r="471" spans="2:16" ht="18.600000000000001" x14ac:dyDescent="0.3">
      <c r="B471" s="4" t="s">
        <v>656</v>
      </c>
      <c r="C471" s="4">
        <v>190</v>
      </c>
      <c r="D471" s="4">
        <v>190</v>
      </c>
      <c r="E471" s="4">
        <v>1500</v>
      </c>
      <c r="F471" s="4">
        <v>1500</v>
      </c>
      <c r="G471" s="2" t="s">
        <v>21</v>
      </c>
      <c r="H471" s="4">
        <v>9</v>
      </c>
      <c r="I471" s="4">
        <f>Table134[[#This Row],[اصله مستقل]]*Table134[[#This Row],[A_tree]]</f>
        <v>1710</v>
      </c>
      <c r="J471" s="4">
        <f>IF(Table134[[#This Row],[n * A_tree ]]&gt;Table134[[#This Row],[مساحت آدرس]],1,0)</f>
        <v>1</v>
      </c>
      <c r="K471" s="8">
        <f>IF(Table134[[#This Row],[check]]=1,1,Table134[[#This Row],[A_tree]]*Table134[[#This Row],[اصله مستقل]]/Table134[[#This Row],[مساحت آدرس]])</f>
        <v>1</v>
      </c>
      <c r="L471" s="14">
        <f>IF(Table134[[#This Row],[check]]=1,1,(Table134[[#This Row],[Psh]]+0.15*(1-Table134[[#This Row],[Psh]])))</f>
        <v>1</v>
      </c>
      <c r="M471" s="14">
        <f>IF(Table134[[#This Row],[check]]=1,0.65,1)</f>
        <v>0.65</v>
      </c>
      <c r="N471" s="4">
        <v>1</v>
      </c>
      <c r="O471" s="4">
        <f>IF(Table134[[#This Row],[check]]=1,Table134[[#This Row],[مساحت آدرس]]*Table134[[#This Row],[A0 Inc]],Table134[[#This Row],[A_tree]]*Table134[[#This Row],[اصله مستقل]])</f>
        <v>1500</v>
      </c>
      <c r="P471" s="11">
        <f>IF(Table134[[#This Row],[check]]=1,Table134[[#This Row],[A0]]/Table134[[#This Row],[اصله مستقل]],Table134[[#This Row],[A_tree]])</f>
        <v>7.8947368421052628</v>
      </c>
    </row>
    <row r="472" spans="2:16" ht="18.600000000000001" x14ac:dyDescent="0.3">
      <c r="B472" s="4" t="s">
        <v>657</v>
      </c>
      <c r="C472" s="4">
        <v>373</v>
      </c>
      <c r="D472" s="4">
        <v>373</v>
      </c>
      <c r="E472" s="4">
        <v>373</v>
      </c>
      <c r="F472" s="4">
        <v>373</v>
      </c>
      <c r="G472" s="2" t="s">
        <v>21</v>
      </c>
      <c r="H472" s="4">
        <v>9</v>
      </c>
      <c r="I472" s="4">
        <f>Table134[[#This Row],[اصله مستقل]]*Table134[[#This Row],[A_tree]]</f>
        <v>3357</v>
      </c>
      <c r="J472" s="4">
        <f>IF(Table134[[#This Row],[n * A_tree ]]&gt;Table134[[#This Row],[مساحت آدرس]],1,0)</f>
        <v>1</v>
      </c>
      <c r="K472" s="8">
        <f>IF(Table134[[#This Row],[check]]=1,1,Table134[[#This Row],[A_tree]]*Table134[[#This Row],[اصله مستقل]]/Table134[[#This Row],[مساحت آدرس]])</f>
        <v>1</v>
      </c>
      <c r="L472" s="14">
        <f>IF(Table134[[#This Row],[check]]=1,1,(Table134[[#This Row],[Psh]]+0.15*(1-Table134[[#This Row],[Psh]])))</f>
        <v>1</v>
      </c>
      <c r="M472" s="14">
        <f>IF(Table134[[#This Row],[check]]=1,0.65,1)</f>
        <v>0.65</v>
      </c>
      <c r="N472" s="4">
        <v>1</v>
      </c>
      <c r="O472" s="4">
        <f>IF(Table134[[#This Row],[check]]=1,Table134[[#This Row],[مساحت آدرس]]*Table134[[#This Row],[A0 Inc]],Table134[[#This Row],[A_tree]]*Table134[[#This Row],[اصله مستقل]])</f>
        <v>373</v>
      </c>
      <c r="P472" s="11">
        <f>IF(Table134[[#This Row],[check]]=1,Table134[[#This Row],[A0]]/Table134[[#This Row],[اصله مستقل]],Table134[[#This Row],[A_tree]])</f>
        <v>1</v>
      </c>
    </row>
    <row r="473" spans="2:16" ht="18.600000000000001" x14ac:dyDescent="0.3">
      <c r="B473" s="4" t="s">
        <v>658</v>
      </c>
      <c r="C473" s="4">
        <v>70</v>
      </c>
      <c r="D473" s="4">
        <v>70</v>
      </c>
      <c r="E473" s="4">
        <v>35</v>
      </c>
      <c r="F473" s="4">
        <v>509</v>
      </c>
      <c r="G473" s="2" t="s">
        <v>62</v>
      </c>
      <c r="H473" s="4">
        <v>9</v>
      </c>
      <c r="I473" s="4">
        <f>Table134[[#This Row],[اصله مستقل]]*Table134[[#This Row],[A_tree]]</f>
        <v>630</v>
      </c>
      <c r="J473" s="4">
        <f>IF(Table134[[#This Row],[n * A_tree ]]&gt;Table134[[#This Row],[مساحت آدرس]],1,0)</f>
        <v>1</v>
      </c>
      <c r="K473" s="8">
        <f>IF(Table134[[#This Row],[check]]=1,1,Table134[[#This Row],[A_tree]]*Table134[[#This Row],[اصله مستقل]]/Table134[[#This Row],[مساحت آدرس]])</f>
        <v>1</v>
      </c>
      <c r="L473" s="14">
        <f>IF(Table134[[#This Row],[check]]=1,1,(Table134[[#This Row],[Psh]]+0.15*(1-Table134[[#This Row],[Psh]])))</f>
        <v>1</v>
      </c>
      <c r="M473" s="14">
        <f>IF(Table134[[#This Row],[check]]=1,0.65,1)</f>
        <v>0.65</v>
      </c>
      <c r="N473" s="4">
        <v>1</v>
      </c>
      <c r="O473" s="4">
        <f>IF(Table134[[#This Row],[check]]=1,Table134[[#This Row],[مساحت آدرس]]*Table134[[#This Row],[A0 Inc]],Table134[[#This Row],[A_tree]]*Table134[[#This Row],[اصله مستقل]])</f>
        <v>509</v>
      </c>
      <c r="P473" s="11">
        <f>IF(Table134[[#This Row],[check]]=1,Table134[[#This Row],[A0]]/Table134[[#This Row],[اصله مستقل]],Table134[[#This Row],[A_tree]])</f>
        <v>7.2714285714285714</v>
      </c>
    </row>
    <row r="474" spans="2:16" ht="18.600000000000001" x14ac:dyDescent="0.3">
      <c r="B474" s="4" t="s">
        <v>662</v>
      </c>
      <c r="C474" s="4">
        <v>275</v>
      </c>
      <c r="D474" s="4">
        <v>275</v>
      </c>
      <c r="E474" s="4">
        <v>1100</v>
      </c>
      <c r="F474" s="4">
        <v>3975</v>
      </c>
      <c r="G474" s="2" t="s">
        <v>3</v>
      </c>
      <c r="H474" s="4">
        <v>9</v>
      </c>
      <c r="I474" s="4">
        <f>Table134[[#This Row],[اصله مستقل]]*Table134[[#This Row],[A_tree]]</f>
        <v>2475</v>
      </c>
      <c r="J474" s="4">
        <f>IF(Table134[[#This Row],[n * A_tree ]]&gt;Table134[[#This Row],[مساحت آدرس]],1,0)</f>
        <v>0</v>
      </c>
      <c r="K474" s="8">
        <f>IF(Table134[[#This Row],[check]]=1,1,Table134[[#This Row],[A_tree]]*Table134[[#This Row],[اصله مستقل]]/Table134[[#This Row],[مساحت آدرس]])</f>
        <v>0.62264150943396224</v>
      </c>
      <c r="L474" s="14">
        <f>IF(Table134[[#This Row],[check]]=1,1,(Table134[[#This Row],[Psh]]+0.15*(1-Table134[[#This Row],[Psh]])))</f>
        <v>0.67924528301886788</v>
      </c>
      <c r="M474" s="14">
        <f>IF(Table134[[#This Row],[check]]=1,0.65,1)</f>
        <v>1</v>
      </c>
      <c r="N474" s="4">
        <v>1</v>
      </c>
      <c r="O474" s="4">
        <f>IF(Table134[[#This Row],[check]]=1,Table134[[#This Row],[مساحت آدرس]]*Table134[[#This Row],[A0 Inc]],Table134[[#This Row],[A_tree]]*Table134[[#This Row],[اصله مستقل]])</f>
        <v>2475</v>
      </c>
      <c r="P474" s="11">
        <f>IF(Table134[[#This Row],[check]]=1,Table134[[#This Row],[A0]]/Table134[[#This Row],[اصله مستقل]],Table134[[#This Row],[A_tree]])</f>
        <v>9</v>
      </c>
    </row>
    <row r="475" spans="2:16" ht="18.600000000000001" x14ac:dyDescent="0.3">
      <c r="B475" s="4" t="s">
        <v>663</v>
      </c>
      <c r="C475" s="4">
        <v>315</v>
      </c>
      <c r="D475" s="4">
        <v>315</v>
      </c>
      <c r="E475" s="4">
        <v>1500</v>
      </c>
      <c r="F475" s="4">
        <v>17770</v>
      </c>
      <c r="G475" s="2" t="s">
        <v>3</v>
      </c>
      <c r="H475" s="4">
        <v>9</v>
      </c>
      <c r="I475" s="4">
        <f>Table134[[#This Row],[اصله مستقل]]*Table134[[#This Row],[A_tree]]</f>
        <v>2835</v>
      </c>
      <c r="J475" s="4">
        <f>IF(Table134[[#This Row],[n * A_tree ]]&gt;Table134[[#This Row],[مساحت آدرس]],1,0)</f>
        <v>0</v>
      </c>
      <c r="K475" s="8">
        <f>IF(Table134[[#This Row],[check]]=1,1,Table134[[#This Row],[A_tree]]*Table134[[#This Row],[اصله مستقل]]/Table134[[#This Row],[مساحت آدرس]])</f>
        <v>0.15953854811480023</v>
      </c>
      <c r="L475" s="14">
        <f>IF(Table134[[#This Row],[check]]=1,1,(Table134[[#This Row],[Psh]]+0.15*(1-Table134[[#This Row],[Psh]])))</f>
        <v>0.28560776589758019</v>
      </c>
      <c r="M475" s="14">
        <f>IF(Table134[[#This Row],[check]]=1,0.65,1)</f>
        <v>1</v>
      </c>
      <c r="N475" s="4">
        <v>1</v>
      </c>
      <c r="O475" s="4">
        <f>IF(Table134[[#This Row],[check]]=1,Table134[[#This Row],[مساحت آدرس]]*Table134[[#This Row],[A0 Inc]],Table134[[#This Row],[A_tree]]*Table134[[#This Row],[اصله مستقل]])</f>
        <v>2835</v>
      </c>
      <c r="P475" s="11">
        <f>IF(Table134[[#This Row],[check]]=1,Table134[[#This Row],[A0]]/Table134[[#This Row],[اصله مستقل]],Table134[[#This Row],[A_tree]])</f>
        <v>9</v>
      </c>
    </row>
    <row r="476" spans="2:16" ht="18.600000000000001" x14ac:dyDescent="0.3">
      <c r="B476" s="4" t="s">
        <v>664</v>
      </c>
      <c r="C476" s="4">
        <v>2860</v>
      </c>
      <c r="D476" s="4">
        <v>2698</v>
      </c>
      <c r="E476" s="4">
        <v>15308</v>
      </c>
      <c r="F476" s="4">
        <v>29658</v>
      </c>
      <c r="G476" s="2" t="s">
        <v>283</v>
      </c>
      <c r="H476" s="4">
        <v>9</v>
      </c>
      <c r="I476" s="4">
        <f>Table134[[#This Row],[اصله مستقل]]*Table134[[#This Row],[A_tree]]</f>
        <v>24282</v>
      </c>
      <c r="J476" s="4">
        <f>IF(Table134[[#This Row],[n * A_tree ]]&gt;Table134[[#This Row],[مساحت آدرس]],1,0)</f>
        <v>0</v>
      </c>
      <c r="K476" s="8">
        <f>IF(Table134[[#This Row],[check]]=1,1,Table134[[#This Row],[A_tree]]*Table134[[#This Row],[اصله مستقل]]/Table134[[#This Row],[مساحت آدرس]])</f>
        <v>0.81873356261379726</v>
      </c>
      <c r="L476" s="14">
        <f>IF(Table134[[#This Row],[check]]=1,1,(Table134[[#This Row],[Psh]]+0.15*(1-Table134[[#This Row],[Psh]])))</f>
        <v>0.84592352822172767</v>
      </c>
      <c r="M476" s="14">
        <f>IF(Table134[[#This Row],[check]]=1,0.65,1)</f>
        <v>1</v>
      </c>
      <c r="N476" s="4">
        <v>1</v>
      </c>
      <c r="O476" s="4">
        <f>IF(Table134[[#This Row],[check]]=1,Table134[[#This Row],[مساحت آدرس]]*Table134[[#This Row],[A0 Inc]],Table134[[#This Row],[A_tree]]*Table134[[#This Row],[اصله مستقل]])</f>
        <v>24282</v>
      </c>
      <c r="P476" s="11">
        <f>IF(Table134[[#This Row],[check]]=1,Table134[[#This Row],[A0]]/Table134[[#This Row],[اصله مستقل]],Table134[[#This Row],[A_tree]])</f>
        <v>9</v>
      </c>
    </row>
    <row r="477" spans="2:16" ht="18.600000000000001" x14ac:dyDescent="0.3">
      <c r="B477" s="4" t="s">
        <v>665</v>
      </c>
      <c r="C477" s="4">
        <v>577</v>
      </c>
      <c r="D477" s="4">
        <v>577</v>
      </c>
      <c r="E477" s="4">
        <v>577</v>
      </c>
      <c r="F477" s="4">
        <v>1247</v>
      </c>
      <c r="G477" s="2" t="s">
        <v>21</v>
      </c>
      <c r="H477" s="4">
        <v>9</v>
      </c>
      <c r="I477" s="4">
        <f>Table134[[#This Row],[اصله مستقل]]*Table134[[#This Row],[A_tree]]</f>
        <v>5193</v>
      </c>
      <c r="J477" s="4">
        <f>IF(Table134[[#This Row],[n * A_tree ]]&gt;Table134[[#This Row],[مساحت آدرس]],1,0)</f>
        <v>1</v>
      </c>
      <c r="K477" s="8">
        <f>IF(Table134[[#This Row],[check]]=1,1,Table134[[#This Row],[A_tree]]*Table134[[#This Row],[اصله مستقل]]/Table134[[#This Row],[مساحت آدرس]])</f>
        <v>1</v>
      </c>
      <c r="L477" s="14">
        <f>IF(Table134[[#This Row],[check]]=1,1,(Table134[[#This Row],[Psh]]+0.15*(1-Table134[[#This Row],[Psh]])))</f>
        <v>1</v>
      </c>
      <c r="M477" s="14">
        <f>IF(Table134[[#This Row],[check]]=1,0.65,1)</f>
        <v>0.65</v>
      </c>
      <c r="N477" s="4">
        <v>1</v>
      </c>
      <c r="O477" s="4">
        <f>IF(Table134[[#This Row],[check]]=1,Table134[[#This Row],[مساحت آدرس]]*Table134[[#This Row],[A0 Inc]],Table134[[#This Row],[A_tree]]*Table134[[#This Row],[اصله مستقل]])</f>
        <v>1247</v>
      </c>
      <c r="P477" s="11">
        <f>IF(Table134[[#This Row],[check]]=1,Table134[[#This Row],[A0]]/Table134[[#This Row],[اصله مستقل]],Table134[[#This Row],[A_tree]])</f>
        <v>2.1611785095320624</v>
      </c>
    </row>
    <row r="478" spans="2:16" ht="18.600000000000001" x14ac:dyDescent="0.3">
      <c r="B478" s="4" t="s">
        <v>666</v>
      </c>
      <c r="C478" s="4">
        <v>479</v>
      </c>
      <c r="D478" s="4">
        <v>384</v>
      </c>
      <c r="E478" s="4">
        <v>384</v>
      </c>
      <c r="F478" s="4">
        <v>474</v>
      </c>
      <c r="G478" s="2" t="s">
        <v>21</v>
      </c>
      <c r="H478" s="4">
        <v>9</v>
      </c>
      <c r="I478" s="4">
        <f>Table134[[#This Row],[اصله مستقل]]*Table134[[#This Row],[A_tree]]</f>
        <v>3456</v>
      </c>
      <c r="J478" s="4">
        <f>IF(Table134[[#This Row],[n * A_tree ]]&gt;Table134[[#This Row],[مساحت آدرس]],1,0)</f>
        <v>1</v>
      </c>
      <c r="K478" s="8">
        <f>IF(Table134[[#This Row],[check]]=1,1,Table134[[#This Row],[A_tree]]*Table134[[#This Row],[اصله مستقل]]/Table134[[#This Row],[مساحت آدرس]])</f>
        <v>1</v>
      </c>
      <c r="L478" s="14">
        <f>IF(Table134[[#This Row],[check]]=1,1,(Table134[[#This Row],[Psh]]+0.15*(1-Table134[[#This Row],[Psh]])))</f>
        <v>1</v>
      </c>
      <c r="M478" s="14">
        <f>IF(Table134[[#This Row],[check]]=1,0.65,1)</f>
        <v>0.65</v>
      </c>
      <c r="N478" s="4">
        <v>1</v>
      </c>
      <c r="O478" s="4">
        <f>IF(Table134[[#This Row],[check]]=1,Table134[[#This Row],[مساحت آدرس]]*Table134[[#This Row],[A0 Inc]],Table134[[#This Row],[A_tree]]*Table134[[#This Row],[اصله مستقل]])</f>
        <v>474</v>
      </c>
      <c r="P478" s="11">
        <f>IF(Table134[[#This Row],[check]]=1,Table134[[#This Row],[A0]]/Table134[[#This Row],[اصله مستقل]],Table134[[#This Row],[A_tree]])</f>
        <v>1.234375</v>
      </c>
    </row>
    <row r="479" spans="2:16" ht="18.600000000000001" x14ac:dyDescent="0.3">
      <c r="B479" s="4" t="s">
        <v>667</v>
      </c>
      <c r="C479" s="4">
        <v>238</v>
      </c>
      <c r="D479" s="4">
        <v>175</v>
      </c>
      <c r="E479" s="4">
        <v>175</v>
      </c>
      <c r="F479" s="4">
        <v>175</v>
      </c>
      <c r="G479" s="2" t="s">
        <v>21</v>
      </c>
      <c r="H479" s="4">
        <v>9</v>
      </c>
      <c r="I479" s="4">
        <f>Table134[[#This Row],[اصله مستقل]]*Table134[[#This Row],[A_tree]]</f>
        <v>1575</v>
      </c>
      <c r="J479" s="4">
        <f>IF(Table134[[#This Row],[n * A_tree ]]&gt;Table134[[#This Row],[مساحت آدرس]],1,0)</f>
        <v>1</v>
      </c>
      <c r="K479" s="8">
        <f>IF(Table134[[#This Row],[check]]=1,1,Table134[[#This Row],[A_tree]]*Table134[[#This Row],[اصله مستقل]]/Table134[[#This Row],[مساحت آدرس]])</f>
        <v>1</v>
      </c>
      <c r="L479" s="14">
        <f>IF(Table134[[#This Row],[check]]=1,1,(Table134[[#This Row],[Psh]]+0.15*(1-Table134[[#This Row],[Psh]])))</f>
        <v>1</v>
      </c>
      <c r="M479" s="14">
        <f>IF(Table134[[#This Row],[check]]=1,0.65,1)</f>
        <v>0.65</v>
      </c>
      <c r="N479" s="4">
        <v>1</v>
      </c>
      <c r="O479" s="4">
        <f>IF(Table134[[#This Row],[check]]=1,Table134[[#This Row],[مساحت آدرس]]*Table134[[#This Row],[A0 Inc]],Table134[[#This Row],[A_tree]]*Table134[[#This Row],[اصله مستقل]])</f>
        <v>175</v>
      </c>
      <c r="P479" s="11">
        <f>IF(Table134[[#This Row],[check]]=1,Table134[[#This Row],[A0]]/Table134[[#This Row],[اصله مستقل]],Table134[[#This Row],[A_tree]])</f>
        <v>1</v>
      </c>
    </row>
    <row r="480" spans="2:16" ht="18.600000000000001" x14ac:dyDescent="0.3">
      <c r="B480" s="4" t="s">
        <v>668</v>
      </c>
      <c r="C480" s="4">
        <v>825</v>
      </c>
      <c r="D480" s="4">
        <v>103</v>
      </c>
      <c r="E480" s="4">
        <v>420</v>
      </c>
      <c r="F480" s="4">
        <v>2020</v>
      </c>
      <c r="G480" s="2" t="s">
        <v>21</v>
      </c>
      <c r="H480" s="4">
        <v>9</v>
      </c>
      <c r="I480" s="4">
        <f>Table134[[#This Row],[اصله مستقل]]*Table134[[#This Row],[A_tree]]</f>
        <v>927</v>
      </c>
      <c r="J480" s="4">
        <f>IF(Table134[[#This Row],[n * A_tree ]]&gt;Table134[[#This Row],[مساحت آدرس]],1,0)</f>
        <v>0</v>
      </c>
      <c r="K480" s="8">
        <f>IF(Table134[[#This Row],[check]]=1,1,Table134[[#This Row],[A_tree]]*Table134[[#This Row],[اصله مستقل]]/Table134[[#This Row],[مساحت آدرس]])</f>
        <v>0.45891089108910893</v>
      </c>
      <c r="L480" s="14">
        <f>IF(Table134[[#This Row],[check]]=1,1,(Table134[[#This Row],[Psh]]+0.15*(1-Table134[[#This Row],[Psh]])))</f>
        <v>0.54007425742574255</v>
      </c>
      <c r="M480" s="14">
        <f>IF(Table134[[#This Row],[check]]=1,0.65,1)</f>
        <v>1</v>
      </c>
      <c r="N480" s="4">
        <v>1</v>
      </c>
      <c r="O480" s="4">
        <f>IF(Table134[[#This Row],[check]]=1,Table134[[#This Row],[مساحت آدرس]]*Table134[[#This Row],[A0 Inc]],Table134[[#This Row],[A_tree]]*Table134[[#This Row],[اصله مستقل]])</f>
        <v>927</v>
      </c>
      <c r="P480" s="11">
        <f>IF(Table134[[#This Row],[check]]=1,Table134[[#This Row],[A0]]/Table134[[#This Row],[اصله مستقل]],Table134[[#This Row],[A_tree]])</f>
        <v>9</v>
      </c>
    </row>
    <row r="481" spans="2:16" ht="18.600000000000001" x14ac:dyDescent="0.3">
      <c r="B481" s="4" t="s">
        <v>669</v>
      </c>
      <c r="C481" s="4">
        <v>386</v>
      </c>
      <c r="D481" s="4">
        <v>245</v>
      </c>
      <c r="E481" s="4">
        <v>124</v>
      </c>
      <c r="F481" s="4">
        <v>1026</v>
      </c>
      <c r="G481" s="2" t="s">
        <v>21</v>
      </c>
      <c r="H481" s="4">
        <v>9</v>
      </c>
      <c r="I481" s="4">
        <f>Table134[[#This Row],[اصله مستقل]]*Table134[[#This Row],[A_tree]]</f>
        <v>2205</v>
      </c>
      <c r="J481" s="4">
        <f>IF(Table134[[#This Row],[n * A_tree ]]&gt;Table134[[#This Row],[مساحت آدرس]],1,0)</f>
        <v>1</v>
      </c>
      <c r="K481" s="8">
        <f>IF(Table134[[#This Row],[check]]=1,1,Table134[[#This Row],[A_tree]]*Table134[[#This Row],[اصله مستقل]]/Table134[[#This Row],[مساحت آدرس]])</f>
        <v>1</v>
      </c>
      <c r="L481" s="14">
        <f>IF(Table134[[#This Row],[check]]=1,1,(Table134[[#This Row],[Psh]]+0.15*(1-Table134[[#This Row],[Psh]])))</f>
        <v>1</v>
      </c>
      <c r="M481" s="14">
        <f>IF(Table134[[#This Row],[check]]=1,0.65,1)</f>
        <v>0.65</v>
      </c>
      <c r="N481" s="4">
        <v>1</v>
      </c>
      <c r="O481" s="4">
        <f>IF(Table134[[#This Row],[check]]=1,Table134[[#This Row],[مساحت آدرس]]*Table134[[#This Row],[A0 Inc]],Table134[[#This Row],[A_tree]]*Table134[[#This Row],[اصله مستقل]])</f>
        <v>1026</v>
      </c>
      <c r="P481" s="11">
        <f>IF(Table134[[#This Row],[check]]=1,Table134[[#This Row],[A0]]/Table134[[#This Row],[اصله مستقل]],Table134[[#This Row],[A_tree]])</f>
        <v>4.1877551020408159</v>
      </c>
    </row>
    <row r="482" spans="2:16" ht="18.600000000000001" x14ac:dyDescent="0.3">
      <c r="B482" s="4" t="s">
        <v>670</v>
      </c>
      <c r="C482" s="4">
        <v>868</v>
      </c>
      <c r="D482" s="4">
        <v>755</v>
      </c>
      <c r="E482" s="4">
        <v>4800</v>
      </c>
      <c r="F482" s="4">
        <v>14589</v>
      </c>
      <c r="G482" s="2" t="s">
        <v>21</v>
      </c>
      <c r="H482" s="4">
        <v>9</v>
      </c>
      <c r="I482" s="4">
        <f>Table134[[#This Row],[اصله مستقل]]*Table134[[#This Row],[A_tree]]</f>
        <v>6795</v>
      </c>
      <c r="J482" s="4">
        <f>IF(Table134[[#This Row],[n * A_tree ]]&gt;Table134[[#This Row],[مساحت آدرس]],1,0)</f>
        <v>0</v>
      </c>
      <c r="K482" s="8">
        <f>IF(Table134[[#This Row],[check]]=1,1,Table134[[#This Row],[A_tree]]*Table134[[#This Row],[اصله مستقل]]/Table134[[#This Row],[مساحت آدرس]])</f>
        <v>0.46576187538556446</v>
      </c>
      <c r="L482" s="14">
        <f>IF(Table134[[#This Row],[check]]=1,1,(Table134[[#This Row],[Psh]]+0.15*(1-Table134[[#This Row],[Psh]])))</f>
        <v>0.54589759407772975</v>
      </c>
      <c r="M482" s="14">
        <f>IF(Table134[[#This Row],[check]]=1,0.65,1)</f>
        <v>1</v>
      </c>
      <c r="N482" s="4">
        <v>1</v>
      </c>
      <c r="O482" s="4">
        <f>IF(Table134[[#This Row],[check]]=1,Table134[[#This Row],[مساحت آدرس]]*Table134[[#This Row],[A0 Inc]],Table134[[#This Row],[A_tree]]*Table134[[#This Row],[اصله مستقل]])</f>
        <v>6795</v>
      </c>
      <c r="P482" s="11">
        <f>IF(Table134[[#This Row],[check]]=1,Table134[[#This Row],[A0]]/Table134[[#This Row],[اصله مستقل]],Table134[[#This Row],[A_tree]])</f>
        <v>9</v>
      </c>
    </row>
    <row r="483" spans="2:16" ht="18.600000000000001" x14ac:dyDescent="0.3">
      <c r="B483" s="4" t="s">
        <v>671</v>
      </c>
      <c r="C483" s="4">
        <v>530</v>
      </c>
      <c r="D483" s="4">
        <v>381</v>
      </c>
      <c r="E483" s="4">
        <v>194</v>
      </c>
      <c r="F483" s="4">
        <v>994</v>
      </c>
      <c r="G483" s="2" t="s">
        <v>21</v>
      </c>
      <c r="H483" s="4">
        <v>9</v>
      </c>
      <c r="I483" s="4">
        <f>Table134[[#This Row],[اصله مستقل]]*Table134[[#This Row],[A_tree]]</f>
        <v>3429</v>
      </c>
      <c r="J483" s="4">
        <f>IF(Table134[[#This Row],[n * A_tree ]]&gt;Table134[[#This Row],[مساحت آدرس]],1,0)</f>
        <v>1</v>
      </c>
      <c r="K483" s="8">
        <f>IF(Table134[[#This Row],[check]]=1,1,Table134[[#This Row],[A_tree]]*Table134[[#This Row],[اصله مستقل]]/Table134[[#This Row],[مساحت آدرس]])</f>
        <v>1</v>
      </c>
      <c r="L483" s="14">
        <f>IF(Table134[[#This Row],[check]]=1,1,(Table134[[#This Row],[Psh]]+0.15*(1-Table134[[#This Row],[Psh]])))</f>
        <v>1</v>
      </c>
      <c r="M483" s="14">
        <f>IF(Table134[[#This Row],[check]]=1,0.65,1)</f>
        <v>0.65</v>
      </c>
      <c r="N483" s="4">
        <v>1</v>
      </c>
      <c r="O483" s="4">
        <f>IF(Table134[[#This Row],[check]]=1,Table134[[#This Row],[مساحت آدرس]]*Table134[[#This Row],[A0 Inc]],Table134[[#This Row],[A_tree]]*Table134[[#This Row],[اصله مستقل]])</f>
        <v>994</v>
      </c>
      <c r="P483" s="11">
        <f>IF(Table134[[#This Row],[check]]=1,Table134[[#This Row],[A0]]/Table134[[#This Row],[اصله مستقل]],Table134[[#This Row],[A_tree]])</f>
        <v>2.6089238845144358</v>
      </c>
    </row>
    <row r="484" spans="2:16" ht="18.600000000000001" x14ac:dyDescent="0.3">
      <c r="B484" s="4" t="s">
        <v>672</v>
      </c>
      <c r="C484" s="4">
        <v>1075</v>
      </c>
      <c r="D484" s="4">
        <v>650</v>
      </c>
      <c r="E484" s="4">
        <v>1700</v>
      </c>
      <c r="F484" s="4">
        <v>1900</v>
      </c>
      <c r="G484" s="2" t="s">
        <v>21</v>
      </c>
      <c r="H484" s="4">
        <v>9</v>
      </c>
      <c r="I484" s="4">
        <f>Table134[[#This Row],[اصله مستقل]]*Table134[[#This Row],[A_tree]]</f>
        <v>5850</v>
      </c>
      <c r="J484" s="4">
        <f>IF(Table134[[#This Row],[n * A_tree ]]&gt;Table134[[#This Row],[مساحت آدرس]],1,0)</f>
        <v>1</v>
      </c>
      <c r="K484" s="8">
        <f>IF(Table134[[#This Row],[check]]=1,1,Table134[[#This Row],[A_tree]]*Table134[[#This Row],[اصله مستقل]]/Table134[[#This Row],[مساحت آدرس]])</f>
        <v>1</v>
      </c>
      <c r="L484" s="14">
        <f>IF(Table134[[#This Row],[check]]=1,1,(Table134[[#This Row],[Psh]]+0.15*(1-Table134[[#This Row],[Psh]])))</f>
        <v>1</v>
      </c>
      <c r="M484" s="14">
        <f>IF(Table134[[#This Row],[check]]=1,0.65,1)</f>
        <v>0.65</v>
      </c>
      <c r="N484" s="4">
        <v>1</v>
      </c>
      <c r="O484" s="4">
        <f>IF(Table134[[#This Row],[check]]=1,Table134[[#This Row],[مساحت آدرس]]*Table134[[#This Row],[A0 Inc]],Table134[[#This Row],[A_tree]]*Table134[[#This Row],[اصله مستقل]])</f>
        <v>1900</v>
      </c>
      <c r="P484" s="11">
        <f>IF(Table134[[#This Row],[check]]=1,Table134[[#This Row],[A0]]/Table134[[#This Row],[اصله مستقل]],Table134[[#This Row],[A_tree]])</f>
        <v>2.9230769230769229</v>
      </c>
    </row>
    <row r="485" spans="2:16" ht="18.600000000000001" x14ac:dyDescent="0.3">
      <c r="B485" s="4" t="s">
        <v>683</v>
      </c>
      <c r="C485" s="4">
        <v>961</v>
      </c>
      <c r="D485" s="4">
        <v>961</v>
      </c>
      <c r="E485" s="4">
        <v>12398</v>
      </c>
      <c r="F485" s="4">
        <v>15226</v>
      </c>
      <c r="G485" s="2" t="s">
        <v>300</v>
      </c>
      <c r="H485" s="4">
        <v>9</v>
      </c>
      <c r="I485" s="4">
        <f>Table134[[#This Row],[اصله مستقل]]*Table134[[#This Row],[A_tree]]</f>
        <v>8649</v>
      </c>
      <c r="J485" s="4">
        <f>IF(Table134[[#This Row],[n * A_tree ]]&gt;Table134[[#This Row],[مساحت آدرس]],1,0)</f>
        <v>0</v>
      </c>
      <c r="K485" s="8">
        <f>IF(Table134[[#This Row],[check]]=1,1,Table134[[#This Row],[A_tree]]*Table134[[#This Row],[اصله مستقل]]/Table134[[#This Row],[مساحت آدرس]])</f>
        <v>0.56804150794693287</v>
      </c>
      <c r="L485" s="14">
        <f>IF(Table134[[#This Row],[check]]=1,1,(Table134[[#This Row],[Psh]]+0.15*(1-Table134[[#This Row],[Psh]])))</f>
        <v>0.6328352817548929</v>
      </c>
      <c r="M485" s="14">
        <f>IF(Table134[[#This Row],[check]]=1,0.65,1)</f>
        <v>1</v>
      </c>
      <c r="N485" s="4">
        <v>1</v>
      </c>
      <c r="O485" s="4">
        <f>IF(Table134[[#This Row],[check]]=1,Table134[[#This Row],[مساحت آدرس]]*Table134[[#This Row],[A0 Inc]],Table134[[#This Row],[A_tree]]*Table134[[#This Row],[اصله مستقل]])</f>
        <v>8649</v>
      </c>
      <c r="P485" s="11">
        <f>IF(Table134[[#This Row],[check]]=1,Table134[[#This Row],[A0]]/Table134[[#This Row],[اصله مستقل]],Table134[[#This Row],[A_tree]])</f>
        <v>9</v>
      </c>
    </row>
    <row r="486" spans="2:16" ht="18.600000000000001" x14ac:dyDescent="0.3">
      <c r="B486" s="4" t="s">
        <v>684</v>
      </c>
      <c r="C486" s="4">
        <v>513</v>
      </c>
      <c r="D486" s="4">
        <v>530</v>
      </c>
      <c r="E486" s="4">
        <v>2652</v>
      </c>
      <c r="F486" s="4">
        <v>3616</v>
      </c>
      <c r="G486" s="2" t="s">
        <v>21</v>
      </c>
      <c r="H486" s="4">
        <v>9</v>
      </c>
      <c r="I486" s="4">
        <f>Table134[[#This Row],[اصله مستقل]]*Table134[[#This Row],[A_tree]]</f>
        <v>4770</v>
      </c>
      <c r="J486" s="4">
        <f>IF(Table134[[#This Row],[n * A_tree ]]&gt;Table134[[#This Row],[مساحت آدرس]],1,0)</f>
        <v>1</v>
      </c>
      <c r="K486" s="8">
        <f>IF(Table134[[#This Row],[check]]=1,1,Table134[[#This Row],[A_tree]]*Table134[[#This Row],[اصله مستقل]]/Table134[[#This Row],[مساحت آدرس]])</f>
        <v>1</v>
      </c>
      <c r="L486" s="14">
        <f>IF(Table134[[#This Row],[check]]=1,1,(Table134[[#This Row],[Psh]]+0.15*(1-Table134[[#This Row],[Psh]])))</f>
        <v>1</v>
      </c>
      <c r="M486" s="14">
        <f>IF(Table134[[#This Row],[check]]=1,0.65,1)</f>
        <v>0.65</v>
      </c>
      <c r="N486" s="4">
        <v>1</v>
      </c>
      <c r="O486" s="4">
        <f>IF(Table134[[#This Row],[check]]=1,Table134[[#This Row],[مساحت آدرس]]*Table134[[#This Row],[A0 Inc]],Table134[[#This Row],[A_tree]]*Table134[[#This Row],[اصله مستقل]])</f>
        <v>3616</v>
      </c>
      <c r="P486" s="11">
        <f>IF(Table134[[#This Row],[check]]=1,Table134[[#This Row],[A0]]/Table134[[#This Row],[اصله مستقل]],Table134[[#This Row],[A_tree]])</f>
        <v>6.8226415094339625</v>
      </c>
    </row>
    <row r="487" spans="2:16" ht="18.600000000000001" x14ac:dyDescent="0.3">
      <c r="B487" s="4" t="s">
        <v>685</v>
      </c>
      <c r="C487" s="4">
        <v>305</v>
      </c>
      <c r="D487" s="4">
        <v>305</v>
      </c>
      <c r="E487" s="4">
        <v>1460</v>
      </c>
      <c r="F487" s="4">
        <v>2297</v>
      </c>
      <c r="G487" s="2" t="s">
        <v>21</v>
      </c>
      <c r="H487" s="4">
        <v>9</v>
      </c>
      <c r="I487" s="4">
        <f>Table134[[#This Row],[اصله مستقل]]*Table134[[#This Row],[A_tree]]</f>
        <v>2745</v>
      </c>
      <c r="J487" s="4">
        <f>IF(Table134[[#This Row],[n * A_tree ]]&gt;Table134[[#This Row],[مساحت آدرس]],1,0)</f>
        <v>1</v>
      </c>
      <c r="K487" s="8">
        <f>IF(Table134[[#This Row],[check]]=1,1,Table134[[#This Row],[A_tree]]*Table134[[#This Row],[اصله مستقل]]/Table134[[#This Row],[مساحت آدرس]])</f>
        <v>1</v>
      </c>
      <c r="L487" s="14">
        <f>IF(Table134[[#This Row],[check]]=1,1,(Table134[[#This Row],[Psh]]+0.15*(1-Table134[[#This Row],[Psh]])))</f>
        <v>1</v>
      </c>
      <c r="M487" s="14">
        <f>IF(Table134[[#This Row],[check]]=1,0.65,1)</f>
        <v>0.65</v>
      </c>
      <c r="N487" s="4">
        <v>1</v>
      </c>
      <c r="O487" s="4">
        <f>IF(Table134[[#This Row],[check]]=1,Table134[[#This Row],[مساحت آدرس]]*Table134[[#This Row],[A0 Inc]],Table134[[#This Row],[A_tree]]*Table134[[#This Row],[اصله مستقل]])</f>
        <v>2297</v>
      </c>
      <c r="P487" s="11">
        <f>IF(Table134[[#This Row],[check]]=1,Table134[[#This Row],[A0]]/Table134[[#This Row],[اصله مستقل]],Table134[[#This Row],[A_tree]])</f>
        <v>7.5311475409836062</v>
      </c>
    </row>
    <row r="488" spans="2:16" ht="18.600000000000001" x14ac:dyDescent="0.3">
      <c r="B488" s="4" t="s">
        <v>686</v>
      </c>
      <c r="C488" s="4">
        <v>233</v>
      </c>
      <c r="D488" s="4">
        <v>208</v>
      </c>
      <c r="E488" s="4">
        <v>208</v>
      </c>
      <c r="F488" s="4">
        <v>248</v>
      </c>
      <c r="G488" s="2" t="s">
        <v>21</v>
      </c>
      <c r="H488" s="4">
        <v>9</v>
      </c>
      <c r="I488" s="4">
        <f>Table134[[#This Row],[اصله مستقل]]*Table134[[#This Row],[A_tree]]</f>
        <v>1872</v>
      </c>
      <c r="J488" s="4">
        <f>IF(Table134[[#This Row],[n * A_tree ]]&gt;Table134[[#This Row],[مساحت آدرس]],1,0)</f>
        <v>1</v>
      </c>
      <c r="K488" s="8">
        <f>IF(Table134[[#This Row],[check]]=1,1,Table134[[#This Row],[A_tree]]*Table134[[#This Row],[اصله مستقل]]/Table134[[#This Row],[مساحت آدرس]])</f>
        <v>1</v>
      </c>
      <c r="L488" s="14">
        <f>IF(Table134[[#This Row],[check]]=1,1,(Table134[[#This Row],[Psh]]+0.15*(1-Table134[[#This Row],[Psh]])))</f>
        <v>1</v>
      </c>
      <c r="M488" s="14">
        <f>IF(Table134[[#This Row],[check]]=1,0.65,1)</f>
        <v>0.65</v>
      </c>
      <c r="N488" s="4">
        <v>1</v>
      </c>
      <c r="O488" s="4">
        <f>IF(Table134[[#This Row],[check]]=1,Table134[[#This Row],[مساحت آدرس]]*Table134[[#This Row],[A0 Inc]],Table134[[#This Row],[A_tree]]*Table134[[#This Row],[اصله مستقل]])</f>
        <v>248</v>
      </c>
      <c r="P488" s="11">
        <f>IF(Table134[[#This Row],[check]]=1,Table134[[#This Row],[A0]]/Table134[[#This Row],[اصله مستقل]],Table134[[#This Row],[A_tree]])</f>
        <v>1.1923076923076923</v>
      </c>
    </row>
    <row r="489" spans="2:16" ht="18.600000000000001" x14ac:dyDescent="0.3">
      <c r="B489" s="4" t="s">
        <v>687</v>
      </c>
      <c r="C489" s="4">
        <v>258</v>
      </c>
      <c r="D489" s="4">
        <v>258</v>
      </c>
      <c r="E489" s="4">
        <v>1732</v>
      </c>
      <c r="F489" s="4">
        <v>1777</v>
      </c>
      <c r="G489" s="2" t="s">
        <v>21</v>
      </c>
      <c r="H489" s="4">
        <v>9</v>
      </c>
      <c r="I489" s="4">
        <f>Table134[[#This Row],[اصله مستقل]]*Table134[[#This Row],[A_tree]]</f>
        <v>2322</v>
      </c>
      <c r="J489" s="4">
        <f>IF(Table134[[#This Row],[n * A_tree ]]&gt;Table134[[#This Row],[مساحت آدرس]],1,0)</f>
        <v>1</v>
      </c>
      <c r="K489" s="8">
        <f>IF(Table134[[#This Row],[check]]=1,1,Table134[[#This Row],[A_tree]]*Table134[[#This Row],[اصله مستقل]]/Table134[[#This Row],[مساحت آدرس]])</f>
        <v>1</v>
      </c>
      <c r="L489" s="14">
        <f>IF(Table134[[#This Row],[check]]=1,1,(Table134[[#This Row],[Psh]]+0.15*(1-Table134[[#This Row],[Psh]])))</f>
        <v>1</v>
      </c>
      <c r="M489" s="14">
        <f>IF(Table134[[#This Row],[check]]=1,0.65,1)</f>
        <v>0.65</v>
      </c>
      <c r="N489" s="4">
        <v>1</v>
      </c>
      <c r="O489" s="4">
        <f>IF(Table134[[#This Row],[check]]=1,Table134[[#This Row],[مساحت آدرس]]*Table134[[#This Row],[A0 Inc]],Table134[[#This Row],[A_tree]]*Table134[[#This Row],[اصله مستقل]])</f>
        <v>1777</v>
      </c>
      <c r="P489" s="11">
        <f>IF(Table134[[#This Row],[check]]=1,Table134[[#This Row],[A0]]/Table134[[#This Row],[اصله مستقل]],Table134[[#This Row],[A_tree]])</f>
        <v>6.887596899224806</v>
      </c>
    </row>
    <row r="490" spans="2:16" ht="18.600000000000001" x14ac:dyDescent="0.3">
      <c r="B490" s="4" t="s">
        <v>688</v>
      </c>
      <c r="C490" s="4">
        <v>167</v>
      </c>
      <c r="D490" s="4">
        <v>150</v>
      </c>
      <c r="E490" s="4">
        <v>1369</v>
      </c>
      <c r="F490" s="4">
        <v>1779</v>
      </c>
      <c r="G490" s="2" t="s">
        <v>21</v>
      </c>
      <c r="H490" s="4">
        <v>9</v>
      </c>
      <c r="I490" s="4">
        <f>Table134[[#This Row],[اصله مستقل]]*Table134[[#This Row],[A_tree]]</f>
        <v>1350</v>
      </c>
      <c r="J490" s="4">
        <f>IF(Table134[[#This Row],[n * A_tree ]]&gt;Table134[[#This Row],[مساحت آدرس]],1,0)</f>
        <v>0</v>
      </c>
      <c r="K490" s="8">
        <f>IF(Table134[[#This Row],[check]]=1,1,Table134[[#This Row],[A_tree]]*Table134[[#This Row],[اصله مستقل]]/Table134[[#This Row],[مساحت آدرس]])</f>
        <v>0.75885328836424959</v>
      </c>
      <c r="L490" s="14">
        <f>IF(Table134[[#This Row],[check]]=1,1,(Table134[[#This Row],[Psh]]+0.15*(1-Table134[[#This Row],[Psh]])))</f>
        <v>0.79502529510961217</v>
      </c>
      <c r="M490" s="14">
        <f>IF(Table134[[#This Row],[check]]=1,0.65,1)</f>
        <v>1</v>
      </c>
      <c r="N490" s="4">
        <v>1</v>
      </c>
      <c r="O490" s="4">
        <f>IF(Table134[[#This Row],[check]]=1,Table134[[#This Row],[مساحت آدرس]]*Table134[[#This Row],[A0 Inc]],Table134[[#This Row],[A_tree]]*Table134[[#This Row],[اصله مستقل]])</f>
        <v>1350</v>
      </c>
      <c r="P490" s="11">
        <f>IF(Table134[[#This Row],[check]]=1,Table134[[#This Row],[A0]]/Table134[[#This Row],[اصله مستقل]],Table134[[#This Row],[A_tree]])</f>
        <v>9</v>
      </c>
    </row>
    <row r="491" spans="2:16" ht="18.600000000000001" x14ac:dyDescent="0.3">
      <c r="B491" s="4" t="s">
        <v>689</v>
      </c>
      <c r="C491" s="4">
        <v>67</v>
      </c>
      <c r="D491" s="4">
        <v>67</v>
      </c>
      <c r="E491" s="4">
        <v>402</v>
      </c>
      <c r="F491" s="4">
        <v>472</v>
      </c>
      <c r="G491" s="2" t="s">
        <v>21</v>
      </c>
      <c r="H491" s="4">
        <v>9</v>
      </c>
      <c r="I491" s="4">
        <f>Table134[[#This Row],[اصله مستقل]]*Table134[[#This Row],[A_tree]]</f>
        <v>603</v>
      </c>
      <c r="J491" s="4">
        <f>IF(Table134[[#This Row],[n * A_tree ]]&gt;Table134[[#This Row],[مساحت آدرس]],1,0)</f>
        <v>1</v>
      </c>
      <c r="K491" s="8">
        <f>IF(Table134[[#This Row],[check]]=1,1,Table134[[#This Row],[A_tree]]*Table134[[#This Row],[اصله مستقل]]/Table134[[#This Row],[مساحت آدرس]])</f>
        <v>1</v>
      </c>
      <c r="L491" s="14">
        <f>IF(Table134[[#This Row],[check]]=1,1,(Table134[[#This Row],[Psh]]+0.15*(1-Table134[[#This Row],[Psh]])))</f>
        <v>1</v>
      </c>
      <c r="M491" s="14">
        <f>IF(Table134[[#This Row],[check]]=1,0.65,1)</f>
        <v>0.65</v>
      </c>
      <c r="N491" s="4">
        <v>1</v>
      </c>
      <c r="O491" s="4">
        <f>IF(Table134[[#This Row],[check]]=1,Table134[[#This Row],[مساحت آدرس]]*Table134[[#This Row],[A0 Inc]],Table134[[#This Row],[A_tree]]*Table134[[#This Row],[اصله مستقل]])</f>
        <v>472</v>
      </c>
      <c r="P491" s="11">
        <f>IF(Table134[[#This Row],[check]]=1,Table134[[#This Row],[A0]]/Table134[[#This Row],[اصله مستقل]],Table134[[#This Row],[A_tree]])</f>
        <v>7.044776119402985</v>
      </c>
    </row>
    <row r="492" spans="2:16" ht="18.600000000000001" x14ac:dyDescent="0.3">
      <c r="B492" s="4" t="s">
        <v>690</v>
      </c>
      <c r="C492" s="4">
        <v>1119</v>
      </c>
      <c r="D492" s="4">
        <v>820</v>
      </c>
      <c r="E492" s="4">
        <v>820</v>
      </c>
      <c r="F492" s="4">
        <v>5005</v>
      </c>
      <c r="G492" s="2" t="s">
        <v>21</v>
      </c>
      <c r="H492" s="4">
        <v>9</v>
      </c>
      <c r="I492" s="4">
        <f>Table134[[#This Row],[اصله مستقل]]*Table134[[#This Row],[A_tree]]</f>
        <v>7380</v>
      </c>
      <c r="J492" s="4">
        <f>IF(Table134[[#This Row],[n * A_tree ]]&gt;Table134[[#This Row],[مساحت آدرس]],1,0)</f>
        <v>1</v>
      </c>
      <c r="K492" s="8">
        <f>IF(Table134[[#This Row],[check]]=1,1,Table134[[#This Row],[A_tree]]*Table134[[#This Row],[اصله مستقل]]/Table134[[#This Row],[مساحت آدرس]])</f>
        <v>1</v>
      </c>
      <c r="L492" s="14">
        <f>IF(Table134[[#This Row],[check]]=1,1,(Table134[[#This Row],[Psh]]+0.15*(1-Table134[[#This Row],[Psh]])))</f>
        <v>1</v>
      </c>
      <c r="M492" s="14">
        <f>IF(Table134[[#This Row],[check]]=1,0.65,1)</f>
        <v>0.65</v>
      </c>
      <c r="N492" s="4">
        <v>1</v>
      </c>
      <c r="O492" s="4">
        <f>IF(Table134[[#This Row],[check]]=1,Table134[[#This Row],[مساحت آدرس]]*Table134[[#This Row],[A0 Inc]],Table134[[#This Row],[A_tree]]*Table134[[#This Row],[اصله مستقل]])</f>
        <v>5005</v>
      </c>
      <c r="P492" s="11">
        <f>IF(Table134[[#This Row],[check]]=1,Table134[[#This Row],[A0]]/Table134[[#This Row],[اصله مستقل]],Table134[[#This Row],[A_tree]])</f>
        <v>6.1036585365853657</v>
      </c>
    </row>
    <row r="493" spans="2:16" ht="18.600000000000001" x14ac:dyDescent="0.3">
      <c r="B493" s="4" t="s">
        <v>691</v>
      </c>
      <c r="C493" s="4">
        <v>899</v>
      </c>
      <c r="D493" s="4">
        <v>867</v>
      </c>
      <c r="E493" s="4">
        <v>3780</v>
      </c>
      <c r="F493" s="4">
        <v>4125</v>
      </c>
      <c r="G493" s="2" t="s">
        <v>21</v>
      </c>
      <c r="H493" s="4">
        <v>9</v>
      </c>
      <c r="I493" s="4">
        <f>Table134[[#This Row],[اصله مستقل]]*Table134[[#This Row],[A_tree]]</f>
        <v>7803</v>
      </c>
      <c r="J493" s="4">
        <f>IF(Table134[[#This Row],[n * A_tree ]]&gt;Table134[[#This Row],[مساحت آدرس]],1,0)</f>
        <v>1</v>
      </c>
      <c r="K493" s="8">
        <f>IF(Table134[[#This Row],[check]]=1,1,Table134[[#This Row],[A_tree]]*Table134[[#This Row],[اصله مستقل]]/Table134[[#This Row],[مساحت آدرس]])</f>
        <v>1</v>
      </c>
      <c r="L493" s="14">
        <f>IF(Table134[[#This Row],[check]]=1,1,(Table134[[#This Row],[Psh]]+0.15*(1-Table134[[#This Row],[Psh]])))</f>
        <v>1</v>
      </c>
      <c r="M493" s="14">
        <f>IF(Table134[[#This Row],[check]]=1,0.65,1)</f>
        <v>0.65</v>
      </c>
      <c r="N493" s="4">
        <v>1</v>
      </c>
      <c r="O493" s="4">
        <f>IF(Table134[[#This Row],[check]]=1,Table134[[#This Row],[مساحت آدرس]]*Table134[[#This Row],[A0 Inc]],Table134[[#This Row],[A_tree]]*Table134[[#This Row],[اصله مستقل]])</f>
        <v>4125</v>
      </c>
      <c r="P493" s="11">
        <f>IF(Table134[[#This Row],[check]]=1,Table134[[#This Row],[A0]]/Table134[[#This Row],[اصله مستقل]],Table134[[#This Row],[A_tree]])</f>
        <v>4.757785467128028</v>
      </c>
    </row>
    <row r="494" spans="2:16" ht="18.600000000000001" x14ac:dyDescent="0.3">
      <c r="B494" s="4" t="s">
        <v>692</v>
      </c>
      <c r="C494" s="4">
        <v>422</v>
      </c>
      <c r="D494" s="4">
        <v>412</v>
      </c>
      <c r="E494" s="4">
        <v>412</v>
      </c>
      <c r="F494" s="4">
        <v>424</v>
      </c>
      <c r="G494" s="2" t="s">
        <v>21</v>
      </c>
      <c r="H494" s="4">
        <v>9</v>
      </c>
      <c r="I494" s="4">
        <f>Table134[[#This Row],[اصله مستقل]]*Table134[[#This Row],[A_tree]]</f>
        <v>3708</v>
      </c>
      <c r="J494" s="4">
        <f>IF(Table134[[#This Row],[n * A_tree ]]&gt;Table134[[#This Row],[مساحت آدرس]],1,0)</f>
        <v>1</v>
      </c>
      <c r="K494" s="8">
        <f>IF(Table134[[#This Row],[check]]=1,1,Table134[[#This Row],[A_tree]]*Table134[[#This Row],[اصله مستقل]]/Table134[[#This Row],[مساحت آدرس]])</f>
        <v>1</v>
      </c>
      <c r="L494" s="14">
        <f>IF(Table134[[#This Row],[check]]=1,1,(Table134[[#This Row],[Psh]]+0.15*(1-Table134[[#This Row],[Psh]])))</f>
        <v>1</v>
      </c>
      <c r="M494" s="14">
        <f>IF(Table134[[#This Row],[check]]=1,0.65,1)</f>
        <v>0.65</v>
      </c>
      <c r="N494" s="4">
        <v>1</v>
      </c>
      <c r="O494" s="4">
        <f>IF(Table134[[#This Row],[check]]=1,Table134[[#This Row],[مساحت آدرس]]*Table134[[#This Row],[A0 Inc]],Table134[[#This Row],[A_tree]]*Table134[[#This Row],[اصله مستقل]])</f>
        <v>424</v>
      </c>
      <c r="P494" s="11">
        <f>IF(Table134[[#This Row],[check]]=1,Table134[[#This Row],[A0]]/Table134[[#This Row],[اصله مستقل]],Table134[[#This Row],[A_tree]])</f>
        <v>1.029126213592233</v>
      </c>
    </row>
    <row r="495" spans="2:16" ht="18.600000000000001" x14ac:dyDescent="0.3">
      <c r="B495" s="4" t="s">
        <v>693</v>
      </c>
      <c r="C495" s="4">
        <v>540</v>
      </c>
      <c r="D495" s="4">
        <v>370</v>
      </c>
      <c r="E495" s="4">
        <v>370</v>
      </c>
      <c r="F495" s="4">
        <v>430</v>
      </c>
      <c r="G495" s="2" t="s">
        <v>21</v>
      </c>
      <c r="H495" s="4">
        <v>9</v>
      </c>
      <c r="I495" s="4">
        <f>Table134[[#This Row],[اصله مستقل]]*Table134[[#This Row],[A_tree]]</f>
        <v>3330</v>
      </c>
      <c r="J495" s="4">
        <f>IF(Table134[[#This Row],[n * A_tree ]]&gt;Table134[[#This Row],[مساحت آدرس]],1,0)</f>
        <v>1</v>
      </c>
      <c r="K495" s="8">
        <f>IF(Table134[[#This Row],[check]]=1,1,Table134[[#This Row],[A_tree]]*Table134[[#This Row],[اصله مستقل]]/Table134[[#This Row],[مساحت آدرس]])</f>
        <v>1</v>
      </c>
      <c r="L495" s="14">
        <f>IF(Table134[[#This Row],[check]]=1,1,(Table134[[#This Row],[Psh]]+0.15*(1-Table134[[#This Row],[Psh]])))</f>
        <v>1</v>
      </c>
      <c r="M495" s="14">
        <f>IF(Table134[[#This Row],[check]]=1,0.65,1)</f>
        <v>0.65</v>
      </c>
      <c r="N495" s="4">
        <v>1</v>
      </c>
      <c r="O495" s="4">
        <f>IF(Table134[[#This Row],[check]]=1,Table134[[#This Row],[مساحت آدرس]]*Table134[[#This Row],[A0 Inc]],Table134[[#This Row],[A_tree]]*Table134[[#This Row],[اصله مستقل]])</f>
        <v>430</v>
      </c>
      <c r="P495" s="11">
        <f>IF(Table134[[#This Row],[check]]=1,Table134[[#This Row],[A0]]/Table134[[#This Row],[اصله مستقل]],Table134[[#This Row],[A_tree]])</f>
        <v>1.1621621621621621</v>
      </c>
    </row>
    <row r="496" spans="2:16" ht="18.600000000000001" x14ac:dyDescent="0.3">
      <c r="B496" s="4" t="s">
        <v>694</v>
      </c>
      <c r="C496" s="4">
        <v>84</v>
      </c>
      <c r="D496" s="4">
        <v>84</v>
      </c>
      <c r="E496" s="4">
        <v>84</v>
      </c>
      <c r="F496" s="4">
        <v>219</v>
      </c>
      <c r="G496" s="2" t="s">
        <v>21</v>
      </c>
      <c r="H496" s="4">
        <v>9</v>
      </c>
      <c r="I496" s="4">
        <f>Table134[[#This Row],[اصله مستقل]]*Table134[[#This Row],[A_tree]]</f>
        <v>756</v>
      </c>
      <c r="J496" s="4">
        <f>IF(Table134[[#This Row],[n * A_tree ]]&gt;Table134[[#This Row],[مساحت آدرس]],1,0)</f>
        <v>1</v>
      </c>
      <c r="K496" s="8">
        <f>IF(Table134[[#This Row],[check]]=1,1,Table134[[#This Row],[A_tree]]*Table134[[#This Row],[اصله مستقل]]/Table134[[#This Row],[مساحت آدرس]])</f>
        <v>1</v>
      </c>
      <c r="L496" s="14">
        <f>IF(Table134[[#This Row],[check]]=1,1,(Table134[[#This Row],[Psh]]+0.15*(1-Table134[[#This Row],[Psh]])))</f>
        <v>1</v>
      </c>
      <c r="M496" s="14">
        <f>IF(Table134[[#This Row],[check]]=1,0.65,1)</f>
        <v>0.65</v>
      </c>
      <c r="N496" s="4">
        <v>1</v>
      </c>
      <c r="O496" s="4">
        <f>IF(Table134[[#This Row],[check]]=1,Table134[[#This Row],[مساحت آدرس]]*Table134[[#This Row],[A0 Inc]],Table134[[#This Row],[A_tree]]*Table134[[#This Row],[اصله مستقل]])</f>
        <v>219</v>
      </c>
      <c r="P496" s="11">
        <f>IF(Table134[[#This Row],[check]]=1,Table134[[#This Row],[A0]]/Table134[[#This Row],[اصله مستقل]],Table134[[#This Row],[A_tree]])</f>
        <v>2.6071428571428572</v>
      </c>
    </row>
    <row r="497" spans="2:16" ht="18.600000000000001" x14ac:dyDescent="0.3">
      <c r="B497" s="4" t="s">
        <v>695</v>
      </c>
      <c r="C497" s="4">
        <v>1320</v>
      </c>
      <c r="D497" s="4">
        <v>172</v>
      </c>
      <c r="E497" s="4">
        <v>8700</v>
      </c>
      <c r="F497" s="4">
        <v>10023</v>
      </c>
      <c r="G497" s="2" t="s">
        <v>300</v>
      </c>
      <c r="H497" s="4">
        <v>9</v>
      </c>
      <c r="I497" s="4">
        <f>Table134[[#This Row],[اصله مستقل]]*Table134[[#This Row],[A_tree]]</f>
        <v>1548</v>
      </c>
      <c r="J497" s="4">
        <f>IF(Table134[[#This Row],[n * A_tree ]]&gt;Table134[[#This Row],[مساحت آدرس]],1,0)</f>
        <v>0</v>
      </c>
      <c r="K497" s="8">
        <f>IF(Table134[[#This Row],[check]]=1,1,Table134[[#This Row],[A_tree]]*Table134[[#This Row],[اصله مستقل]]/Table134[[#This Row],[مساحت آدرس]])</f>
        <v>0.1544447770128704</v>
      </c>
      <c r="L497" s="14">
        <f>IF(Table134[[#This Row],[check]]=1,1,(Table134[[#This Row],[Psh]]+0.15*(1-Table134[[#This Row],[Psh]])))</f>
        <v>0.28127806046093984</v>
      </c>
      <c r="M497" s="14">
        <f>IF(Table134[[#This Row],[check]]=1,0.65,1)</f>
        <v>1</v>
      </c>
      <c r="N497" s="4">
        <v>1</v>
      </c>
      <c r="O497" s="4">
        <f>IF(Table134[[#This Row],[check]]=1,Table134[[#This Row],[مساحت آدرس]]*Table134[[#This Row],[A0 Inc]],Table134[[#This Row],[A_tree]]*Table134[[#This Row],[اصله مستقل]])</f>
        <v>1548</v>
      </c>
      <c r="P497" s="11">
        <f>IF(Table134[[#This Row],[check]]=1,Table134[[#This Row],[A0]]/Table134[[#This Row],[اصله مستقل]],Table134[[#This Row],[A_tree]])</f>
        <v>9</v>
      </c>
    </row>
    <row r="498" spans="2:16" ht="18.600000000000001" x14ac:dyDescent="0.3">
      <c r="B498" s="4" t="s">
        <v>696</v>
      </c>
      <c r="C498" s="4">
        <v>340</v>
      </c>
      <c r="D498" s="4">
        <v>90</v>
      </c>
      <c r="E498" s="4">
        <v>90</v>
      </c>
      <c r="F498" s="4">
        <v>450</v>
      </c>
      <c r="G498" s="2" t="s">
        <v>62</v>
      </c>
      <c r="H498" s="4">
        <v>9</v>
      </c>
      <c r="I498" s="4">
        <f>Table134[[#This Row],[اصله مستقل]]*Table134[[#This Row],[A_tree]]</f>
        <v>810</v>
      </c>
      <c r="J498" s="4">
        <f>IF(Table134[[#This Row],[n * A_tree ]]&gt;Table134[[#This Row],[مساحت آدرس]],1,0)</f>
        <v>1</v>
      </c>
      <c r="K498" s="8">
        <f>IF(Table134[[#This Row],[check]]=1,1,Table134[[#This Row],[A_tree]]*Table134[[#This Row],[اصله مستقل]]/Table134[[#This Row],[مساحت آدرس]])</f>
        <v>1</v>
      </c>
      <c r="L498" s="14">
        <f>IF(Table134[[#This Row],[check]]=1,1,(Table134[[#This Row],[Psh]]+0.15*(1-Table134[[#This Row],[Psh]])))</f>
        <v>1</v>
      </c>
      <c r="M498" s="14">
        <f>IF(Table134[[#This Row],[check]]=1,0.65,1)</f>
        <v>0.65</v>
      </c>
      <c r="N498" s="4">
        <v>1</v>
      </c>
      <c r="O498" s="4">
        <f>IF(Table134[[#This Row],[check]]=1,Table134[[#This Row],[مساحت آدرس]]*Table134[[#This Row],[A0 Inc]],Table134[[#This Row],[A_tree]]*Table134[[#This Row],[اصله مستقل]])</f>
        <v>450</v>
      </c>
      <c r="P498" s="11">
        <f>IF(Table134[[#This Row],[check]]=1,Table134[[#This Row],[A0]]/Table134[[#This Row],[اصله مستقل]],Table134[[#This Row],[A_tree]])</f>
        <v>5</v>
      </c>
    </row>
    <row r="499" spans="2:16" ht="18.600000000000001" x14ac:dyDescent="0.3">
      <c r="B499" s="4" t="s">
        <v>697</v>
      </c>
      <c r="C499" s="4">
        <v>290</v>
      </c>
      <c r="D499" s="4">
        <v>290</v>
      </c>
      <c r="E499" s="4">
        <v>0</v>
      </c>
      <c r="F499" s="4"/>
      <c r="G499" s="2" t="s">
        <v>62</v>
      </c>
      <c r="H499" s="4">
        <v>9</v>
      </c>
      <c r="I499" s="4">
        <f>Table134[[#This Row],[اصله مستقل]]*Table134[[#This Row],[A_tree]]</f>
        <v>2610</v>
      </c>
      <c r="J499" s="4">
        <f>IF(Table134[[#This Row],[n * A_tree ]]&gt;Table134[[#This Row],[مساحت آدرس]],1,0)</f>
        <v>1</v>
      </c>
      <c r="K499" s="8">
        <f>IF(Table134[[#This Row],[check]]=1,1,Table134[[#This Row],[A_tree]]*Table134[[#This Row],[اصله مستقل]]/Table134[[#This Row],[مساحت آدرس]])</f>
        <v>1</v>
      </c>
      <c r="L499" s="14">
        <f>IF(Table134[[#This Row],[check]]=1,1,(Table134[[#This Row],[Psh]]+0.15*(1-Table134[[#This Row],[Psh]])))</f>
        <v>1</v>
      </c>
      <c r="M499" s="14">
        <f>IF(Table134[[#This Row],[check]]=1,0.65,1)</f>
        <v>0.65</v>
      </c>
      <c r="N499" s="4">
        <v>1</v>
      </c>
      <c r="O499" s="4">
        <f>IF(Table134[[#This Row],[check]]=1,Table134[[#This Row],[مساحت آدرس]]*Table134[[#This Row],[A0 Inc]],Table134[[#This Row],[A_tree]]*Table134[[#This Row],[اصله مستقل]])</f>
        <v>0</v>
      </c>
      <c r="P499" s="11">
        <f>IF(Table134[[#This Row],[check]]=1,Table134[[#This Row],[A0]]/Table134[[#This Row],[اصله مستقل]],Table134[[#This Row],[A_tree]])</f>
        <v>0</v>
      </c>
    </row>
    <row r="500" spans="2:16" ht="18.600000000000001" x14ac:dyDescent="0.3">
      <c r="B500" s="4" t="s">
        <v>698</v>
      </c>
      <c r="C500" s="4">
        <v>90</v>
      </c>
      <c r="D500" s="4">
        <v>22</v>
      </c>
      <c r="E500" s="4">
        <v>795</v>
      </c>
      <c r="F500" s="4">
        <v>1070</v>
      </c>
      <c r="G500" s="2" t="s">
        <v>62</v>
      </c>
      <c r="H500" s="4">
        <v>9</v>
      </c>
      <c r="I500" s="4">
        <f>Table134[[#This Row],[اصله مستقل]]*Table134[[#This Row],[A_tree]]</f>
        <v>198</v>
      </c>
      <c r="J500" s="4">
        <f>IF(Table134[[#This Row],[n * A_tree ]]&gt;Table134[[#This Row],[مساحت آدرس]],1,0)</f>
        <v>0</v>
      </c>
      <c r="K500" s="8">
        <f>IF(Table134[[#This Row],[check]]=1,1,Table134[[#This Row],[A_tree]]*Table134[[#This Row],[اصله مستقل]]/Table134[[#This Row],[مساحت آدرس]])</f>
        <v>0.18504672897196262</v>
      </c>
      <c r="L500" s="14">
        <f>IF(Table134[[#This Row],[check]]=1,1,(Table134[[#This Row],[Psh]]+0.15*(1-Table134[[#This Row],[Psh]])))</f>
        <v>0.30728971962616825</v>
      </c>
      <c r="M500" s="14">
        <f>IF(Table134[[#This Row],[check]]=1,0.65,1)</f>
        <v>1</v>
      </c>
      <c r="N500" s="4">
        <v>1</v>
      </c>
      <c r="O500" s="4">
        <f>IF(Table134[[#This Row],[check]]=1,Table134[[#This Row],[مساحت آدرس]]*Table134[[#This Row],[A0 Inc]],Table134[[#This Row],[A_tree]]*Table134[[#This Row],[اصله مستقل]])</f>
        <v>198</v>
      </c>
      <c r="P500" s="11">
        <f>IF(Table134[[#This Row],[check]]=1,Table134[[#This Row],[A0]]/Table134[[#This Row],[اصله مستقل]],Table134[[#This Row],[A_tree]])</f>
        <v>9</v>
      </c>
    </row>
    <row r="501" spans="2:16" ht="18.600000000000001" x14ac:dyDescent="0.3">
      <c r="B501" s="4" t="s">
        <v>699</v>
      </c>
      <c r="C501" s="4">
        <v>835</v>
      </c>
      <c r="D501" s="4">
        <v>810</v>
      </c>
      <c r="E501" s="4">
        <v>1875</v>
      </c>
      <c r="F501" s="4">
        <v>8655</v>
      </c>
      <c r="G501" s="2" t="s">
        <v>66</v>
      </c>
      <c r="H501" s="4">
        <v>9</v>
      </c>
      <c r="I501" s="4">
        <f>Table134[[#This Row],[اصله مستقل]]*Table134[[#This Row],[A_tree]]</f>
        <v>7290</v>
      </c>
      <c r="J501" s="4">
        <f>IF(Table134[[#This Row],[n * A_tree ]]&gt;Table134[[#This Row],[مساحت آدرس]],1,0)</f>
        <v>0</v>
      </c>
      <c r="K501" s="8">
        <f>IF(Table134[[#This Row],[check]]=1,1,Table134[[#This Row],[A_tree]]*Table134[[#This Row],[اصله مستقل]]/Table134[[#This Row],[مساحت آدرس]])</f>
        <v>0.84228769497400346</v>
      </c>
      <c r="L501" s="14">
        <f>IF(Table134[[#This Row],[check]]=1,1,(Table134[[#This Row],[Psh]]+0.15*(1-Table134[[#This Row],[Psh]])))</f>
        <v>0.86594454072790294</v>
      </c>
      <c r="M501" s="14">
        <f>IF(Table134[[#This Row],[check]]=1,0.65,1)</f>
        <v>1</v>
      </c>
      <c r="N501" s="4">
        <v>1</v>
      </c>
      <c r="O501" s="4">
        <f>IF(Table134[[#This Row],[check]]=1,Table134[[#This Row],[مساحت آدرس]]*Table134[[#This Row],[A0 Inc]],Table134[[#This Row],[A_tree]]*Table134[[#This Row],[اصله مستقل]])</f>
        <v>7290</v>
      </c>
      <c r="P501" s="11">
        <f>IF(Table134[[#This Row],[check]]=1,Table134[[#This Row],[A0]]/Table134[[#This Row],[اصله مستقل]],Table134[[#This Row],[A_tree]])</f>
        <v>9</v>
      </c>
    </row>
    <row r="502" spans="2:16" ht="18.600000000000001" x14ac:dyDescent="0.3">
      <c r="B502" s="4" t="s">
        <v>700</v>
      </c>
      <c r="C502" s="4">
        <v>590</v>
      </c>
      <c r="D502" s="4">
        <v>217</v>
      </c>
      <c r="E502" s="4">
        <v>750</v>
      </c>
      <c r="F502" s="4">
        <v>10568</v>
      </c>
      <c r="G502" s="2" t="s">
        <v>66</v>
      </c>
      <c r="H502" s="4">
        <v>9</v>
      </c>
      <c r="I502" s="4">
        <f>Table134[[#This Row],[اصله مستقل]]*Table134[[#This Row],[A_tree]]</f>
        <v>1953</v>
      </c>
      <c r="J502" s="4">
        <f>IF(Table134[[#This Row],[n * A_tree ]]&gt;Table134[[#This Row],[مساحت آدرس]],1,0)</f>
        <v>0</v>
      </c>
      <c r="K502" s="8">
        <f>IF(Table134[[#This Row],[check]]=1,1,Table134[[#This Row],[A_tree]]*Table134[[#This Row],[اصله مستقل]]/Table134[[#This Row],[مساحت آدرس]])</f>
        <v>0.18480317940953822</v>
      </c>
      <c r="L502" s="14">
        <f>IF(Table134[[#This Row],[check]]=1,1,(Table134[[#This Row],[Psh]]+0.15*(1-Table134[[#This Row],[Psh]])))</f>
        <v>0.30708270249810748</v>
      </c>
      <c r="M502" s="14">
        <f>IF(Table134[[#This Row],[check]]=1,0.65,1)</f>
        <v>1</v>
      </c>
      <c r="N502" s="4">
        <v>1</v>
      </c>
      <c r="O502" s="4">
        <f>IF(Table134[[#This Row],[check]]=1,Table134[[#This Row],[مساحت آدرس]]*Table134[[#This Row],[A0 Inc]],Table134[[#This Row],[A_tree]]*Table134[[#This Row],[اصله مستقل]])</f>
        <v>1953</v>
      </c>
      <c r="P502" s="11">
        <f>IF(Table134[[#This Row],[check]]=1,Table134[[#This Row],[A0]]/Table134[[#This Row],[اصله مستقل]],Table134[[#This Row],[A_tree]])</f>
        <v>9</v>
      </c>
    </row>
    <row r="503" spans="2:16" ht="18.600000000000001" x14ac:dyDescent="0.3">
      <c r="B503" s="4" t="s">
        <v>701</v>
      </c>
      <c r="C503" s="4">
        <v>2750</v>
      </c>
      <c r="D503" s="4">
        <v>544</v>
      </c>
      <c r="E503" s="4">
        <v>2750</v>
      </c>
      <c r="F503" s="4">
        <v>36230</v>
      </c>
      <c r="G503" s="2" t="s">
        <v>66</v>
      </c>
      <c r="H503" s="4">
        <v>9</v>
      </c>
      <c r="I503" s="4">
        <f>Table134[[#This Row],[اصله مستقل]]*Table134[[#This Row],[A_tree]]</f>
        <v>4896</v>
      </c>
      <c r="J503" s="4">
        <f>IF(Table134[[#This Row],[n * A_tree ]]&gt;Table134[[#This Row],[مساحت آدرس]],1,0)</f>
        <v>0</v>
      </c>
      <c r="K503" s="8">
        <f>IF(Table134[[#This Row],[check]]=1,1,Table134[[#This Row],[A_tree]]*Table134[[#This Row],[اصله مستقل]]/Table134[[#This Row],[مساحت آدرس]])</f>
        <v>0.13513662710460944</v>
      </c>
      <c r="L503" s="14">
        <f>IF(Table134[[#This Row],[check]]=1,1,(Table134[[#This Row],[Psh]]+0.15*(1-Table134[[#This Row],[Psh]])))</f>
        <v>0.26486613303891804</v>
      </c>
      <c r="M503" s="14">
        <f>IF(Table134[[#This Row],[check]]=1,0.65,1)</f>
        <v>1</v>
      </c>
      <c r="N503" s="4">
        <v>1</v>
      </c>
      <c r="O503" s="4">
        <f>IF(Table134[[#This Row],[check]]=1,Table134[[#This Row],[مساحت آدرس]]*Table134[[#This Row],[A0 Inc]],Table134[[#This Row],[A_tree]]*Table134[[#This Row],[اصله مستقل]])</f>
        <v>4896</v>
      </c>
      <c r="P503" s="11">
        <f>IF(Table134[[#This Row],[check]]=1,Table134[[#This Row],[A0]]/Table134[[#This Row],[اصله مستقل]],Table134[[#This Row],[A_tree]])</f>
        <v>9</v>
      </c>
    </row>
    <row r="504" spans="2:16" ht="18.600000000000001" x14ac:dyDescent="0.3">
      <c r="B504" s="4" t="s">
        <v>702</v>
      </c>
      <c r="C504" s="4">
        <v>1264</v>
      </c>
      <c r="D504" s="4">
        <v>1255</v>
      </c>
      <c r="E504" s="4">
        <v>9798</v>
      </c>
      <c r="F504" s="4">
        <v>10198</v>
      </c>
      <c r="G504" s="2" t="s">
        <v>21</v>
      </c>
      <c r="H504" s="4">
        <v>9</v>
      </c>
      <c r="I504" s="4">
        <f>Table134[[#This Row],[اصله مستقل]]*Table134[[#This Row],[A_tree]]</f>
        <v>11295</v>
      </c>
      <c r="J504" s="4">
        <f>IF(Table134[[#This Row],[n * A_tree ]]&gt;Table134[[#This Row],[مساحت آدرس]],1,0)</f>
        <v>1</v>
      </c>
      <c r="K504" s="8">
        <f>IF(Table134[[#This Row],[check]]=1,1,Table134[[#This Row],[A_tree]]*Table134[[#This Row],[اصله مستقل]]/Table134[[#This Row],[مساحت آدرس]])</f>
        <v>1</v>
      </c>
      <c r="L504" s="14">
        <f>IF(Table134[[#This Row],[check]]=1,1,(Table134[[#This Row],[Psh]]+0.15*(1-Table134[[#This Row],[Psh]])))</f>
        <v>1</v>
      </c>
      <c r="M504" s="14">
        <f>IF(Table134[[#This Row],[check]]=1,0.65,1)</f>
        <v>0.65</v>
      </c>
      <c r="N504" s="4">
        <v>1</v>
      </c>
      <c r="O504" s="4">
        <f>IF(Table134[[#This Row],[check]]=1,Table134[[#This Row],[مساحت آدرس]]*Table134[[#This Row],[A0 Inc]],Table134[[#This Row],[A_tree]]*Table134[[#This Row],[اصله مستقل]])</f>
        <v>10198</v>
      </c>
      <c r="P504" s="11">
        <f>IF(Table134[[#This Row],[check]]=1,Table134[[#This Row],[A0]]/Table134[[#This Row],[اصله مستقل]],Table134[[#This Row],[A_tree]])</f>
        <v>8.1258964143426287</v>
      </c>
    </row>
    <row r="505" spans="2:16" ht="18.600000000000001" x14ac:dyDescent="0.3">
      <c r="B505" s="4" t="s">
        <v>703</v>
      </c>
      <c r="C505" s="4">
        <v>95</v>
      </c>
      <c r="D505" s="4">
        <v>95</v>
      </c>
      <c r="E505" s="4">
        <v>1350</v>
      </c>
      <c r="F505" s="4">
        <v>1830</v>
      </c>
      <c r="G505" s="2" t="s">
        <v>3</v>
      </c>
      <c r="H505" s="4">
        <v>9</v>
      </c>
      <c r="I505" s="4">
        <f>Table134[[#This Row],[اصله مستقل]]*Table134[[#This Row],[A_tree]]</f>
        <v>855</v>
      </c>
      <c r="J505" s="4">
        <f>IF(Table134[[#This Row],[n * A_tree ]]&gt;Table134[[#This Row],[مساحت آدرس]],1,0)</f>
        <v>0</v>
      </c>
      <c r="K505" s="8">
        <f>IF(Table134[[#This Row],[check]]=1,1,Table134[[#This Row],[A_tree]]*Table134[[#This Row],[اصله مستقل]]/Table134[[#This Row],[مساحت آدرس]])</f>
        <v>0.46721311475409838</v>
      </c>
      <c r="L505" s="14">
        <f>IF(Table134[[#This Row],[check]]=1,1,(Table134[[#This Row],[Psh]]+0.15*(1-Table134[[#This Row],[Psh]])))</f>
        <v>0.54713114754098369</v>
      </c>
      <c r="M505" s="14">
        <f>IF(Table134[[#This Row],[check]]=1,0.65,1)</f>
        <v>1</v>
      </c>
      <c r="N505" s="4">
        <v>1</v>
      </c>
      <c r="O505" s="4">
        <f>IF(Table134[[#This Row],[check]]=1,Table134[[#This Row],[مساحت آدرس]]*Table134[[#This Row],[A0 Inc]],Table134[[#This Row],[A_tree]]*Table134[[#This Row],[اصله مستقل]])</f>
        <v>855</v>
      </c>
      <c r="P505" s="11">
        <f>IF(Table134[[#This Row],[check]]=1,Table134[[#This Row],[A0]]/Table134[[#This Row],[اصله مستقل]],Table134[[#This Row],[A_tree]])</f>
        <v>9</v>
      </c>
    </row>
    <row r="506" spans="2:16" ht="18.600000000000001" x14ac:dyDescent="0.3">
      <c r="B506" s="4" t="s">
        <v>704</v>
      </c>
      <c r="C506" s="4">
        <v>125</v>
      </c>
      <c r="D506" s="4">
        <v>125</v>
      </c>
      <c r="E506" s="4">
        <v>625</v>
      </c>
      <c r="F506" s="4">
        <v>2674</v>
      </c>
      <c r="G506" s="2" t="s">
        <v>3</v>
      </c>
      <c r="H506" s="4">
        <v>9</v>
      </c>
      <c r="I506" s="4">
        <f>Table134[[#This Row],[اصله مستقل]]*Table134[[#This Row],[A_tree]]</f>
        <v>1125</v>
      </c>
      <c r="J506" s="4">
        <f>IF(Table134[[#This Row],[n * A_tree ]]&gt;Table134[[#This Row],[مساحت آدرس]],1,0)</f>
        <v>0</v>
      </c>
      <c r="K506" s="8">
        <f>IF(Table134[[#This Row],[check]]=1,1,Table134[[#This Row],[A_tree]]*Table134[[#This Row],[اصله مستقل]]/Table134[[#This Row],[مساحت آدرس]])</f>
        <v>0.42071802543006731</v>
      </c>
      <c r="L506" s="14">
        <f>IF(Table134[[#This Row],[check]]=1,1,(Table134[[#This Row],[Psh]]+0.15*(1-Table134[[#This Row],[Psh]])))</f>
        <v>0.50761032161555719</v>
      </c>
      <c r="M506" s="14">
        <f>IF(Table134[[#This Row],[check]]=1,0.65,1)</f>
        <v>1</v>
      </c>
      <c r="N506" s="4">
        <v>1</v>
      </c>
      <c r="O506" s="4">
        <f>IF(Table134[[#This Row],[check]]=1,Table134[[#This Row],[مساحت آدرس]]*Table134[[#This Row],[A0 Inc]],Table134[[#This Row],[A_tree]]*Table134[[#This Row],[اصله مستقل]])</f>
        <v>1125</v>
      </c>
      <c r="P506" s="11">
        <f>IF(Table134[[#This Row],[check]]=1,Table134[[#This Row],[A0]]/Table134[[#This Row],[اصله مستقل]],Table134[[#This Row],[A_tree]])</f>
        <v>9</v>
      </c>
    </row>
    <row r="507" spans="2:16" ht="18.600000000000001" x14ac:dyDescent="0.3">
      <c r="B507" s="4" t="s">
        <v>705</v>
      </c>
      <c r="C507" s="4">
        <v>236</v>
      </c>
      <c r="D507" s="4">
        <v>236</v>
      </c>
      <c r="E507" s="4">
        <v>3254</v>
      </c>
      <c r="F507" s="4">
        <v>3764</v>
      </c>
      <c r="G507" s="2" t="s">
        <v>3</v>
      </c>
      <c r="H507" s="4">
        <v>9</v>
      </c>
      <c r="I507" s="4">
        <f>Table134[[#This Row],[اصله مستقل]]*Table134[[#This Row],[A_tree]]</f>
        <v>2124</v>
      </c>
      <c r="J507" s="4">
        <f>IF(Table134[[#This Row],[n * A_tree ]]&gt;Table134[[#This Row],[مساحت آدرس]],1,0)</f>
        <v>0</v>
      </c>
      <c r="K507" s="8">
        <f>IF(Table134[[#This Row],[check]]=1,1,Table134[[#This Row],[A_tree]]*Table134[[#This Row],[اصله مستقل]]/Table134[[#This Row],[مساحت آدرس]])</f>
        <v>0.56429330499468655</v>
      </c>
      <c r="L507" s="14">
        <f>IF(Table134[[#This Row],[check]]=1,1,(Table134[[#This Row],[Psh]]+0.15*(1-Table134[[#This Row],[Psh]])))</f>
        <v>0.62964930924548357</v>
      </c>
      <c r="M507" s="14">
        <f>IF(Table134[[#This Row],[check]]=1,0.65,1)</f>
        <v>1</v>
      </c>
      <c r="N507" s="4">
        <v>1</v>
      </c>
      <c r="O507" s="4">
        <f>IF(Table134[[#This Row],[check]]=1,Table134[[#This Row],[مساحت آدرس]]*Table134[[#This Row],[A0 Inc]],Table134[[#This Row],[A_tree]]*Table134[[#This Row],[اصله مستقل]])</f>
        <v>2124</v>
      </c>
      <c r="P507" s="11">
        <f>IF(Table134[[#This Row],[check]]=1,Table134[[#This Row],[A0]]/Table134[[#This Row],[اصله مستقل]],Table134[[#This Row],[A_tree]])</f>
        <v>9</v>
      </c>
    </row>
    <row r="508" spans="2:16" ht="18.600000000000001" x14ac:dyDescent="0.3">
      <c r="B508" s="4" t="s">
        <v>706</v>
      </c>
      <c r="C508" s="4">
        <v>540</v>
      </c>
      <c r="D508" s="4">
        <v>540</v>
      </c>
      <c r="E508" s="4">
        <v>6200</v>
      </c>
      <c r="F508" s="4">
        <v>8350</v>
      </c>
      <c r="G508" s="2" t="s">
        <v>3</v>
      </c>
      <c r="H508" s="4">
        <v>9</v>
      </c>
      <c r="I508" s="4">
        <f>Table134[[#This Row],[اصله مستقل]]*Table134[[#This Row],[A_tree]]</f>
        <v>4860</v>
      </c>
      <c r="J508" s="4">
        <f>IF(Table134[[#This Row],[n * A_tree ]]&gt;Table134[[#This Row],[مساحت آدرس]],1,0)</f>
        <v>0</v>
      </c>
      <c r="K508" s="8">
        <f>IF(Table134[[#This Row],[check]]=1,1,Table134[[#This Row],[A_tree]]*Table134[[#This Row],[اصله مستقل]]/Table134[[#This Row],[مساحت آدرس]])</f>
        <v>0.58203592814371252</v>
      </c>
      <c r="L508" s="14">
        <f>IF(Table134[[#This Row],[check]]=1,1,(Table134[[#This Row],[Psh]]+0.15*(1-Table134[[#This Row],[Psh]])))</f>
        <v>0.64473053892215559</v>
      </c>
      <c r="M508" s="14">
        <f>IF(Table134[[#This Row],[check]]=1,0.65,1)</f>
        <v>1</v>
      </c>
      <c r="N508" s="4">
        <v>1</v>
      </c>
      <c r="O508" s="4">
        <f>IF(Table134[[#This Row],[check]]=1,Table134[[#This Row],[مساحت آدرس]]*Table134[[#This Row],[A0 Inc]],Table134[[#This Row],[A_tree]]*Table134[[#This Row],[اصله مستقل]])</f>
        <v>4860</v>
      </c>
      <c r="P508" s="11">
        <f>IF(Table134[[#This Row],[check]]=1,Table134[[#This Row],[A0]]/Table134[[#This Row],[اصله مستقل]],Table134[[#This Row],[A_tree]])</f>
        <v>9</v>
      </c>
    </row>
    <row r="509" spans="2:16" ht="18.600000000000001" x14ac:dyDescent="0.3">
      <c r="B509" s="4" t="s">
        <v>707</v>
      </c>
      <c r="C509" s="4">
        <v>1250</v>
      </c>
      <c r="D509" s="4">
        <v>1250</v>
      </c>
      <c r="E509" s="4">
        <v>19100</v>
      </c>
      <c r="F509" s="4">
        <v>21480</v>
      </c>
      <c r="G509" s="2" t="s">
        <v>3</v>
      </c>
      <c r="H509" s="4">
        <v>9</v>
      </c>
      <c r="I509" s="4">
        <f>Table134[[#This Row],[اصله مستقل]]*Table134[[#This Row],[A_tree]]</f>
        <v>11250</v>
      </c>
      <c r="J509" s="4">
        <f>IF(Table134[[#This Row],[n * A_tree ]]&gt;Table134[[#This Row],[مساحت آدرس]],1,0)</f>
        <v>0</v>
      </c>
      <c r="K509" s="8">
        <f>IF(Table134[[#This Row],[check]]=1,1,Table134[[#This Row],[A_tree]]*Table134[[#This Row],[اصله مستقل]]/Table134[[#This Row],[مساحت آدرس]])</f>
        <v>0.52374301675977653</v>
      </c>
      <c r="L509" s="14">
        <f>IF(Table134[[#This Row],[check]]=1,1,(Table134[[#This Row],[Psh]]+0.15*(1-Table134[[#This Row],[Psh]])))</f>
        <v>0.59518156424581004</v>
      </c>
      <c r="M509" s="14">
        <f>IF(Table134[[#This Row],[check]]=1,0.65,1)</f>
        <v>1</v>
      </c>
      <c r="N509" s="4">
        <v>1</v>
      </c>
      <c r="O509" s="4">
        <f>IF(Table134[[#This Row],[check]]=1,Table134[[#This Row],[مساحت آدرس]]*Table134[[#This Row],[A0 Inc]],Table134[[#This Row],[A_tree]]*Table134[[#This Row],[اصله مستقل]])</f>
        <v>11250</v>
      </c>
      <c r="P509" s="11">
        <f>IF(Table134[[#This Row],[check]]=1,Table134[[#This Row],[A0]]/Table134[[#This Row],[اصله مستقل]],Table134[[#This Row],[A_tree]])</f>
        <v>9</v>
      </c>
    </row>
    <row r="510" spans="2:16" ht="18.600000000000001" x14ac:dyDescent="0.3">
      <c r="B510" s="4" t="s">
        <v>708</v>
      </c>
      <c r="C510" s="4">
        <v>125</v>
      </c>
      <c r="D510" s="4">
        <v>125</v>
      </c>
      <c r="E510" s="4">
        <v>330</v>
      </c>
      <c r="F510" s="4">
        <v>330</v>
      </c>
      <c r="G510" s="2" t="s">
        <v>3</v>
      </c>
      <c r="H510" s="4">
        <v>9</v>
      </c>
      <c r="I510" s="4">
        <f>Table134[[#This Row],[اصله مستقل]]*Table134[[#This Row],[A_tree]]</f>
        <v>1125</v>
      </c>
      <c r="J510" s="4">
        <f>IF(Table134[[#This Row],[n * A_tree ]]&gt;Table134[[#This Row],[مساحت آدرس]],1,0)</f>
        <v>1</v>
      </c>
      <c r="K510" s="8">
        <f>IF(Table134[[#This Row],[check]]=1,1,Table134[[#This Row],[A_tree]]*Table134[[#This Row],[اصله مستقل]]/Table134[[#This Row],[مساحت آدرس]])</f>
        <v>1</v>
      </c>
      <c r="L510" s="14">
        <f>IF(Table134[[#This Row],[check]]=1,1,(Table134[[#This Row],[Psh]]+0.15*(1-Table134[[#This Row],[Psh]])))</f>
        <v>1</v>
      </c>
      <c r="M510" s="14">
        <f>IF(Table134[[#This Row],[check]]=1,0.65,1)</f>
        <v>0.65</v>
      </c>
      <c r="N510" s="4">
        <v>1</v>
      </c>
      <c r="O510" s="4">
        <f>IF(Table134[[#This Row],[check]]=1,Table134[[#This Row],[مساحت آدرس]]*Table134[[#This Row],[A0 Inc]],Table134[[#This Row],[A_tree]]*Table134[[#This Row],[اصله مستقل]])</f>
        <v>330</v>
      </c>
      <c r="P510" s="11">
        <f>IF(Table134[[#This Row],[check]]=1,Table134[[#This Row],[A0]]/Table134[[#This Row],[اصله مستقل]],Table134[[#This Row],[A_tree]])</f>
        <v>2.64</v>
      </c>
    </row>
    <row r="511" spans="2:16" ht="18.600000000000001" x14ac:dyDescent="0.3">
      <c r="B511" s="4" t="s">
        <v>709</v>
      </c>
      <c r="C511" s="4">
        <v>255</v>
      </c>
      <c r="D511" s="4">
        <v>255</v>
      </c>
      <c r="E511" s="4">
        <v>2700</v>
      </c>
      <c r="F511" s="4">
        <v>3150</v>
      </c>
      <c r="G511" s="2" t="s">
        <v>3</v>
      </c>
      <c r="H511" s="4">
        <v>9</v>
      </c>
      <c r="I511" s="4">
        <f>Table134[[#This Row],[اصله مستقل]]*Table134[[#This Row],[A_tree]]</f>
        <v>2295</v>
      </c>
      <c r="J511" s="4">
        <f>IF(Table134[[#This Row],[n * A_tree ]]&gt;Table134[[#This Row],[مساحت آدرس]],1,0)</f>
        <v>0</v>
      </c>
      <c r="K511" s="8">
        <f>IF(Table134[[#This Row],[check]]=1,1,Table134[[#This Row],[A_tree]]*Table134[[#This Row],[اصله مستقل]]/Table134[[#This Row],[مساحت آدرس]])</f>
        <v>0.72857142857142854</v>
      </c>
      <c r="L511" s="14">
        <f>IF(Table134[[#This Row],[check]]=1,1,(Table134[[#This Row],[Psh]]+0.15*(1-Table134[[#This Row],[Psh]])))</f>
        <v>0.76928571428571424</v>
      </c>
      <c r="M511" s="14">
        <f>IF(Table134[[#This Row],[check]]=1,0.65,1)</f>
        <v>1</v>
      </c>
      <c r="N511" s="4">
        <v>1</v>
      </c>
      <c r="O511" s="4">
        <f>IF(Table134[[#This Row],[check]]=1,Table134[[#This Row],[مساحت آدرس]]*Table134[[#This Row],[A0 Inc]],Table134[[#This Row],[A_tree]]*Table134[[#This Row],[اصله مستقل]])</f>
        <v>2295</v>
      </c>
      <c r="P511" s="11">
        <f>IF(Table134[[#This Row],[check]]=1,Table134[[#This Row],[A0]]/Table134[[#This Row],[اصله مستقل]],Table134[[#This Row],[A_tree]])</f>
        <v>9</v>
      </c>
    </row>
    <row r="512" spans="2:16" ht="18.600000000000001" x14ac:dyDescent="0.3">
      <c r="B512" s="4" t="s">
        <v>710</v>
      </c>
      <c r="C512" s="4">
        <v>190</v>
      </c>
      <c r="D512" s="4">
        <v>190</v>
      </c>
      <c r="E512" s="4">
        <v>960</v>
      </c>
      <c r="F512" s="4">
        <v>2952</v>
      </c>
      <c r="G512" s="2" t="s">
        <v>3</v>
      </c>
      <c r="H512" s="4">
        <v>9</v>
      </c>
      <c r="I512" s="4">
        <f>Table134[[#This Row],[اصله مستقل]]*Table134[[#This Row],[A_tree]]</f>
        <v>1710</v>
      </c>
      <c r="J512" s="4">
        <f>IF(Table134[[#This Row],[n * A_tree ]]&gt;Table134[[#This Row],[مساحت آدرس]],1,0)</f>
        <v>0</v>
      </c>
      <c r="K512" s="8">
        <f>IF(Table134[[#This Row],[check]]=1,1,Table134[[#This Row],[A_tree]]*Table134[[#This Row],[اصله مستقل]]/Table134[[#This Row],[مساحت آدرس]])</f>
        <v>0.57926829268292679</v>
      </c>
      <c r="L512" s="14">
        <f>IF(Table134[[#This Row],[check]]=1,1,(Table134[[#This Row],[Psh]]+0.15*(1-Table134[[#This Row],[Psh]])))</f>
        <v>0.64237804878048776</v>
      </c>
      <c r="M512" s="14">
        <f>IF(Table134[[#This Row],[check]]=1,0.65,1)</f>
        <v>1</v>
      </c>
      <c r="N512" s="4">
        <v>1</v>
      </c>
      <c r="O512" s="4">
        <f>IF(Table134[[#This Row],[check]]=1,Table134[[#This Row],[مساحت آدرس]]*Table134[[#This Row],[A0 Inc]],Table134[[#This Row],[A_tree]]*Table134[[#This Row],[اصله مستقل]])</f>
        <v>1710</v>
      </c>
      <c r="P512" s="11">
        <f>IF(Table134[[#This Row],[check]]=1,Table134[[#This Row],[A0]]/Table134[[#This Row],[اصله مستقل]],Table134[[#This Row],[A_tree]])</f>
        <v>9</v>
      </c>
    </row>
    <row r="513" spans="2:16" ht="18.600000000000001" x14ac:dyDescent="0.3">
      <c r="B513" s="4" t="s">
        <v>711</v>
      </c>
      <c r="C513" s="4">
        <v>654</v>
      </c>
      <c r="D513" s="4">
        <v>545</v>
      </c>
      <c r="E513" s="4">
        <v>7000</v>
      </c>
      <c r="F513" s="4">
        <v>19328</v>
      </c>
      <c r="G513" s="2" t="s">
        <v>283</v>
      </c>
      <c r="H513" s="4">
        <v>9</v>
      </c>
      <c r="I513" s="4">
        <f>Table134[[#This Row],[اصله مستقل]]*Table134[[#This Row],[A_tree]]</f>
        <v>4905</v>
      </c>
      <c r="J513" s="4">
        <f>IF(Table134[[#This Row],[n * A_tree ]]&gt;Table134[[#This Row],[مساحت آدرس]],1,0)</f>
        <v>0</v>
      </c>
      <c r="K513" s="8">
        <f>IF(Table134[[#This Row],[check]]=1,1,Table134[[#This Row],[A_tree]]*Table134[[#This Row],[اصله مستقل]]/Table134[[#This Row],[مساحت آدرس]])</f>
        <v>0.25377690397350994</v>
      </c>
      <c r="L513" s="14">
        <f>IF(Table134[[#This Row],[check]]=1,1,(Table134[[#This Row],[Psh]]+0.15*(1-Table134[[#This Row],[Psh]])))</f>
        <v>0.36571036837748344</v>
      </c>
      <c r="M513" s="14">
        <f>IF(Table134[[#This Row],[check]]=1,0.65,1)</f>
        <v>1</v>
      </c>
      <c r="N513" s="4">
        <v>1</v>
      </c>
      <c r="O513" s="4">
        <f>IF(Table134[[#This Row],[check]]=1,Table134[[#This Row],[مساحت آدرس]]*Table134[[#This Row],[A0 Inc]],Table134[[#This Row],[A_tree]]*Table134[[#This Row],[اصله مستقل]])</f>
        <v>4905</v>
      </c>
      <c r="P513" s="11">
        <f>IF(Table134[[#This Row],[check]]=1,Table134[[#This Row],[A0]]/Table134[[#This Row],[اصله مستقل]],Table134[[#This Row],[A_tree]])</f>
        <v>9</v>
      </c>
    </row>
    <row r="514" spans="2:16" ht="18.600000000000001" x14ac:dyDescent="0.3">
      <c r="B514" s="4" t="s">
        <v>712</v>
      </c>
      <c r="C514" s="4">
        <v>820</v>
      </c>
      <c r="D514" s="4">
        <v>650</v>
      </c>
      <c r="E514" s="4">
        <v>9000</v>
      </c>
      <c r="F514" s="4">
        <v>24483</v>
      </c>
      <c r="G514" s="2" t="s">
        <v>283</v>
      </c>
      <c r="H514" s="4">
        <v>9</v>
      </c>
      <c r="I514" s="4">
        <f>Table134[[#This Row],[اصله مستقل]]*Table134[[#This Row],[A_tree]]</f>
        <v>5850</v>
      </c>
      <c r="J514" s="4">
        <f>IF(Table134[[#This Row],[n * A_tree ]]&gt;Table134[[#This Row],[مساحت آدرس]],1,0)</f>
        <v>0</v>
      </c>
      <c r="K514" s="8">
        <f>IF(Table134[[#This Row],[check]]=1,1,Table134[[#This Row],[A_tree]]*Table134[[#This Row],[اصله مستقل]]/Table134[[#This Row],[مساحت آدرس]])</f>
        <v>0.23894130621247398</v>
      </c>
      <c r="L514" s="14">
        <f>IF(Table134[[#This Row],[check]]=1,1,(Table134[[#This Row],[Psh]]+0.15*(1-Table134[[#This Row],[Psh]])))</f>
        <v>0.35310011028060284</v>
      </c>
      <c r="M514" s="14">
        <f>IF(Table134[[#This Row],[check]]=1,0.65,1)</f>
        <v>1</v>
      </c>
      <c r="N514" s="4">
        <v>1</v>
      </c>
      <c r="O514" s="4">
        <f>IF(Table134[[#This Row],[check]]=1,Table134[[#This Row],[مساحت آدرس]]*Table134[[#This Row],[A0 Inc]],Table134[[#This Row],[A_tree]]*Table134[[#This Row],[اصله مستقل]])</f>
        <v>5850</v>
      </c>
      <c r="P514" s="11">
        <f>IF(Table134[[#This Row],[check]]=1,Table134[[#This Row],[A0]]/Table134[[#This Row],[اصله مستقل]],Table134[[#This Row],[A_tree]])</f>
        <v>9</v>
      </c>
    </row>
    <row r="515" spans="2:16" ht="18.600000000000001" x14ac:dyDescent="0.3">
      <c r="B515" s="4" t="s">
        <v>713</v>
      </c>
      <c r="C515" s="4">
        <v>520</v>
      </c>
      <c r="D515" s="4">
        <v>220</v>
      </c>
      <c r="E515" s="4">
        <v>3000</v>
      </c>
      <c r="F515" s="4">
        <v>13128</v>
      </c>
      <c r="G515" s="2" t="s">
        <v>283</v>
      </c>
      <c r="H515" s="4">
        <v>9</v>
      </c>
      <c r="I515" s="4">
        <f>Table134[[#This Row],[اصله مستقل]]*Table134[[#This Row],[A_tree]]</f>
        <v>1980</v>
      </c>
      <c r="J515" s="4">
        <f>IF(Table134[[#This Row],[n * A_tree ]]&gt;Table134[[#This Row],[مساحت آدرس]],1,0)</f>
        <v>0</v>
      </c>
      <c r="K515" s="8">
        <f>IF(Table134[[#This Row],[check]]=1,1,Table134[[#This Row],[A_tree]]*Table134[[#This Row],[اصله مستقل]]/Table134[[#This Row],[مساحت آدرس]])</f>
        <v>0.15082266910420475</v>
      </c>
      <c r="L515" s="14">
        <f>IF(Table134[[#This Row],[check]]=1,1,(Table134[[#This Row],[Psh]]+0.15*(1-Table134[[#This Row],[Psh]])))</f>
        <v>0.27819926873857403</v>
      </c>
      <c r="M515" s="14">
        <f>IF(Table134[[#This Row],[check]]=1,0.65,1)</f>
        <v>1</v>
      </c>
      <c r="N515" s="4">
        <v>1</v>
      </c>
      <c r="O515" s="4">
        <f>IF(Table134[[#This Row],[check]]=1,Table134[[#This Row],[مساحت آدرس]]*Table134[[#This Row],[A0 Inc]],Table134[[#This Row],[A_tree]]*Table134[[#This Row],[اصله مستقل]])</f>
        <v>1980</v>
      </c>
      <c r="P515" s="11">
        <f>IF(Table134[[#This Row],[check]]=1,Table134[[#This Row],[A0]]/Table134[[#This Row],[اصله مستقل]],Table134[[#This Row],[A_tree]])</f>
        <v>9</v>
      </c>
    </row>
    <row r="516" spans="2:16" ht="18.600000000000001" x14ac:dyDescent="0.3">
      <c r="B516" s="4" t="s">
        <v>714</v>
      </c>
      <c r="C516" s="4">
        <v>1450</v>
      </c>
      <c r="D516" s="4">
        <v>1450</v>
      </c>
      <c r="E516" s="4">
        <v>18000</v>
      </c>
      <c r="F516" s="4">
        <v>26490</v>
      </c>
      <c r="G516" s="2" t="s">
        <v>283</v>
      </c>
      <c r="H516" s="4">
        <v>9</v>
      </c>
      <c r="I516" s="4">
        <f>Table134[[#This Row],[اصله مستقل]]*Table134[[#This Row],[A_tree]]</f>
        <v>13050</v>
      </c>
      <c r="J516" s="4">
        <f>IF(Table134[[#This Row],[n * A_tree ]]&gt;Table134[[#This Row],[مساحت آدرس]],1,0)</f>
        <v>0</v>
      </c>
      <c r="K516" s="8">
        <f>IF(Table134[[#This Row],[check]]=1,1,Table134[[#This Row],[A_tree]]*Table134[[#This Row],[اصله مستقل]]/Table134[[#This Row],[مساحت آدرس]])</f>
        <v>0.49263873159682897</v>
      </c>
      <c r="L516" s="14">
        <f>IF(Table134[[#This Row],[check]]=1,1,(Table134[[#This Row],[Psh]]+0.15*(1-Table134[[#This Row],[Psh]])))</f>
        <v>0.56874292185730457</v>
      </c>
      <c r="M516" s="14">
        <f>IF(Table134[[#This Row],[check]]=1,0.65,1)</f>
        <v>1</v>
      </c>
      <c r="N516" s="4">
        <v>1</v>
      </c>
      <c r="O516" s="4">
        <f>IF(Table134[[#This Row],[check]]=1,Table134[[#This Row],[مساحت آدرس]]*Table134[[#This Row],[A0 Inc]],Table134[[#This Row],[A_tree]]*Table134[[#This Row],[اصله مستقل]])</f>
        <v>13050</v>
      </c>
      <c r="P516" s="11">
        <f>IF(Table134[[#This Row],[check]]=1,Table134[[#This Row],[A0]]/Table134[[#This Row],[اصله مستقل]],Table134[[#This Row],[A_tree]])</f>
        <v>9</v>
      </c>
    </row>
    <row r="517" spans="2:16" ht="18.600000000000001" x14ac:dyDescent="0.3">
      <c r="B517" s="4" t="s">
        <v>715</v>
      </c>
      <c r="C517" s="4">
        <v>1540</v>
      </c>
      <c r="D517" s="4">
        <v>1250</v>
      </c>
      <c r="E517" s="4">
        <v>22000</v>
      </c>
      <c r="F517" s="4">
        <v>35305</v>
      </c>
      <c r="G517" s="2" t="s">
        <v>283</v>
      </c>
      <c r="H517" s="4">
        <v>9</v>
      </c>
      <c r="I517" s="4">
        <f>Table134[[#This Row],[اصله مستقل]]*Table134[[#This Row],[A_tree]]</f>
        <v>11250</v>
      </c>
      <c r="J517" s="4">
        <f>IF(Table134[[#This Row],[n * A_tree ]]&gt;Table134[[#This Row],[مساحت آدرس]],1,0)</f>
        <v>0</v>
      </c>
      <c r="K517" s="8">
        <f>IF(Table134[[#This Row],[check]]=1,1,Table134[[#This Row],[A_tree]]*Table134[[#This Row],[اصله مستقل]]/Table134[[#This Row],[مساحت آدرس]])</f>
        <v>0.31865174904404475</v>
      </c>
      <c r="L517" s="14">
        <f>IF(Table134[[#This Row],[check]]=1,1,(Table134[[#This Row],[Psh]]+0.15*(1-Table134[[#This Row],[Psh]])))</f>
        <v>0.42085398668743801</v>
      </c>
      <c r="M517" s="14">
        <f>IF(Table134[[#This Row],[check]]=1,0.65,1)</f>
        <v>1</v>
      </c>
      <c r="N517" s="4">
        <v>1</v>
      </c>
      <c r="O517" s="4">
        <f>IF(Table134[[#This Row],[check]]=1,Table134[[#This Row],[مساحت آدرس]]*Table134[[#This Row],[A0 Inc]],Table134[[#This Row],[A_tree]]*Table134[[#This Row],[اصله مستقل]])</f>
        <v>11250</v>
      </c>
      <c r="P517" s="11">
        <f>IF(Table134[[#This Row],[check]]=1,Table134[[#This Row],[A0]]/Table134[[#This Row],[اصله مستقل]],Table134[[#This Row],[A_tree]])</f>
        <v>9</v>
      </c>
    </row>
    <row r="518" spans="2:16" ht="18.600000000000001" x14ac:dyDescent="0.3">
      <c r="B518" s="4" t="s">
        <v>719</v>
      </c>
      <c r="C518" s="4">
        <v>575</v>
      </c>
      <c r="D518" s="4">
        <v>575</v>
      </c>
      <c r="E518" s="4">
        <v>2440</v>
      </c>
      <c r="F518" s="4">
        <v>3289</v>
      </c>
      <c r="G518" s="2" t="s">
        <v>21</v>
      </c>
      <c r="H518" s="4">
        <v>9</v>
      </c>
      <c r="I518" s="4">
        <f>Table134[[#This Row],[اصله مستقل]]*Table134[[#This Row],[A_tree]]</f>
        <v>5175</v>
      </c>
      <c r="J518" s="4">
        <f>IF(Table134[[#This Row],[n * A_tree ]]&gt;Table134[[#This Row],[مساحت آدرس]],1,0)</f>
        <v>1</v>
      </c>
      <c r="K518" s="8">
        <f>IF(Table134[[#This Row],[check]]=1,1,Table134[[#This Row],[A_tree]]*Table134[[#This Row],[اصله مستقل]]/Table134[[#This Row],[مساحت آدرس]])</f>
        <v>1</v>
      </c>
      <c r="L518" s="14">
        <f>IF(Table134[[#This Row],[check]]=1,1,(Table134[[#This Row],[Psh]]+0.15*(1-Table134[[#This Row],[Psh]])))</f>
        <v>1</v>
      </c>
      <c r="M518" s="14">
        <f>IF(Table134[[#This Row],[check]]=1,0.65,1)</f>
        <v>0.65</v>
      </c>
      <c r="N518" s="4">
        <v>1</v>
      </c>
      <c r="O518" s="4">
        <f>IF(Table134[[#This Row],[check]]=1,Table134[[#This Row],[مساحت آدرس]]*Table134[[#This Row],[A0 Inc]],Table134[[#This Row],[A_tree]]*Table134[[#This Row],[اصله مستقل]])</f>
        <v>3289</v>
      </c>
      <c r="P518" s="11">
        <f>IF(Table134[[#This Row],[check]]=1,Table134[[#This Row],[A0]]/Table134[[#This Row],[اصله مستقل]],Table134[[#This Row],[A_tree]])</f>
        <v>5.72</v>
      </c>
    </row>
    <row r="519" spans="2:16" ht="18.600000000000001" x14ac:dyDescent="0.3">
      <c r="B519" s="4" t="s">
        <v>720</v>
      </c>
      <c r="C519" s="4">
        <v>325</v>
      </c>
      <c r="D519" s="4">
        <v>325</v>
      </c>
      <c r="E519" s="4">
        <v>1450</v>
      </c>
      <c r="F519" s="4">
        <v>1470</v>
      </c>
      <c r="G519" s="2" t="s">
        <v>21</v>
      </c>
      <c r="H519" s="4">
        <v>9</v>
      </c>
      <c r="I519" s="4">
        <f>Table134[[#This Row],[اصله مستقل]]*Table134[[#This Row],[A_tree]]</f>
        <v>2925</v>
      </c>
      <c r="J519" s="4">
        <f>IF(Table134[[#This Row],[n * A_tree ]]&gt;Table134[[#This Row],[مساحت آدرس]],1,0)</f>
        <v>1</v>
      </c>
      <c r="K519" s="8">
        <f>IF(Table134[[#This Row],[check]]=1,1,Table134[[#This Row],[A_tree]]*Table134[[#This Row],[اصله مستقل]]/Table134[[#This Row],[مساحت آدرس]])</f>
        <v>1</v>
      </c>
      <c r="L519" s="14">
        <f>IF(Table134[[#This Row],[check]]=1,1,(Table134[[#This Row],[Psh]]+0.15*(1-Table134[[#This Row],[Psh]])))</f>
        <v>1</v>
      </c>
      <c r="M519" s="14">
        <f>IF(Table134[[#This Row],[check]]=1,0.65,1)</f>
        <v>0.65</v>
      </c>
      <c r="N519" s="4">
        <v>1</v>
      </c>
      <c r="O519" s="4">
        <f>IF(Table134[[#This Row],[check]]=1,Table134[[#This Row],[مساحت آدرس]]*Table134[[#This Row],[A0 Inc]],Table134[[#This Row],[A_tree]]*Table134[[#This Row],[اصله مستقل]])</f>
        <v>1470</v>
      </c>
      <c r="P519" s="11">
        <f>IF(Table134[[#This Row],[check]]=1,Table134[[#This Row],[A0]]/Table134[[#This Row],[اصله مستقل]],Table134[[#This Row],[A_tree]])</f>
        <v>4.523076923076923</v>
      </c>
    </row>
    <row r="520" spans="2:16" ht="18.600000000000001" x14ac:dyDescent="0.3">
      <c r="B520" s="4" t="s">
        <v>721</v>
      </c>
      <c r="C520" s="4">
        <v>580</v>
      </c>
      <c r="D520" s="4">
        <v>580</v>
      </c>
      <c r="E520" s="4">
        <v>2900</v>
      </c>
      <c r="F520" s="4">
        <v>2940</v>
      </c>
      <c r="G520" s="2" t="s">
        <v>21</v>
      </c>
      <c r="H520" s="4">
        <v>9</v>
      </c>
      <c r="I520" s="4">
        <f>Table134[[#This Row],[اصله مستقل]]*Table134[[#This Row],[A_tree]]</f>
        <v>5220</v>
      </c>
      <c r="J520" s="4">
        <f>IF(Table134[[#This Row],[n * A_tree ]]&gt;Table134[[#This Row],[مساحت آدرس]],1,0)</f>
        <v>1</v>
      </c>
      <c r="K520" s="8">
        <f>IF(Table134[[#This Row],[check]]=1,1,Table134[[#This Row],[A_tree]]*Table134[[#This Row],[اصله مستقل]]/Table134[[#This Row],[مساحت آدرس]])</f>
        <v>1</v>
      </c>
      <c r="L520" s="14">
        <f>IF(Table134[[#This Row],[check]]=1,1,(Table134[[#This Row],[Psh]]+0.15*(1-Table134[[#This Row],[Psh]])))</f>
        <v>1</v>
      </c>
      <c r="M520" s="14">
        <f>IF(Table134[[#This Row],[check]]=1,0.65,1)</f>
        <v>0.65</v>
      </c>
      <c r="N520" s="4">
        <v>1</v>
      </c>
      <c r="O520" s="4">
        <f>IF(Table134[[#This Row],[check]]=1,Table134[[#This Row],[مساحت آدرس]]*Table134[[#This Row],[A0 Inc]],Table134[[#This Row],[A_tree]]*Table134[[#This Row],[اصله مستقل]])</f>
        <v>2940</v>
      </c>
      <c r="P520" s="11">
        <f>IF(Table134[[#This Row],[check]]=1,Table134[[#This Row],[A0]]/Table134[[#This Row],[اصله مستقل]],Table134[[#This Row],[A_tree]])</f>
        <v>5.068965517241379</v>
      </c>
    </row>
    <row r="521" spans="2:16" ht="18.600000000000001" x14ac:dyDescent="0.3">
      <c r="B521" s="4" t="s">
        <v>722</v>
      </c>
      <c r="C521" s="4">
        <v>315</v>
      </c>
      <c r="D521" s="4">
        <v>315</v>
      </c>
      <c r="E521" s="4">
        <v>3600</v>
      </c>
      <c r="F521" s="4">
        <v>3600</v>
      </c>
      <c r="G521" s="2" t="s">
        <v>21</v>
      </c>
      <c r="H521" s="4">
        <v>9</v>
      </c>
      <c r="I521" s="4">
        <f>Table134[[#This Row],[اصله مستقل]]*Table134[[#This Row],[A_tree]]</f>
        <v>2835</v>
      </c>
      <c r="J521" s="4">
        <f>IF(Table134[[#This Row],[n * A_tree ]]&gt;Table134[[#This Row],[مساحت آدرس]],1,0)</f>
        <v>0</v>
      </c>
      <c r="K521" s="8">
        <f>IF(Table134[[#This Row],[check]]=1,1,Table134[[#This Row],[A_tree]]*Table134[[#This Row],[اصله مستقل]]/Table134[[#This Row],[مساحت آدرس]])</f>
        <v>0.78749999999999998</v>
      </c>
      <c r="L521" s="14">
        <f>IF(Table134[[#This Row],[check]]=1,1,(Table134[[#This Row],[Psh]]+0.15*(1-Table134[[#This Row],[Psh]])))</f>
        <v>0.81937499999999996</v>
      </c>
      <c r="M521" s="14">
        <f>IF(Table134[[#This Row],[check]]=1,0.65,1)</f>
        <v>1</v>
      </c>
      <c r="N521" s="4">
        <v>1</v>
      </c>
      <c r="O521" s="4">
        <f>IF(Table134[[#This Row],[check]]=1,Table134[[#This Row],[مساحت آدرس]]*Table134[[#This Row],[A0 Inc]],Table134[[#This Row],[A_tree]]*Table134[[#This Row],[اصله مستقل]])</f>
        <v>2835</v>
      </c>
      <c r="P521" s="11">
        <f>IF(Table134[[#This Row],[check]]=1,Table134[[#This Row],[A0]]/Table134[[#This Row],[اصله مستقل]],Table134[[#This Row],[A_tree]])</f>
        <v>9</v>
      </c>
    </row>
    <row r="522" spans="2:16" ht="18.600000000000001" x14ac:dyDescent="0.3">
      <c r="B522" s="4" t="s">
        <v>723</v>
      </c>
      <c r="C522" s="4">
        <v>54</v>
      </c>
      <c r="D522" s="4">
        <v>54</v>
      </c>
      <c r="E522" s="4">
        <v>220</v>
      </c>
      <c r="F522" s="4">
        <v>220</v>
      </c>
      <c r="G522" s="2" t="s">
        <v>21</v>
      </c>
      <c r="H522" s="4">
        <v>9</v>
      </c>
      <c r="I522" s="4">
        <f>Table134[[#This Row],[اصله مستقل]]*Table134[[#This Row],[A_tree]]</f>
        <v>486</v>
      </c>
      <c r="J522" s="4">
        <f>IF(Table134[[#This Row],[n * A_tree ]]&gt;Table134[[#This Row],[مساحت آدرس]],1,0)</f>
        <v>1</v>
      </c>
      <c r="K522" s="8">
        <f>IF(Table134[[#This Row],[check]]=1,1,Table134[[#This Row],[A_tree]]*Table134[[#This Row],[اصله مستقل]]/Table134[[#This Row],[مساحت آدرس]])</f>
        <v>1</v>
      </c>
      <c r="L522" s="14">
        <f>IF(Table134[[#This Row],[check]]=1,1,(Table134[[#This Row],[Psh]]+0.15*(1-Table134[[#This Row],[Psh]])))</f>
        <v>1</v>
      </c>
      <c r="M522" s="14">
        <f>IF(Table134[[#This Row],[check]]=1,0.65,1)</f>
        <v>0.65</v>
      </c>
      <c r="N522" s="4">
        <v>1</v>
      </c>
      <c r="O522" s="4">
        <f>IF(Table134[[#This Row],[check]]=1,Table134[[#This Row],[مساحت آدرس]]*Table134[[#This Row],[A0 Inc]],Table134[[#This Row],[A_tree]]*Table134[[#This Row],[اصله مستقل]])</f>
        <v>220</v>
      </c>
      <c r="P522" s="11">
        <f>IF(Table134[[#This Row],[check]]=1,Table134[[#This Row],[A0]]/Table134[[#This Row],[اصله مستقل]],Table134[[#This Row],[A_tree]])</f>
        <v>4.0740740740740744</v>
      </c>
    </row>
    <row r="523" spans="2:16" ht="18.600000000000001" x14ac:dyDescent="0.3">
      <c r="B523" s="4" t="s">
        <v>724</v>
      </c>
      <c r="C523" s="4">
        <v>328</v>
      </c>
      <c r="D523" s="4">
        <v>328</v>
      </c>
      <c r="E523" s="4">
        <v>1640</v>
      </c>
      <c r="F523" s="4">
        <v>1750</v>
      </c>
      <c r="G523" s="2" t="s">
        <v>21</v>
      </c>
      <c r="H523" s="4">
        <v>9</v>
      </c>
      <c r="I523" s="4">
        <f>Table134[[#This Row],[اصله مستقل]]*Table134[[#This Row],[A_tree]]</f>
        <v>2952</v>
      </c>
      <c r="J523" s="4">
        <f>IF(Table134[[#This Row],[n * A_tree ]]&gt;Table134[[#This Row],[مساحت آدرس]],1,0)</f>
        <v>1</v>
      </c>
      <c r="K523" s="8">
        <f>IF(Table134[[#This Row],[check]]=1,1,Table134[[#This Row],[A_tree]]*Table134[[#This Row],[اصله مستقل]]/Table134[[#This Row],[مساحت آدرس]])</f>
        <v>1</v>
      </c>
      <c r="L523" s="14">
        <f>IF(Table134[[#This Row],[check]]=1,1,(Table134[[#This Row],[Psh]]+0.15*(1-Table134[[#This Row],[Psh]])))</f>
        <v>1</v>
      </c>
      <c r="M523" s="14">
        <f>IF(Table134[[#This Row],[check]]=1,0.65,1)</f>
        <v>0.65</v>
      </c>
      <c r="N523" s="4">
        <v>1</v>
      </c>
      <c r="O523" s="4">
        <f>IF(Table134[[#This Row],[check]]=1,Table134[[#This Row],[مساحت آدرس]]*Table134[[#This Row],[A0 Inc]],Table134[[#This Row],[A_tree]]*Table134[[#This Row],[اصله مستقل]])</f>
        <v>1750</v>
      </c>
      <c r="P523" s="11">
        <f>IF(Table134[[#This Row],[check]]=1,Table134[[#This Row],[A0]]/Table134[[#This Row],[اصله مستقل]],Table134[[#This Row],[A_tree]])</f>
        <v>5.3353658536585362</v>
      </c>
    </row>
    <row r="524" spans="2:16" ht="18.600000000000001" x14ac:dyDescent="0.3">
      <c r="B524" s="4" t="s">
        <v>725</v>
      </c>
      <c r="C524" s="4">
        <v>340</v>
      </c>
      <c r="D524" s="4">
        <v>340</v>
      </c>
      <c r="E524" s="4">
        <v>2540</v>
      </c>
      <c r="F524" s="4">
        <v>2635</v>
      </c>
      <c r="G524" s="2" t="s">
        <v>21</v>
      </c>
      <c r="H524" s="4">
        <v>9</v>
      </c>
      <c r="I524" s="4">
        <f>Table134[[#This Row],[اصله مستقل]]*Table134[[#This Row],[A_tree]]</f>
        <v>3060</v>
      </c>
      <c r="J524" s="4">
        <f>IF(Table134[[#This Row],[n * A_tree ]]&gt;Table134[[#This Row],[مساحت آدرس]],1,0)</f>
        <v>1</v>
      </c>
      <c r="K524" s="8">
        <f>IF(Table134[[#This Row],[check]]=1,1,Table134[[#This Row],[A_tree]]*Table134[[#This Row],[اصله مستقل]]/Table134[[#This Row],[مساحت آدرس]])</f>
        <v>1</v>
      </c>
      <c r="L524" s="14">
        <f>IF(Table134[[#This Row],[check]]=1,1,(Table134[[#This Row],[Psh]]+0.15*(1-Table134[[#This Row],[Psh]])))</f>
        <v>1</v>
      </c>
      <c r="M524" s="14">
        <f>IF(Table134[[#This Row],[check]]=1,0.65,1)</f>
        <v>0.65</v>
      </c>
      <c r="N524" s="4">
        <v>1</v>
      </c>
      <c r="O524" s="4">
        <f>IF(Table134[[#This Row],[check]]=1,Table134[[#This Row],[مساحت آدرس]]*Table134[[#This Row],[A0 Inc]],Table134[[#This Row],[A_tree]]*Table134[[#This Row],[اصله مستقل]])</f>
        <v>2635</v>
      </c>
      <c r="P524" s="11">
        <f>IF(Table134[[#This Row],[check]]=1,Table134[[#This Row],[A0]]/Table134[[#This Row],[اصله مستقل]],Table134[[#This Row],[A_tree]])</f>
        <v>7.75</v>
      </c>
    </row>
    <row r="525" spans="2:16" ht="18.600000000000001" x14ac:dyDescent="0.3">
      <c r="B525" s="4" t="s">
        <v>726</v>
      </c>
      <c r="C525" s="4">
        <v>55</v>
      </c>
      <c r="D525" s="4">
        <v>55</v>
      </c>
      <c r="E525" s="4">
        <v>330</v>
      </c>
      <c r="F525" s="4">
        <v>690</v>
      </c>
      <c r="G525" s="2" t="s">
        <v>21</v>
      </c>
      <c r="H525" s="4">
        <v>9</v>
      </c>
      <c r="I525" s="4">
        <f>Table134[[#This Row],[اصله مستقل]]*Table134[[#This Row],[A_tree]]</f>
        <v>495</v>
      </c>
      <c r="J525" s="4">
        <f>IF(Table134[[#This Row],[n * A_tree ]]&gt;Table134[[#This Row],[مساحت آدرس]],1,0)</f>
        <v>0</v>
      </c>
      <c r="K525" s="8">
        <f>IF(Table134[[#This Row],[check]]=1,1,Table134[[#This Row],[A_tree]]*Table134[[#This Row],[اصله مستقل]]/Table134[[#This Row],[مساحت آدرس]])</f>
        <v>0.71739130434782605</v>
      </c>
      <c r="L525" s="14">
        <f>IF(Table134[[#This Row],[check]]=1,1,(Table134[[#This Row],[Psh]]+0.15*(1-Table134[[#This Row],[Psh]])))</f>
        <v>0.75978260869565217</v>
      </c>
      <c r="M525" s="14">
        <f>IF(Table134[[#This Row],[check]]=1,0.65,1)</f>
        <v>1</v>
      </c>
      <c r="N525" s="4">
        <v>1</v>
      </c>
      <c r="O525" s="4">
        <f>IF(Table134[[#This Row],[check]]=1,Table134[[#This Row],[مساحت آدرس]]*Table134[[#This Row],[A0 Inc]],Table134[[#This Row],[A_tree]]*Table134[[#This Row],[اصله مستقل]])</f>
        <v>495</v>
      </c>
      <c r="P525" s="11">
        <f>IF(Table134[[#This Row],[check]]=1,Table134[[#This Row],[A0]]/Table134[[#This Row],[اصله مستقل]],Table134[[#This Row],[A_tree]])</f>
        <v>9</v>
      </c>
    </row>
    <row r="526" spans="2:16" ht="18.600000000000001" x14ac:dyDescent="0.3">
      <c r="B526" s="4" t="s">
        <v>727</v>
      </c>
      <c r="C526" s="4">
        <v>65</v>
      </c>
      <c r="D526" s="4">
        <v>65</v>
      </c>
      <c r="E526" s="4">
        <v>390</v>
      </c>
      <c r="F526" s="4">
        <v>390</v>
      </c>
      <c r="G526" s="2" t="s">
        <v>21</v>
      </c>
      <c r="H526" s="4">
        <v>9</v>
      </c>
      <c r="I526" s="4">
        <f>Table134[[#This Row],[اصله مستقل]]*Table134[[#This Row],[A_tree]]</f>
        <v>585</v>
      </c>
      <c r="J526" s="4">
        <f>IF(Table134[[#This Row],[n * A_tree ]]&gt;Table134[[#This Row],[مساحت آدرس]],1,0)</f>
        <v>1</v>
      </c>
      <c r="K526" s="8">
        <f>IF(Table134[[#This Row],[check]]=1,1,Table134[[#This Row],[A_tree]]*Table134[[#This Row],[اصله مستقل]]/Table134[[#This Row],[مساحت آدرس]])</f>
        <v>1</v>
      </c>
      <c r="L526" s="14">
        <f>IF(Table134[[#This Row],[check]]=1,1,(Table134[[#This Row],[Psh]]+0.15*(1-Table134[[#This Row],[Psh]])))</f>
        <v>1</v>
      </c>
      <c r="M526" s="14">
        <f>IF(Table134[[#This Row],[check]]=1,0.65,1)</f>
        <v>0.65</v>
      </c>
      <c r="N526" s="4">
        <v>1</v>
      </c>
      <c r="O526" s="4">
        <f>IF(Table134[[#This Row],[check]]=1,Table134[[#This Row],[مساحت آدرس]]*Table134[[#This Row],[A0 Inc]],Table134[[#This Row],[A_tree]]*Table134[[#This Row],[اصله مستقل]])</f>
        <v>390</v>
      </c>
      <c r="P526" s="11">
        <f>IF(Table134[[#This Row],[check]]=1,Table134[[#This Row],[A0]]/Table134[[#This Row],[اصله مستقل]],Table134[[#This Row],[A_tree]])</f>
        <v>6</v>
      </c>
    </row>
    <row r="527" spans="2:16" ht="18.600000000000001" x14ac:dyDescent="0.3">
      <c r="B527" s="4" t="s">
        <v>728</v>
      </c>
      <c r="C527" s="4">
        <v>310</v>
      </c>
      <c r="D527" s="4">
        <v>310</v>
      </c>
      <c r="E527" s="4">
        <v>1200</v>
      </c>
      <c r="F527" s="4">
        <v>1386</v>
      </c>
      <c r="G527" s="2" t="s">
        <v>21</v>
      </c>
      <c r="H527" s="4">
        <v>9</v>
      </c>
      <c r="I527" s="4">
        <f>Table134[[#This Row],[اصله مستقل]]*Table134[[#This Row],[A_tree]]</f>
        <v>2790</v>
      </c>
      <c r="J527" s="4">
        <f>IF(Table134[[#This Row],[n * A_tree ]]&gt;Table134[[#This Row],[مساحت آدرس]],1,0)</f>
        <v>1</v>
      </c>
      <c r="K527" s="8">
        <f>IF(Table134[[#This Row],[check]]=1,1,Table134[[#This Row],[A_tree]]*Table134[[#This Row],[اصله مستقل]]/Table134[[#This Row],[مساحت آدرس]])</f>
        <v>1</v>
      </c>
      <c r="L527" s="14">
        <f>IF(Table134[[#This Row],[check]]=1,1,(Table134[[#This Row],[Psh]]+0.15*(1-Table134[[#This Row],[Psh]])))</f>
        <v>1</v>
      </c>
      <c r="M527" s="14">
        <f>IF(Table134[[#This Row],[check]]=1,0.65,1)</f>
        <v>0.65</v>
      </c>
      <c r="N527" s="4">
        <v>1</v>
      </c>
      <c r="O527" s="4">
        <f>IF(Table134[[#This Row],[check]]=1,Table134[[#This Row],[مساحت آدرس]]*Table134[[#This Row],[A0 Inc]],Table134[[#This Row],[A_tree]]*Table134[[#This Row],[اصله مستقل]])</f>
        <v>1386</v>
      </c>
      <c r="P527" s="11">
        <f>IF(Table134[[#This Row],[check]]=1,Table134[[#This Row],[A0]]/Table134[[#This Row],[اصله مستقل]],Table134[[#This Row],[A_tree]])</f>
        <v>4.4709677419354836</v>
      </c>
    </row>
    <row r="528" spans="2:16" ht="18.600000000000001" x14ac:dyDescent="0.3">
      <c r="B528" s="4" t="s">
        <v>743</v>
      </c>
      <c r="C528" s="4">
        <v>850</v>
      </c>
      <c r="D528" s="4">
        <v>850</v>
      </c>
      <c r="E528" s="4">
        <v>4270</v>
      </c>
      <c r="F528" s="4">
        <v>4270</v>
      </c>
      <c r="G528" s="2" t="s">
        <v>21</v>
      </c>
      <c r="H528" s="4">
        <v>9</v>
      </c>
      <c r="I528" s="4">
        <f>Table134[[#This Row],[اصله مستقل]]*Table134[[#This Row],[A_tree]]</f>
        <v>7650</v>
      </c>
      <c r="J528" s="4">
        <f>IF(Table134[[#This Row],[n * A_tree ]]&gt;Table134[[#This Row],[مساحت آدرس]],1,0)</f>
        <v>1</v>
      </c>
      <c r="K528" s="8">
        <f>IF(Table134[[#This Row],[check]]=1,1,Table134[[#This Row],[A_tree]]*Table134[[#This Row],[اصله مستقل]]/Table134[[#This Row],[مساحت آدرس]])</f>
        <v>1</v>
      </c>
      <c r="L528" s="14">
        <f>IF(Table134[[#This Row],[check]]=1,1,(Table134[[#This Row],[Psh]]+0.15*(1-Table134[[#This Row],[Psh]])))</f>
        <v>1</v>
      </c>
      <c r="M528" s="14">
        <f>IF(Table134[[#This Row],[check]]=1,0.65,1)</f>
        <v>0.65</v>
      </c>
      <c r="N528" s="4">
        <v>1</v>
      </c>
      <c r="O528" s="4">
        <f>IF(Table134[[#This Row],[check]]=1,Table134[[#This Row],[مساحت آدرس]]*Table134[[#This Row],[A0 Inc]],Table134[[#This Row],[A_tree]]*Table134[[#This Row],[اصله مستقل]])</f>
        <v>4270</v>
      </c>
      <c r="P528" s="11">
        <f>IF(Table134[[#This Row],[check]]=1,Table134[[#This Row],[A0]]/Table134[[#This Row],[اصله مستقل]],Table134[[#This Row],[A_tree]])</f>
        <v>5.0235294117647058</v>
      </c>
    </row>
    <row r="529" spans="2:16" ht="18.600000000000001" x14ac:dyDescent="0.3">
      <c r="B529" s="4" t="s">
        <v>744</v>
      </c>
      <c r="C529" s="4">
        <v>220</v>
      </c>
      <c r="D529" s="4">
        <v>220</v>
      </c>
      <c r="E529" s="4">
        <v>1100</v>
      </c>
      <c r="F529" s="4">
        <v>1100</v>
      </c>
      <c r="G529" s="2" t="s">
        <v>21</v>
      </c>
      <c r="H529" s="4">
        <v>9</v>
      </c>
      <c r="I529" s="4">
        <f>Table134[[#This Row],[اصله مستقل]]*Table134[[#This Row],[A_tree]]</f>
        <v>1980</v>
      </c>
      <c r="J529" s="4">
        <f>IF(Table134[[#This Row],[n * A_tree ]]&gt;Table134[[#This Row],[مساحت آدرس]],1,0)</f>
        <v>1</v>
      </c>
      <c r="K529" s="8">
        <f>IF(Table134[[#This Row],[check]]=1,1,Table134[[#This Row],[A_tree]]*Table134[[#This Row],[اصله مستقل]]/Table134[[#This Row],[مساحت آدرس]])</f>
        <v>1</v>
      </c>
      <c r="L529" s="14">
        <f>IF(Table134[[#This Row],[check]]=1,1,(Table134[[#This Row],[Psh]]+0.15*(1-Table134[[#This Row],[Psh]])))</f>
        <v>1</v>
      </c>
      <c r="M529" s="14">
        <f>IF(Table134[[#This Row],[check]]=1,0.65,1)</f>
        <v>0.65</v>
      </c>
      <c r="N529" s="4">
        <v>1</v>
      </c>
      <c r="O529" s="4">
        <f>IF(Table134[[#This Row],[check]]=1,Table134[[#This Row],[مساحت آدرس]]*Table134[[#This Row],[A0 Inc]],Table134[[#This Row],[A_tree]]*Table134[[#This Row],[اصله مستقل]])</f>
        <v>1100</v>
      </c>
      <c r="P529" s="11">
        <f>IF(Table134[[#This Row],[check]]=1,Table134[[#This Row],[A0]]/Table134[[#This Row],[اصله مستقل]],Table134[[#This Row],[A_tree]])</f>
        <v>5</v>
      </c>
    </row>
    <row r="530" spans="2:16" ht="18.600000000000001" x14ac:dyDescent="0.3">
      <c r="B530" s="4" t="s">
        <v>745</v>
      </c>
      <c r="C530" s="4">
        <v>454</v>
      </c>
      <c r="D530" s="4">
        <v>454</v>
      </c>
      <c r="E530" s="4">
        <v>2270</v>
      </c>
      <c r="F530" s="4">
        <v>2270</v>
      </c>
      <c r="G530" s="2" t="s">
        <v>21</v>
      </c>
      <c r="H530" s="4">
        <v>9</v>
      </c>
      <c r="I530" s="4">
        <f>Table134[[#This Row],[اصله مستقل]]*Table134[[#This Row],[A_tree]]</f>
        <v>4086</v>
      </c>
      <c r="J530" s="4">
        <f>IF(Table134[[#This Row],[n * A_tree ]]&gt;Table134[[#This Row],[مساحت آدرس]],1,0)</f>
        <v>1</v>
      </c>
      <c r="K530" s="8">
        <f>IF(Table134[[#This Row],[check]]=1,1,Table134[[#This Row],[A_tree]]*Table134[[#This Row],[اصله مستقل]]/Table134[[#This Row],[مساحت آدرس]])</f>
        <v>1</v>
      </c>
      <c r="L530" s="14">
        <f>IF(Table134[[#This Row],[check]]=1,1,(Table134[[#This Row],[Psh]]+0.15*(1-Table134[[#This Row],[Psh]])))</f>
        <v>1</v>
      </c>
      <c r="M530" s="14">
        <f>IF(Table134[[#This Row],[check]]=1,0.65,1)</f>
        <v>0.65</v>
      </c>
      <c r="N530" s="4">
        <v>1</v>
      </c>
      <c r="O530" s="4">
        <f>IF(Table134[[#This Row],[check]]=1,Table134[[#This Row],[مساحت آدرس]]*Table134[[#This Row],[A0 Inc]],Table134[[#This Row],[A_tree]]*Table134[[#This Row],[اصله مستقل]])</f>
        <v>2270</v>
      </c>
      <c r="P530" s="11">
        <f>IF(Table134[[#This Row],[check]]=1,Table134[[#This Row],[A0]]/Table134[[#This Row],[اصله مستقل]],Table134[[#This Row],[A_tree]])</f>
        <v>5</v>
      </c>
    </row>
    <row r="531" spans="2:16" ht="18.600000000000001" x14ac:dyDescent="0.3">
      <c r="B531" s="4" t="s">
        <v>746</v>
      </c>
      <c r="C531" s="4">
        <v>274</v>
      </c>
      <c r="D531" s="4">
        <v>274</v>
      </c>
      <c r="E531" s="4">
        <v>1370</v>
      </c>
      <c r="F531" s="4">
        <v>1415</v>
      </c>
      <c r="G531" s="2" t="s">
        <v>21</v>
      </c>
      <c r="H531" s="4">
        <v>9</v>
      </c>
      <c r="I531" s="4">
        <f>Table134[[#This Row],[اصله مستقل]]*Table134[[#This Row],[A_tree]]</f>
        <v>2466</v>
      </c>
      <c r="J531" s="4">
        <f>IF(Table134[[#This Row],[n * A_tree ]]&gt;Table134[[#This Row],[مساحت آدرس]],1,0)</f>
        <v>1</v>
      </c>
      <c r="K531" s="8">
        <f>IF(Table134[[#This Row],[check]]=1,1,Table134[[#This Row],[A_tree]]*Table134[[#This Row],[اصله مستقل]]/Table134[[#This Row],[مساحت آدرس]])</f>
        <v>1</v>
      </c>
      <c r="L531" s="14">
        <f>IF(Table134[[#This Row],[check]]=1,1,(Table134[[#This Row],[Psh]]+0.15*(1-Table134[[#This Row],[Psh]])))</f>
        <v>1</v>
      </c>
      <c r="M531" s="14">
        <f>IF(Table134[[#This Row],[check]]=1,0.65,1)</f>
        <v>0.65</v>
      </c>
      <c r="N531" s="4">
        <v>1</v>
      </c>
      <c r="O531" s="4">
        <f>IF(Table134[[#This Row],[check]]=1,Table134[[#This Row],[مساحت آدرس]]*Table134[[#This Row],[A0 Inc]],Table134[[#This Row],[A_tree]]*Table134[[#This Row],[اصله مستقل]])</f>
        <v>1415</v>
      </c>
      <c r="P531" s="11">
        <f>IF(Table134[[#This Row],[check]]=1,Table134[[#This Row],[A0]]/Table134[[#This Row],[اصله مستقل]],Table134[[#This Row],[A_tree]])</f>
        <v>5.164233576642336</v>
      </c>
    </row>
    <row r="532" spans="2:16" ht="18.600000000000001" x14ac:dyDescent="0.3">
      <c r="B532" s="4" t="s">
        <v>747</v>
      </c>
      <c r="C532" s="4">
        <v>874</v>
      </c>
      <c r="D532" s="4">
        <v>874</v>
      </c>
      <c r="E532" s="4">
        <v>3496</v>
      </c>
      <c r="F532" s="4">
        <v>4331</v>
      </c>
      <c r="G532" s="2" t="s">
        <v>21</v>
      </c>
      <c r="H532" s="4">
        <v>9</v>
      </c>
      <c r="I532" s="4">
        <f>Table134[[#This Row],[اصله مستقل]]*Table134[[#This Row],[A_tree]]</f>
        <v>7866</v>
      </c>
      <c r="J532" s="4">
        <f>IF(Table134[[#This Row],[n * A_tree ]]&gt;Table134[[#This Row],[مساحت آدرس]],1,0)</f>
        <v>1</v>
      </c>
      <c r="K532" s="8">
        <f>IF(Table134[[#This Row],[check]]=1,1,Table134[[#This Row],[A_tree]]*Table134[[#This Row],[اصله مستقل]]/Table134[[#This Row],[مساحت آدرس]])</f>
        <v>1</v>
      </c>
      <c r="L532" s="14">
        <f>IF(Table134[[#This Row],[check]]=1,1,(Table134[[#This Row],[Psh]]+0.15*(1-Table134[[#This Row],[Psh]])))</f>
        <v>1</v>
      </c>
      <c r="M532" s="14">
        <f>IF(Table134[[#This Row],[check]]=1,0.65,1)</f>
        <v>0.65</v>
      </c>
      <c r="N532" s="4">
        <v>1</v>
      </c>
      <c r="O532" s="4">
        <f>IF(Table134[[#This Row],[check]]=1,Table134[[#This Row],[مساحت آدرس]]*Table134[[#This Row],[A0 Inc]],Table134[[#This Row],[A_tree]]*Table134[[#This Row],[اصله مستقل]])</f>
        <v>4331</v>
      </c>
      <c r="P532" s="11">
        <f>IF(Table134[[#This Row],[check]]=1,Table134[[#This Row],[A0]]/Table134[[#This Row],[اصله مستقل]],Table134[[#This Row],[A_tree]])</f>
        <v>4.9553775743707096</v>
      </c>
    </row>
    <row r="533" spans="2:16" ht="18.600000000000001" x14ac:dyDescent="0.3">
      <c r="B533" s="4" t="s">
        <v>748</v>
      </c>
      <c r="C533" s="4">
        <v>380</v>
      </c>
      <c r="D533" s="4">
        <v>380</v>
      </c>
      <c r="E533" s="4">
        <v>2280</v>
      </c>
      <c r="F533" s="4">
        <v>2320</v>
      </c>
      <c r="G533" s="2" t="s">
        <v>21</v>
      </c>
      <c r="H533" s="4">
        <v>9</v>
      </c>
      <c r="I533" s="4">
        <f>Table134[[#This Row],[اصله مستقل]]*Table134[[#This Row],[A_tree]]</f>
        <v>3420</v>
      </c>
      <c r="J533" s="4">
        <f>IF(Table134[[#This Row],[n * A_tree ]]&gt;Table134[[#This Row],[مساحت آدرس]],1,0)</f>
        <v>1</v>
      </c>
      <c r="K533" s="8">
        <f>IF(Table134[[#This Row],[check]]=1,1,Table134[[#This Row],[A_tree]]*Table134[[#This Row],[اصله مستقل]]/Table134[[#This Row],[مساحت آدرس]])</f>
        <v>1</v>
      </c>
      <c r="L533" s="14">
        <f>IF(Table134[[#This Row],[check]]=1,1,(Table134[[#This Row],[Psh]]+0.15*(1-Table134[[#This Row],[Psh]])))</f>
        <v>1</v>
      </c>
      <c r="M533" s="14">
        <f>IF(Table134[[#This Row],[check]]=1,0.65,1)</f>
        <v>0.65</v>
      </c>
      <c r="N533" s="4">
        <v>1</v>
      </c>
      <c r="O533" s="4">
        <f>IF(Table134[[#This Row],[check]]=1,Table134[[#This Row],[مساحت آدرس]]*Table134[[#This Row],[A0 Inc]],Table134[[#This Row],[A_tree]]*Table134[[#This Row],[اصله مستقل]])</f>
        <v>2320</v>
      </c>
      <c r="P533" s="11">
        <f>IF(Table134[[#This Row],[check]]=1,Table134[[#This Row],[A0]]/Table134[[#This Row],[اصله مستقل]],Table134[[#This Row],[A_tree]])</f>
        <v>6.1052631578947372</v>
      </c>
    </row>
    <row r="534" spans="2:16" ht="18.600000000000001" x14ac:dyDescent="0.3">
      <c r="B534" s="4" t="s">
        <v>750</v>
      </c>
      <c r="C534" s="4">
        <v>8</v>
      </c>
      <c r="D534" s="4">
        <v>4</v>
      </c>
      <c r="E534" s="4">
        <v>25</v>
      </c>
      <c r="F534" s="4">
        <v>355</v>
      </c>
      <c r="G534" s="2" t="s">
        <v>62</v>
      </c>
      <c r="H534" s="4">
        <v>9</v>
      </c>
      <c r="I534" s="4">
        <f>Table134[[#This Row],[اصله مستقل]]*Table134[[#This Row],[A_tree]]</f>
        <v>36</v>
      </c>
      <c r="J534" s="4">
        <f>IF(Table134[[#This Row],[n * A_tree ]]&gt;Table134[[#This Row],[مساحت آدرس]],1,0)</f>
        <v>0</v>
      </c>
      <c r="K534" s="8">
        <f>IF(Table134[[#This Row],[check]]=1,1,Table134[[#This Row],[A_tree]]*Table134[[#This Row],[اصله مستقل]]/Table134[[#This Row],[مساحت آدرس]])</f>
        <v>0.10140845070422536</v>
      </c>
      <c r="L534" s="14">
        <f>IF(Table134[[#This Row],[check]]=1,1,(Table134[[#This Row],[Psh]]+0.15*(1-Table134[[#This Row],[Psh]])))</f>
        <v>0.23619718309859156</v>
      </c>
      <c r="M534" s="14">
        <f>IF(Table134[[#This Row],[check]]=1,0.65,1)</f>
        <v>1</v>
      </c>
      <c r="N534" s="4">
        <v>1</v>
      </c>
      <c r="O534" s="4">
        <f>IF(Table134[[#This Row],[check]]=1,Table134[[#This Row],[مساحت آدرس]]*Table134[[#This Row],[A0 Inc]],Table134[[#This Row],[A_tree]]*Table134[[#This Row],[اصله مستقل]])</f>
        <v>36</v>
      </c>
      <c r="P534" s="11">
        <f>IF(Table134[[#This Row],[check]]=1,Table134[[#This Row],[A0]]/Table134[[#This Row],[اصله مستقل]],Table134[[#This Row],[A_tree]])</f>
        <v>9</v>
      </c>
    </row>
    <row r="535" spans="2:16" ht="18.600000000000001" x14ac:dyDescent="0.3">
      <c r="B535" s="4" t="s">
        <v>751</v>
      </c>
      <c r="C535" s="4">
        <v>10</v>
      </c>
      <c r="D535" s="4">
        <v>5</v>
      </c>
      <c r="E535" s="4">
        <v>25</v>
      </c>
      <c r="F535" s="4">
        <v>440</v>
      </c>
      <c r="G535" s="2" t="s">
        <v>62</v>
      </c>
      <c r="H535" s="4">
        <v>9</v>
      </c>
      <c r="I535" s="4">
        <f>Table134[[#This Row],[اصله مستقل]]*Table134[[#This Row],[A_tree]]</f>
        <v>45</v>
      </c>
      <c r="J535" s="4">
        <f>IF(Table134[[#This Row],[n * A_tree ]]&gt;Table134[[#This Row],[مساحت آدرس]],1,0)</f>
        <v>0</v>
      </c>
      <c r="K535" s="8">
        <f>IF(Table134[[#This Row],[check]]=1,1,Table134[[#This Row],[A_tree]]*Table134[[#This Row],[اصله مستقل]]/Table134[[#This Row],[مساحت آدرس]])</f>
        <v>0.10227272727272728</v>
      </c>
      <c r="L535" s="14">
        <f>IF(Table134[[#This Row],[check]]=1,1,(Table134[[#This Row],[Psh]]+0.15*(1-Table134[[#This Row],[Psh]])))</f>
        <v>0.23693181818181819</v>
      </c>
      <c r="M535" s="14">
        <f>IF(Table134[[#This Row],[check]]=1,0.65,1)</f>
        <v>1</v>
      </c>
      <c r="N535" s="4">
        <v>1</v>
      </c>
      <c r="O535" s="4">
        <f>IF(Table134[[#This Row],[check]]=1,Table134[[#This Row],[مساحت آدرس]]*Table134[[#This Row],[A0 Inc]],Table134[[#This Row],[A_tree]]*Table134[[#This Row],[اصله مستقل]])</f>
        <v>45</v>
      </c>
      <c r="P535" s="11">
        <f>IF(Table134[[#This Row],[check]]=1,Table134[[#This Row],[A0]]/Table134[[#This Row],[اصله مستقل]],Table134[[#This Row],[A_tree]])</f>
        <v>9</v>
      </c>
    </row>
    <row r="536" spans="2:16" ht="18.600000000000001" x14ac:dyDescent="0.3">
      <c r="B536" s="4" t="s">
        <v>752</v>
      </c>
      <c r="C536" s="4">
        <v>52</v>
      </c>
      <c r="D536" s="4">
        <v>24</v>
      </c>
      <c r="E536" s="4">
        <v>105</v>
      </c>
      <c r="F536" s="4">
        <v>1865</v>
      </c>
      <c r="G536" s="2" t="s">
        <v>62</v>
      </c>
      <c r="H536" s="4">
        <v>9</v>
      </c>
      <c r="I536" s="4">
        <f>Table134[[#This Row],[اصله مستقل]]*Table134[[#This Row],[A_tree]]</f>
        <v>216</v>
      </c>
      <c r="J536" s="4">
        <f>IF(Table134[[#This Row],[n * A_tree ]]&gt;Table134[[#This Row],[مساحت آدرس]],1,0)</f>
        <v>0</v>
      </c>
      <c r="K536" s="8">
        <f>IF(Table134[[#This Row],[check]]=1,1,Table134[[#This Row],[A_tree]]*Table134[[#This Row],[اصله مستقل]]/Table134[[#This Row],[مساحت آدرس]])</f>
        <v>0.11581769436997319</v>
      </c>
      <c r="L536" s="14">
        <f>IF(Table134[[#This Row],[check]]=1,1,(Table134[[#This Row],[Psh]]+0.15*(1-Table134[[#This Row],[Psh]])))</f>
        <v>0.24844504021447722</v>
      </c>
      <c r="M536" s="14">
        <f>IF(Table134[[#This Row],[check]]=1,0.65,1)</f>
        <v>1</v>
      </c>
      <c r="N536" s="4">
        <v>1</v>
      </c>
      <c r="O536" s="4">
        <f>IF(Table134[[#This Row],[check]]=1,Table134[[#This Row],[مساحت آدرس]]*Table134[[#This Row],[A0 Inc]],Table134[[#This Row],[A_tree]]*Table134[[#This Row],[اصله مستقل]])</f>
        <v>216</v>
      </c>
      <c r="P536" s="11">
        <f>IF(Table134[[#This Row],[check]]=1,Table134[[#This Row],[A0]]/Table134[[#This Row],[اصله مستقل]],Table134[[#This Row],[A_tree]])</f>
        <v>9</v>
      </c>
    </row>
    <row r="537" spans="2:16" ht="18.600000000000001" x14ac:dyDescent="0.3">
      <c r="B537" s="4" t="s">
        <v>753</v>
      </c>
      <c r="C537" s="4">
        <v>446</v>
      </c>
      <c r="D537" s="4">
        <v>446</v>
      </c>
      <c r="E537" s="4">
        <v>1500</v>
      </c>
      <c r="F537" s="4">
        <v>2950</v>
      </c>
      <c r="G537" s="2" t="s">
        <v>62</v>
      </c>
      <c r="H537" s="4">
        <v>9</v>
      </c>
      <c r="I537" s="4">
        <f>Table134[[#This Row],[اصله مستقل]]*Table134[[#This Row],[A_tree]]</f>
        <v>4014</v>
      </c>
      <c r="J537" s="4">
        <f>IF(Table134[[#This Row],[n * A_tree ]]&gt;Table134[[#This Row],[مساحت آدرس]],1,0)</f>
        <v>1</v>
      </c>
      <c r="K537" s="8">
        <f>IF(Table134[[#This Row],[check]]=1,1,Table134[[#This Row],[A_tree]]*Table134[[#This Row],[اصله مستقل]]/Table134[[#This Row],[مساحت آدرس]])</f>
        <v>1</v>
      </c>
      <c r="L537" s="14">
        <f>IF(Table134[[#This Row],[check]]=1,1,(Table134[[#This Row],[Psh]]+0.15*(1-Table134[[#This Row],[Psh]])))</f>
        <v>1</v>
      </c>
      <c r="M537" s="14">
        <f>IF(Table134[[#This Row],[check]]=1,0.65,1)</f>
        <v>0.65</v>
      </c>
      <c r="N537" s="4">
        <v>1</v>
      </c>
      <c r="O537" s="4">
        <f>IF(Table134[[#This Row],[check]]=1,Table134[[#This Row],[مساحت آدرس]]*Table134[[#This Row],[A0 Inc]],Table134[[#This Row],[A_tree]]*Table134[[#This Row],[اصله مستقل]])</f>
        <v>2950</v>
      </c>
      <c r="P537" s="11">
        <f>IF(Table134[[#This Row],[check]]=1,Table134[[#This Row],[A0]]/Table134[[#This Row],[اصله مستقل]],Table134[[#This Row],[A_tree]])</f>
        <v>6.6143497757847536</v>
      </c>
    </row>
    <row r="538" spans="2:16" ht="18.600000000000001" x14ac:dyDescent="0.3">
      <c r="B538" s="4" t="s">
        <v>754</v>
      </c>
      <c r="C538" s="4">
        <v>128</v>
      </c>
      <c r="D538" s="4">
        <v>27</v>
      </c>
      <c r="E538" s="4">
        <v>185</v>
      </c>
      <c r="F538" s="4">
        <v>1655</v>
      </c>
      <c r="G538" s="2" t="s">
        <v>62</v>
      </c>
      <c r="H538" s="4">
        <v>9</v>
      </c>
      <c r="I538" s="4">
        <f>Table134[[#This Row],[اصله مستقل]]*Table134[[#This Row],[A_tree]]</f>
        <v>243</v>
      </c>
      <c r="J538" s="4">
        <f>IF(Table134[[#This Row],[n * A_tree ]]&gt;Table134[[#This Row],[مساحت آدرس]],1,0)</f>
        <v>0</v>
      </c>
      <c r="K538" s="8">
        <f>IF(Table134[[#This Row],[check]]=1,1,Table134[[#This Row],[A_tree]]*Table134[[#This Row],[اصله مستقل]]/Table134[[#This Row],[مساحت آدرس]])</f>
        <v>0.14682779456193354</v>
      </c>
      <c r="L538" s="14">
        <f>IF(Table134[[#This Row],[check]]=1,1,(Table134[[#This Row],[Psh]]+0.15*(1-Table134[[#This Row],[Psh]])))</f>
        <v>0.27480362537764347</v>
      </c>
      <c r="M538" s="14">
        <f>IF(Table134[[#This Row],[check]]=1,0.65,1)</f>
        <v>1</v>
      </c>
      <c r="N538" s="4">
        <v>1</v>
      </c>
      <c r="O538" s="4">
        <f>IF(Table134[[#This Row],[check]]=1,Table134[[#This Row],[مساحت آدرس]]*Table134[[#This Row],[A0 Inc]],Table134[[#This Row],[A_tree]]*Table134[[#This Row],[اصله مستقل]])</f>
        <v>243</v>
      </c>
      <c r="P538" s="11">
        <f>IF(Table134[[#This Row],[check]]=1,Table134[[#This Row],[A0]]/Table134[[#This Row],[اصله مستقل]],Table134[[#This Row],[A_tree]])</f>
        <v>9</v>
      </c>
    </row>
    <row r="539" spans="2:16" ht="18.600000000000001" x14ac:dyDescent="0.3">
      <c r="B539" s="4" t="s">
        <v>755</v>
      </c>
      <c r="C539" s="4">
        <v>254</v>
      </c>
      <c r="D539" s="4">
        <v>254</v>
      </c>
      <c r="E539" s="4">
        <v>2500</v>
      </c>
      <c r="F539" s="4">
        <v>2540</v>
      </c>
      <c r="G539" s="2" t="s">
        <v>62</v>
      </c>
      <c r="H539" s="4">
        <v>9</v>
      </c>
      <c r="I539" s="4">
        <f>Table134[[#This Row],[اصله مستقل]]*Table134[[#This Row],[A_tree]]</f>
        <v>2286</v>
      </c>
      <c r="J539" s="4">
        <f>IF(Table134[[#This Row],[n * A_tree ]]&gt;Table134[[#This Row],[مساحت آدرس]],1,0)</f>
        <v>0</v>
      </c>
      <c r="K539" s="8">
        <f>IF(Table134[[#This Row],[check]]=1,1,Table134[[#This Row],[A_tree]]*Table134[[#This Row],[اصله مستقل]]/Table134[[#This Row],[مساحت آدرس]])</f>
        <v>0.9</v>
      </c>
      <c r="L539" s="14">
        <f>IF(Table134[[#This Row],[check]]=1,1,(Table134[[#This Row],[Psh]]+0.15*(1-Table134[[#This Row],[Psh]])))</f>
        <v>0.91500000000000004</v>
      </c>
      <c r="M539" s="14">
        <f>IF(Table134[[#This Row],[check]]=1,0.65,1)</f>
        <v>1</v>
      </c>
      <c r="N539" s="4">
        <v>1</v>
      </c>
      <c r="O539" s="4">
        <f>IF(Table134[[#This Row],[check]]=1,Table134[[#This Row],[مساحت آدرس]]*Table134[[#This Row],[A0 Inc]],Table134[[#This Row],[A_tree]]*Table134[[#This Row],[اصله مستقل]])</f>
        <v>2286</v>
      </c>
      <c r="P539" s="11">
        <f>IF(Table134[[#This Row],[check]]=1,Table134[[#This Row],[A0]]/Table134[[#This Row],[اصله مستقل]],Table134[[#This Row],[A_tree]])</f>
        <v>9</v>
      </c>
    </row>
    <row r="540" spans="2:16" ht="18.600000000000001" x14ac:dyDescent="0.3">
      <c r="B540" s="4" t="s">
        <v>756</v>
      </c>
      <c r="C540" s="4">
        <v>90</v>
      </c>
      <c r="D540" s="4">
        <v>90</v>
      </c>
      <c r="E540" s="4">
        <v>420</v>
      </c>
      <c r="F540" s="4">
        <v>930</v>
      </c>
      <c r="G540" s="2" t="s">
        <v>62</v>
      </c>
      <c r="H540" s="4">
        <v>9</v>
      </c>
      <c r="I540" s="4">
        <f>Table134[[#This Row],[اصله مستقل]]*Table134[[#This Row],[A_tree]]</f>
        <v>810</v>
      </c>
      <c r="J540" s="4">
        <f>IF(Table134[[#This Row],[n * A_tree ]]&gt;Table134[[#This Row],[مساحت آدرس]],1,0)</f>
        <v>0</v>
      </c>
      <c r="K540" s="8">
        <f>IF(Table134[[#This Row],[check]]=1,1,Table134[[#This Row],[A_tree]]*Table134[[#This Row],[اصله مستقل]]/Table134[[#This Row],[مساحت آدرس]])</f>
        <v>0.87096774193548387</v>
      </c>
      <c r="L540" s="14">
        <f>IF(Table134[[#This Row],[check]]=1,1,(Table134[[#This Row],[Psh]]+0.15*(1-Table134[[#This Row],[Psh]])))</f>
        <v>0.89032258064516134</v>
      </c>
      <c r="M540" s="14">
        <f>IF(Table134[[#This Row],[check]]=1,0.65,1)</f>
        <v>1</v>
      </c>
      <c r="N540" s="4">
        <v>1</v>
      </c>
      <c r="O540" s="4">
        <f>IF(Table134[[#This Row],[check]]=1,Table134[[#This Row],[مساحت آدرس]]*Table134[[#This Row],[A0 Inc]],Table134[[#This Row],[A_tree]]*Table134[[#This Row],[اصله مستقل]])</f>
        <v>810</v>
      </c>
      <c r="P540" s="11">
        <f>IF(Table134[[#This Row],[check]]=1,Table134[[#This Row],[A0]]/Table134[[#This Row],[اصله مستقل]],Table134[[#This Row],[A_tree]])</f>
        <v>9</v>
      </c>
    </row>
    <row r="541" spans="2:16" ht="18.600000000000001" x14ac:dyDescent="0.3">
      <c r="B541" s="4" t="s">
        <v>757</v>
      </c>
      <c r="C541" s="4">
        <v>18</v>
      </c>
      <c r="D541" s="4">
        <v>8</v>
      </c>
      <c r="E541" s="4">
        <v>45</v>
      </c>
      <c r="F541" s="4">
        <v>580</v>
      </c>
      <c r="G541" s="2" t="s">
        <v>62</v>
      </c>
      <c r="H541" s="4">
        <v>9</v>
      </c>
      <c r="I541" s="4">
        <f>Table134[[#This Row],[اصله مستقل]]*Table134[[#This Row],[A_tree]]</f>
        <v>72</v>
      </c>
      <c r="J541" s="4">
        <f>IF(Table134[[#This Row],[n * A_tree ]]&gt;Table134[[#This Row],[مساحت آدرس]],1,0)</f>
        <v>0</v>
      </c>
      <c r="K541" s="8">
        <f>IF(Table134[[#This Row],[check]]=1,1,Table134[[#This Row],[A_tree]]*Table134[[#This Row],[اصله مستقل]]/Table134[[#This Row],[مساحت آدرس]])</f>
        <v>0.12413793103448276</v>
      </c>
      <c r="L541" s="14">
        <f>IF(Table134[[#This Row],[check]]=1,1,(Table134[[#This Row],[Psh]]+0.15*(1-Table134[[#This Row],[Psh]])))</f>
        <v>0.25551724137931031</v>
      </c>
      <c r="M541" s="14">
        <f>IF(Table134[[#This Row],[check]]=1,0.65,1)</f>
        <v>1</v>
      </c>
      <c r="N541" s="4">
        <v>1</v>
      </c>
      <c r="O541" s="4">
        <f>IF(Table134[[#This Row],[check]]=1,Table134[[#This Row],[مساحت آدرس]]*Table134[[#This Row],[A0 Inc]],Table134[[#This Row],[A_tree]]*Table134[[#This Row],[اصله مستقل]])</f>
        <v>72</v>
      </c>
      <c r="P541" s="11">
        <f>IF(Table134[[#This Row],[check]]=1,Table134[[#This Row],[A0]]/Table134[[#This Row],[اصله مستقل]],Table134[[#This Row],[A_tree]])</f>
        <v>9</v>
      </c>
    </row>
    <row r="542" spans="2:16" ht="18.600000000000001" x14ac:dyDescent="0.3">
      <c r="B542" s="4" t="s">
        <v>759</v>
      </c>
      <c r="C542" s="4">
        <v>350</v>
      </c>
      <c r="D542" s="4">
        <v>350</v>
      </c>
      <c r="E542" s="4">
        <v>1050</v>
      </c>
      <c r="F542" s="4">
        <v>4402</v>
      </c>
      <c r="G542" s="2" t="s">
        <v>3</v>
      </c>
      <c r="H542" s="4">
        <v>9</v>
      </c>
      <c r="I542" s="4">
        <f>Table134[[#This Row],[اصله مستقل]]*Table134[[#This Row],[A_tree]]</f>
        <v>3150</v>
      </c>
      <c r="J542" s="4">
        <f>IF(Table134[[#This Row],[n * A_tree ]]&gt;Table134[[#This Row],[مساحت آدرس]],1,0)</f>
        <v>0</v>
      </c>
      <c r="K542" s="8">
        <f>IF(Table134[[#This Row],[check]]=1,1,Table134[[#This Row],[A_tree]]*Table134[[#This Row],[اصله مستقل]]/Table134[[#This Row],[مساحت آدرس]])</f>
        <v>0.71558382553384825</v>
      </c>
      <c r="L542" s="14">
        <f>IF(Table134[[#This Row],[check]]=1,1,(Table134[[#This Row],[Psh]]+0.15*(1-Table134[[#This Row],[Psh]])))</f>
        <v>0.75824625170377102</v>
      </c>
      <c r="M542" s="14">
        <f>IF(Table134[[#This Row],[check]]=1,0.65,1)</f>
        <v>1</v>
      </c>
      <c r="N542" s="4">
        <v>1</v>
      </c>
      <c r="O542" s="4">
        <f>IF(Table134[[#This Row],[check]]=1,Table134[[#This Row],[مساحت آدرس]]*Table134[[#This Row],[A0 Inc]],Table134[[#This Row],[A_tree]]*Table134[[#This Row],[اصله مستقل]])</f>
        <v>3150</v>
      </c>
      <c r="P542" s="11">
        <f>IF(Table134[[#This Row],[check]]=1,Table134[[#This Row],[A0]]/Table134[[#This Row],[اصله مستقل]],Table134[[#This Row],[A_tree]])</f>
        <v>9</v>
      </c>
    </row>
    <row r="543" spans="2:16" ht="18.600000000000001" x14ac:dyDescent="0.3">
      <c r="B543" s="4" t="s">
        <v>760</v>
      </c>
      <c r="C543" s="4">
        <v>498</v>
      </c>
      <c r="D543" s="4">
        <v>42</v>
      </c>
      <c r="E543" s="4">
        <v>184</v>
      </c>
      <c r="F543" s="4">
        <v>3107</v>
      </c>
      <c r="G543" s="2" t="s">
        <v>3</v>
      </c>
      <c r="H543" s="4">
        <v>9</v>
      </c>
      <c r="I543" s="4">
        <f>Table134[[#This Row],[اصله مستقل]]*Table134[[#This Row],[A_tree]]</f>
        <v>378</v>
      </c>
      <c r="J543" s="4">
        <f>IF(Table134[[#This Row],[n * A_tree ]]&gt;Table134[[#This Row],[مساحت آدرس]],1,0)</f>
        <v>0</v>
      </c>
      <c r="K543" s="8">
        <f>IF(Table134[[#This Row],[check]]=1,1,Table134[[#This Row],[A_tree]]*Table134[[#This Row],[اصله مستقل]]/Table134[[#This Row],[مساحت آدرس]])</f>
        <v>0.12166076601223044</v>
      </c>
      <c r="L543" s="14">
        <f>IF(Table134[[#This Row],[check]]=1,1,(Table134[[#This Row],[Psh]]+0.15*(1-Table134[[#This Row],[Psh]])))</f>
        <v>0.25341165111039587</v>
      </c>
      <c r="M543" s="14">
        <f>IF(Table134[[#This Row],[check]]=1,0.65,1)</f>
        <v>1</v>
      </c>
      <c r="N543" s="4">
        <v>1</v>
      </c>
      <c r="O543" s="4">
        <f>IF(Table134[[#This Row],[check]]=1,Table134[[#This Row],[مساحت آدرس]]*Table134[[#This Row],[A0 Inc]],Table134[[#This Row],[A_tree]]*Table134[[#This Row],[اصله مستقل]])</f>
        <v>378</v>
      </c>
      <c r="P543" s="11">
        <f>IF(Table134[[#This Row],[check]]=1,Table134[[#This Row],[A0]]/Table134[[#This Row],[اصله مستقل]],Table134[[#This Row],[A_tree]])</f>
        <v>9</v>
      </c>
    </row>
    <row r="544" spans="2:16" ht="18.600000000000001" x14ac:dyDescent="0.3">
      <c r="B544" s="4" t="s">
        <v>761</v>
      </c>
      <c r="C544" s="4">
        <v>820</v>
      </c>
      <c r="D544" s="4">
        <v>820</v>
      </c>
      <c r="E544" s="4">
        <v>5740</v>
      </c>
      <c r="F544" s="4">
        <v>10790</v>
      </c>
      <c r="G544" s="2" t="s">
        <v>3</v>
      </c>
      <c r="H544" s="4">
        <v>9</v>
      </c>
      <c r="I544" s="4">
        <f>Table134[[#This Row],[اصله مستقل]]*Table134[[#This Row],[A_tree]]</f>
        <v>7380</v>
      </c>
      <c r="J544" s="4">
        <f>IF(Table134[[#This Row],[n * A_tree ]]&gt;Table134[[#This Row],[مساحت آدرس]],1,0)</f>
        <v>0</v>
      </c>
      <c r="K544" s="8">
        <f>IF(Table134[[#This Row],[check]]=1,1,Table134[[#This Row],[A_tree]]*Table134[[#This Row],[اصله مستقل]]/Table134[[#This Row],[مساحت آدرس]])</f>
        <v>0.68396663577386474</v>
      </c>
      <c r="L544" s="14">
        <f>IF(Table134[[#This Row],[check]]=1,1,(Table134[[#This Row],[Psh]]+0.15*(1-Table134[[#This Row],[Psh]])))</f>
        <v>0.73137164040778502</v>
      </c>
      <c r="M544" s="14">
        <f>IF(Table134[[#This Row],[check]]=1,0.65,1)</f>
        <v>1</v>
      </c>
      <c r="N544" s="4">
        <v>1</v>
      </c>
      <c r="O544" s="4">
        <f>IF(Table134[[#This Row],[check]]=1,Table134[[#This Row],[مساحت آدرس]]*Table134[[#This Row],[A0 Inc]],Table134[[#This Row],[A_tree]]*Table134[[#This Row],[اصله مستقل]])</f>
        <v>7380</v>
      </c>
      <c r="P544" s="11">
        <f>IF(Table134[[#This Row],[check]]=1,Table134[[#This Row],[A0]]/Table134[[#This Row],[اصله مستقل]],Table134[[#This Row],[A_tree]])</f>
        <v>9</v>
      </c>
    </row>
    <row r="545" spans="2:16" ht="18.600000000000001" x14ac:dyDescent="0.3">
      <c r="B545" s="4" t="s">
        <v>762</v>
      </c>
      <c r="C545" s="4">
        <v>599</v>
      </c>
      <c r="D545" s="4">
        <v>599</v>
      </c>
      <c r="E545" s="4">
        <v>1620</v>
      </c>
      <c r="F545" s="4">
        <v>6884</v>
      </c>
      <c r="G545" s="2" t="s">
        <v>283</v>
      </c>
      <c r="H545" s="4">
        <v>9</v>
      </c>
      <c r="I545" s="4">
        <f>Table134[[#This Row],[اصله مستقل]]*Table134[[#This Row],[A_tree]]</f>
        <v>5391</v>
      </c>
      <c r="J545" s="4">
        <f>IF(Table134[[#This Row],[n * A_tree ]]&gt;Table134[[#This Row],[مساحت آدرس]],1,0)</f>
        <v>0</v>
      </c>
      <c r="K545" s="8">
        <f>IF(Table134[[#This Row],[check]]=1,1,Table134[[#This Row],[A_tree]]*Table134[[#This Row],[اصله مستقل]]/Table134[[#This Row],[مساحت آدرس]])</f>
        <v>0.78312027890761182</v>
      </c>
      <c r="L545" s="14">
        <f>IF(Table134[[#This Row],[check]]=1,1,(Table134[[#This Row],[Psh]]+0.15*(1-Table134[[#This Row],[Psh]])))</f>
        <v>0.81565223707147005</v>
      </c>
      <c r="M545" s="14">
        <f>IF(Table134[[#This Row],[check]]=1,0.65,1)</f>
        <v>1</v>
      </c>
      <c r="N545" s="4">
        <v>1</v>
      </c>
      <c r="O545" s="4">
        <f>IF(Table134[[#This Row],[check]]=1,Table134[[#This Row],[مساحت آدرس]]*Table134[[#This Row],[A0 Inc]],Table134[[#This Row],[A_tree]]*Table134[[#This Row],[اصله مستقل]])</f>
        <v>5391</v>
      </c>
      <c r="P545" s="11">
        <f>IF(Table134[[#This Row],[check]]=1,Table134[[#This Row],[A0]]/Table134[[#This Row],[اصله مستقل]],Table134[[#This Row],[A_tree]])</f>
        <v>9</v>
      </c>
    </row>
    <row r="546" spans="2:16" ht="18.600000000000001" x14ac:dyDescent="0.3">
      <c r="B546" s="4" t="s">
        <v>763</v>
      </c>
      <c r="C546" s="4">
        <v>6725</v>
      </c>
      <c r="D546" s="4">
        <v>6287</v>
      </c>
      <c r="E546" s="4">
        <v>25148</v>
      </c>
      <c r="F546" s="4">
        <v>40982</v>
      </c>
      <c r="G546" s="2" t="s">
        <v>21</v>
      </c>
      <c r="H546" s="4">
        <v>9</v>
      </c>
      <c r="I546" s="4">
        <f>Table134[[#This Row],[اصله مستقل]]*Table134[[#This Row],[A_tree]]</f>
        <v>56583</v>
      </c>
      <c r="J546" s="4">
        <f>IF(Table134[[#This Row],[n * A_tree ]]&gt;Table134[[#This Row],[مساحت آدرس]],1,0)</f>
        <v>1</v>
      </c>
      <c r="K546" s="8">
        <f>IF(Table134[[#This Row],[check]]=1,1,Table134[[#This Row],[A_tree]]*Table134[[#This Row],[اصله مستقل]]/Table134[[#This Row],[مساحت آدرس]])</f>
        <v>1</v>
      </c>
      <c r="L546" s="14">
        <f>IF(Table134[[#This Row],[check]]=1,1,(Table134[[#This Row],[Psh]]+0.15*(1-Table134[[#This Row],[Psh]])))</f>
        <v>1</v>
      </c>
      <c r="M546" s="14">
        <f>IF(Table134[[#This Row],[check]]=1,0.65,1)</f>
        <v>0.65</v>
      </c>
      <c r="N546" s="4">
        <v>1</v>
      </c>
      <c r="O546" s="4">
        <f>IF(Table134[[#This Row],[check]]=1,Table134[[#This Row],[مساحت آدرس]]*Table134[[#This Row],[A0 Inc]],Table134[[#This Row],[A_tree]]*Table134[[#This Row],[اصله مستقل]])</f>
        <v>40982</v>
      </c>
      <c r="P546" s="11">
        <f>IF(Table134[[#This Row],[check]]=1,Table134[[#This Row],[A0]]/Table134[[#This Row],[اصله مستقل]],Table134[[#This Row],[A_tree]])</f>
        <v>6.5185303006203279</v>
      </c>
    </row>
    <row r="547" spans="2:16" ht="18.600000000000001" x14ac:dyDescent="0.3">
      <c r="B547" s="4" t="s">
        <v>764</v>
      </c>
      <c r="C547" s="4">
        <v>1203</v>
      </c>
      <c r="D547" s="4">
        <v>1203</v>
      </c>
      <c r="E547" s="4">
        <v>3182</v>
      </c>
      <c r="F547" s="4">
        <v>5069</v>
      </c>
      <c r="G547" s="2" t="s">
        <v>21</v>
      </c>
      <c r="H547" s="4">
        <v>9</v>
      </c>
      <c r="I547" s="4">
        <f>Table134[[#This Row],[اصله مستقل]]*Table134[[#This Row],[A_tree]]</f>
        <v>10827</v>
      </c>
      <c r="J547" s="4">
        <f>IF(Table134[[#This Row],[n * A_tree ]]&gt;Table134[[#This Row],[مساحت آدرس]],1,0)</f>
        <v>1</v>
      </c>
      <c r="K547" s="8">
        <f>IF(Table134[[#This Row],[check]]=1,1,Table134[[#This Row],[A_tree]]*Table134[[#This Row],[اصله مستقل]]/Table134[[#This Row],[مساحت آدرس]])</f>
        <v>1</v>
      </c>
      <c r="L547" s="14">
        <f>IF(Table134[[#This Row],[check]]=1,1,(Table134[[#This Row],[Psh]]+0.15*(1-Table134[[#This Row],[Psh]])))</f>
        <v>1</v>
      </c>
      <c r="M547" s="14">
        <f>IF(Table134[[#This Row],[check]]=1,0.65,1)</f>
        <v>0.65</v>
      </c>
      <c r="N547" s="4">
        <v>1</v>
      </c>
      <c r="O547" s="4">
        <f>IF(Table134[[#This Row],[check]]=1,Table134[[#This Row],[مساحت آدرس]]*Table134[[#This Row],[A0 Inc]],Table134[[#This Row],[A_tree]]*Table134[[#This Row],[اصله مستقل]])</f>
        <v>5069</v>
      </c>
      <c r="P547" s="11">
        <f>IF(Table134[[#This Row],[check]]=1,Table134[[#This Row],[A0]]/Table134[[#This Row],[اصله مستقل]],Table134[[#This Row],[A_tree]])</f>
        <v>4.2136325852036576</v>
      </c>
    </row>
    <row r="548" spans="2:16" ht="18.600000000000001" x14ac:dyDescent="0.3">
      <c r="B548" s="4" t="s">
        <v>765</v>
      </c>
      <c r="C548" s="4">
        <v>1474</v>
      </c>
      <c r="D548" s="4">
        <v>145</v>
      </c>
      <c r="E548" s="4">
        <v>435</v>
      </c>
      <c r="F548" s="4">
        <v>13291</v>
      </c>
      <c r="G548" s="2" t="s">
        <v>21</v>
      </c>
      <c r="H548" s="4">
        <v>9</v>
      </c>
      <c r="I548" s="4">
        <f>Table134[[#This Row],[اصله مستقل]]*Table134[[#This Row],[A_tree]]</f>
        <v>1305</v>
      </c>
      <c r="J548" s="4">
        <f>IF(Table134[[#This Row],[n * A_tree ]]&gt;Table134[[#This Row],[مساحت آدرس]],1,0)</f>
        <v>0</v>
      </c>
      <c r="K548" s="8">
        <f>IF(Table134[[#This Row],[check]]=1,1,Table134[[#This Row],[A_tree]]*Table134[[#This Row],[اصله مستقل]]/Table134[[#This Row],[مساحت آدرس]])</f>
        <v>9.8186742908735233E-2</v>
      </c>
      <c r="L548" s="14">
        <f>IF(Table134[[#This Row],[check]]=1,1,(Table134[[#This Row],[Psh]]+0.15*(1-Table134[[#This Row],[Psh]])))</f>
        <v>0.23345873147242496</v>
      </c>
      <c r="M548" s="14">
        <f>IF(Table134[[#This Row],[check]]=1,0.65,1)</f>
        <v>1</v>
      </c>
      <c r="N548" s="4">
        <v>1</v>
      </c>
      <c r="O548" s="4">
        <f>IF(Table134[[#This Row],[check]]=1,Table134[[#This Row],[مساحت آدرس]]*Table134[[#This Row],[A0 Inc]],Table134[[#This Row],[A_tree]]*Table134[[#This Row],[اصله مستقل]])</f>
        <v>1305</v>
      </c>
      <c r="P548" s="11">
        <f>IF(Table134[[#This Row],[check]]=1,Table134[[#This Row],[A0]]/Table134[[#This Row],[اصله مستقل]],Table134[[#This Row],[A_tree]])</f>
        <v>9</v>
      </c>
    </row>
    <row r="549" spans="2:16" ht="18.600000000000001" x14ac:dyDescent="0.3">
      <c r="B549" s="4" t="s">
        <v>772</v>
      </c>
      <c r="C549" s="4">
        <v>297</v>
      </c>
      <c r="D549" s="4">
        <v>297</v>
      </c>
      <c r="E549" s="4">
        <v>1588</v>
      </c>
      <c r="F549" s="4">
        <v>2881</v>
      </c>
      <c r="G549" s="2" t="s">
        <v>21</v>
      </c>
      <c r="H549" s="4">
        <v>9</v>
      </c>
      <c r="I549" s="4">
        <f>Table134[[#This Row],[اصله مستقل]]*Table134[[#This Row],[A_tree]]</f>
        <v>2673</v>
      </c>
      <c r="J549" s="4">
        <f>IF(Table134[[#This Row],[n * A_tree ]]&gt;Table134[[#This Row],[مساحت آدرس]],1,0)</f>
        <v>0</v>
      </c>
      <c r="K549" s="8">
        <f>IF(Table134[[#This Row],[check]]=1,1,Table134[[#This Row],[A_tree]]*Table134[[#This Row],[اصله مستقل]]/Table134[[#This Row],[مساحت آدرس]])</f>
        <v>0.9278028462339466</v>
      </c>
      <c r="L549" s="14">
        <f>IF(Table134[[#This Row],[check]]=1,1,(Table134[[#This Row],[Psh]]+0.15*(1-Table134[[#This Row],[Psh]])))</f>
        <v>0.93863241929885466</v>
      </c>
      <c r="M549" s="14">
        <f>IF(Table134[[#This Row],[check]]=1,0.65,1)</f>
        <v>1</v>
      </c>
      <c r="N549" s="4">
        <v>1</v>
      </c>
      <c r="O549" s="4">
        <f>IF(Table134[[#This Row],[check]]=1,Table134[[#This Row],[مساحت آدرس]]*Table134[[#This Row],[A0 Inc]],Table134[[#This Row],[A_tree]]*Table134[[#This Row],[اصله مستقل]])</f>
        <v>2673</v>
      </c>
      <c r="P549" s="11">
        <f>IF(Table134[[#This Row],[check]]=1,Table134[[#This Row],[A0]]/Table134[[#This Row],[اصله مستقل]],Table134[[#This Row],[A_tree]])</f>
        <v>9</v>
      </c>
    </row>
    <row r="550" spans="2:16" ht="18.600000000000001" x14ac:dyDescent="0.3">
      <c r="B550" s="4" t="s">
        <v>773</v>
      </c>
      <c r="C550" s="4">
        <v>479</v>
      </c>
      <c r="D550" s="4">
        <v>479</v>
      </c>
      <c r="E550" s="4">
        <v>968</v>
      </c>
      <c r="F550" s="4">
        <v>1591</v>
      </c>
      <c r="G550" s="2" t="s">
        <v>21</v>
      </c>
      <c r="H550" s="4">
        <v>9</v>
      </c>
      <c r="I550" s="4">
        <f>Table134[[#This Row],[اصله مستقل]]*Table134[[#This Row],[A_tree]]</f>
        <v>4311</v>
      </c>
      <c r="J550" s="4">
        <f>IF(Table134[[#This Row],[n * A_tree ]]&gt;Table134[[#This Row],[مساحت آدرس]],1,0)</f>
        <v>1</v>
      </c>
      <c r="K550" s="8">
        <f>IF(Table134[[#This Row],[check]]=1,1,Table134[[#This Row],[A_tree]]*Table134[[#This Row],[اصله مستقل]]/Table134[[#This Row],[مساحت آدرس]])</f>
        <v>1</v>
      </c>
      <c r="L550" s="14">
        <f>IF(Table134[[#This Row],[check]]=1,1,(Table134[[#This Row],[Psh]]+0.15*(1-Table134[[#This Row],[Psh]])))</f>
        <v>1</v>
      </c>
      <c r="M550" s="14">
        <f>IF(Table134[[#This Row],[check]]=1,0.65,1)</f>
        <v>0.65</v>
      </c>
      <c r="N550" s="4">
        <v>1</v>
      </c>
      <c r="O550" s="4">
        <f>IF(Table134[[#This Row],[check]]=1,Table134[[#This Row],[مساحت آدرس]]*Table134[[#This Row],[A0 Inc]],Table134[[#This Row],[A_tree]]*Table134[[#This Row],[اصله مستقل]])</f>
        <v>1591</v>
      </c>
      <c r="P550" s="11">
        <f>IF(Table134[[#This Row],[check]]=1,Table134[[#This Row],[A0]]/Table134[[#This Row],[اصله مستقل]],Table134[[#This Row],[A_tree]])</f>
        <v>3.3215031315240084</v>
      </c>
    </row>
    <row r="551" spans="2:16" ht="18.600000000000001" x14ac:dyDescent="0.3">
      <c r="B551" s="4" t="s">
        <v>774</v>
      </c>
      <c r="C551" s="4">
        <v>911</v>
      </c>
      <c r="D551" s="4">
        <v>911</v>
      </c>
      <c r="E551" s="4">
        <v>3230</v>
      </c>
      <c r="F551" s="4">
        <v>8479</v>
      </c>
      <c r="G551" s="2" t="s">
        <v>21</v>
      </c>
      <c r="H551" s="4">
        <v>9</v>
      </c>
      <c r="I551" s="4">
        <f>Table134[[#This Row],[اصله مستقل]]*Table134[[#This Row],[A_tree]]</f>
        <v>8199</v>
      </c>
      <c r="J551" s="4">
        <f>IF(Table134[[#This Row],[n * A_tree ]]&gt;Table134[[#This Row],[مساحت آدرس]],1,0)</f>
        <v>0</v>
      </c>
      <c r="K551" s="8">
        <f>IF(Table134[[#This Row],[check]]=1,1,Table134[[#This Row],[A_tree]]*Table134[[#This Row],[اصله مستقل]]/Table134[[#This Row],[مساحت آدرس]])</f>
        <v>0.96697723788182566</v>
      </c>
      <c r="L551" s="14">
        <f>IF(Table134[[#This Row],[check]]=1,1,(Table134[[#This Row],[Psh]]+0.15*(1-Table134[[#This Row],[Psh]])))</f>
        <v>0.97193065219955177</v>
      </c>
      <c r="M551" s="14">
        <f>IF(Table134[[#This Row],[check]]=1,0.65,1)</f>
        <v>1</v>
      </c>
      <c r="N551" s="4">
        <v>1</v>
      </c>
      <c r="O551" s="4">
        <f>IF(Table134[[#This Row],[check]]=1,Table134[[#This Row],[مساحت آدرس]]*Table134[[#This Row],[A0 Inc]],Table134[[#This Row],[A_tree]]*Table134[[#This Row],[اصله مستقل]])</f>
        <v>8199</v>
      </c>
      <c r="P551" s="11">
        <f>IF(Table134[[#This Row],[check]]=1,Table134[[#This Row],[A0]]/Table134[[#This Row],[اصله مستقل]],Table134[[#This Row],[A_tree]])</f>
        <v>9</v>
      </c>
    </row>
    <row r="552" spans="2:16" ht="18.600000000000001" x14ac:dyDescent="0.3">
      <c r="B552" s="4" t="s">
        <v>777</v>
      </c>
      <c r="C552" s="4">
        <v>115</v>
      </c>
      <c r="D552" s="4">
        <v>115</v>
      </c>
      <c r="E552" s="4">
        <v>920</v>
      </c>
      <c r="F552" s="4">
        <v>1860</v>
      </c>
      <c r="G552" s="2" t="s">
        <v>3</v>
      </c>
      <c r="H552" s="4">
        <v>9</v>
      </c>
      <c r="I552" s="4">
        <f>Table134[[#This Row],[اصله مستقل]]*Table134[[#This Row],[A_tree]]</f>
        <v>1035</v>
      </c>
      <c r="J552" s="4">
        <f>IF(Table134[[#This Row],[n * A_tree ]]&gt;Table134[[#This Row],[مساحت آدرس]],1,0)</f>
        <v>0</v>
      </c>
      <c r="K552" s="8">
        <f>IF(Table134[[#This Row],[check]]=1,1,Table134[[#This Row],[A_tree]]*Table134[[#This Row],[اصله مستقل]]/Table134[[#This Row],[مساحت آدرس]])</f>
        <v>0.55645161290322576</v>
      </c>
      <c r="L552" s="14">
        <f>IF(Table134[[#This Row],[check]]=1,1,(Table134[[#This Row],[Psh]]+0.15*(1-Table134[[#This Row],[Psh]])))</f>
        <v>0.62298387096774188</v>
      </c>
      <c r="M552" s="14">
        <f>IF(Table134[[#This Row],[check]]=1,0.65,1)</f>
        <v>1</v>
      </c>
      <c r="N552" s="4">
        <v>1</v>
      </c>
      <c r="O552" s="4">
        <f>IF(Table134[[#This Row],[check]]=1,Table134[[#This Row],[مساحت آدرس]]*Table134[[#This Row],[A0 Inc]],Table134[[#This Row],[A_tree]]*Table134[[#This Row],[اصله مستقل]])</f>
        <v>1035</v>
      </c>
      <c r="P552" s="11">
        <f>IF(Table134[[#This Row],[check]]=1,Table134[[#This Row],[A0]]/Table134[[#This Row],[اصله مستقل]],Table134[[#This Row],[A_tree]])</f>
        <v>9</v>
      </c>
    </row>
    <row r="553" spans="2:16" ht="18.600000000000001" x14ac:dyDescent="0.3">
      <c r="B553" s="4" t="s">
        <v>778</v>
      </c>
      <c r="C553" s="4">
        <v>256</v>
      </c>
      <c r="D553" s="4">
        <v>256</v>
      </c>
      <c r="E553" s="4">
        <v>2266</v>
      </c>
      <c r="F553" s="4">
        <v>8262</v>
      </c>
      <c r="G553" s="2" t="s">
        <v>3</v>
      </c>
      <c r="H553" s="4">
        <v>9</v>
      </c>
      <c r="I553" s="4">
        <f>Table134[[#This Row],[اصله مستقل]]*Table134[[#This Row],[A_tree]]</f>
        <v>2304</v>
      </c>
      <c r="J553" s="4">
        <f>IF(Table134[[#This Row],[n * A_tree ]]&gt;Table134[[#This Row],[مساحت آدرس]],1,0)</f>
        <v>0</v>
      </c>
      <c r="K553" s="8">
        <f>IF(Table134[[#This Row],[check]]=1,1,Table134[[#This Row],[A_tree]]*Table134[[#This Row],[اصله مستقل]]/Table134[[#This Row],[مساحت آدرس]])</f>
        <v>0.27886710239651419</v>
      </c>
      <c r="L553" s="14">
        <f>IF(Table134[[#This Row],[check]]=1,1,(Table134[[#This Row],[Psh]]+0.15*(1-Table134[[#This Row],[Psh]])))</f>
        <v>0.38703703703703707</v>
      </c>
      <c r="M553" s="14">
        <f>IF(Table134[[#This Row],[check]]=1,0.65,1)</f>
        <v>1</v>
      </c>
      <c r="N553" s="4">
        <v>1</v>
      </c>
      <c r="O553" s="4">
        <f>IF(Table134[[#This Row],[check]]=1,Table134[[#This Row],[مساحت آدرس]]*Table134[[#This Row],[A0 Inc]],Table134[[#This Row],[A_tree]]*Table134[[#This Row],[اصله مستقل]])</f>
        <v>2304</v>
      </c>
      <c r="P553" s="11">
        <f>IF(Table134[[#This Row],[check]]=1,Table134[[#This Row],[A0]]/Table134[[#This Row],[اصله مستقل]],Table134[[#This Row],[A_tree]])</f>
        <v>9</v>
      </c>
    </row>
    <row r="554" spans="2:16" ht="18.600000000000001" x14ac:dyDescent="0.3">
      <c r="B554" s="4" t="s">
        <v>779</v>
      </c>
      <c r="C554" s="4">
        <v>110</v>
      </c>
      <c r="D554" s="4">
        <v>110</v>
      </c>
      <c r="E554" s="4">
        <v>980</v>
      </c>
      <c r="F554" s="4">
        <v>1830</v>
      </c>
      <c r="G554" s="2" t="s">
        <v>3</v>
      </c>
      <c r="H554" s="4">
        <v>9</v>
      </c>
      <c r="I554" s="4">
        <f>Table134[[#This Row],[اصله مستقل]]*Table134[[#This Row],[A_tree]]</f>
        <v>990</v>
      </c>
      <c r="J554" s="4">
        <f>IF(Table134[[#This Row],[n * A_tree ]]&gt;Table134[[#This Row],[مساحت آدرس]],1,0)</f>
        <v>0</v>
      </c>
      <c r="K554" s="8">
        <f>IF(Table134[[#This Row],[check]]=1,1,Table134[[#This Row],[A_tree]]*Table134[[#This Row],[اصله مستقل]]/Table134[[#This Row],[مساحت آدرس]])</f>
        <v>0.54098360655737709</v>
      </c>
      <c r="L554" s="14">
        <f>IF(Table134[[#This Row],[check]]=1,1,(Table134[[#This Row],[Psh]]+0.15*(1-Table134[[#This Row],[Psh]])))</f>
        <v>0.60983606557377057</v>
      </c>
      <c r="M554" s="14">
        <f>IF(Table134[[#This Row],[check]]=1,0.65,1)</f>
        <v>1</v>
      </c>
      <c r="N554" s="4">
        <v>1</v>
      </c>
      <c r="O554" s="4">
        <f>IF(Table134[[#This Row],[check]]=1,Table134[[#This Row],[مساحت آدرس]]*Table134[[#This Row],[A0 Inc]],Table134[[#This Row],[A_tree]]*Table134[[#This Row],[اصله مستقل]])</f>
        <v>990</v>
      </c>
      <c r="P554" s="11">
        <f>IF(Table134[[#This Row],[check]]=1,Table134[[#This Row],[A0]]/Table134[[#This Row],[اصله مستقل]],Table134[[#This Row],[A_tree]])</f>
        <v>9</v>
      </c>
    </row>
    <row r="555" spans="2:16" ht="18.600000000000001" x14ac:dyDescent="0.3">
      <c r="B555" s="4" t="s">
        <v>780</v>
      </c>
      <c r="C555" s="4">
        <v>107</v>
      </c>
      <c r="D555" s="4">
        <v>107</v>
      </c>
      <c r="E555" s="4">
        <v>895</v>
      </c>
      <c r="F555" s="4">
        <v>2015</v>
      </c>
      <c r="G555" s="2" t="s">
        <v>3</v>
      </c>
      <c r="H555" s="4">
        <v>9</v>
      </c>
      <c r="I555" s="4">
        <f>Table134[[#This Row],[اصله مستقل]]*Table134[[#This Row],[A_tree]]</f>
        <v>963</v>
      </c>
      <c r="J555" s="4">
        <f>IF(Table134[[#This Row],[n * A_tree ]]&gt;Table134[[#This Row],[مساحت آدرس]],1,0)</f>
        <v>0</v>
      </c>
      <c r="K555" s="8">
        <f>IF(Table134[[#This Row],[check]]=1,1,Table134[[#This Row],[A_tree]]*Table134[[#This Row],[اصله مستقل]]/Table134[[#This Row],[مساحت آدرس]])</f>
        <v>0.47791563275434246</v>
      </c>
      <c r="L555" s="14">
        <f>IF(Table134[[#This Row],[check]]=1,1,(Table134[[#This Row],[Psh]]+0.15*(1-Table134[[#This Row],[Psh]])))</f>
        <v>0.55622828784119105</v>
      </c>
      <c r="M555" s="14">
        <f>IF(Table134[[#This Row],[check]]=1,0.65,1)</f>
        <v>1</v>
      </c>
      <c r="N555" s="4">
        <v>1</v>
      </c>
      <c r="O555" s="4">
        <f>IF(Table134[[#This Row],[check]]=1,Table134[[#This Row],[مساحت آدرس]]*Table134[[#This Row],[A0 Inc]],Table134[[#This Row],[A_tree]]*Table134[[#This Row],[اصله مستقل]])</f>
        <v>963</v>
      </c>
      <c r="P555" s="11">
        <f>IF(Table134[[#This Row],[check]]=1,Table134[[#This Row],[A0]]/Table134[[#This Row],[اصله مستقل]],Table134[[#This Row],[A_tree]])</f>
        <v>9</v>
      </c>
    </row>
    <row r="556" spans="2:16" ht="18.600000000000001" x14ac:dyDescent="0.3">
      <c r="B556" s="4" t="s">
        <v>781</v>
      </c>
      <c r="C556" s="4">
        <v>73</v>
      </c>
      <c r="D556" s="4">
        <v>73</v>
      </c>
      <c r="E556" s="4">
        <v>355</v>
      </c>
      <c r="F556" s="4">
        <v>355</v>
      </c>
      <c r="G556" s="2" t="s">
        <v>3</v>
      </c>
      <c r="H556" s="4">
        <v>9</v>
      </c>
      <c r="I556" s="4">
        <f>Table134[[#This Row],[اصله مستقل]]*Table134[[#This Row],[A_tree]]</f>
        <v>657</v>
      </c>
      <c r="J556" s="4">
        <f>IF(Table134[[#This Row],[n * A_tree ]]&gt;Table134[[#This Row],[مساحت آدرس]],1,0)</f>
        <v>1</v>
      </c>
      <c r="K556" s="8">
        <f>IF(Table134[[#This Row],[check]]=1,1,Table134[[#This Row],[A_tree]]*Table134[[#This Row],[اصله مستقل]]/Table134[[#This Row],[مساحت آدرس]])</f>
        <v>1</v>
      </c>
      <c r="L556" s="14">
        <f>IF(Table134[[#This Row],[check]]=1,1,(Table134[[#This Row],[Psh]]+0.15*(1-Table134[[#This Row],[Psh]])))</f>
        <v>1</v>
      </c>
      <c r="M556" s="14">
        <f>IF(Table134[[#This Row],[check]]=1,0.65,1)</f>
        <v>0.65</v>
      </c>
      <c r="N556" s="4">
        <v>1</v>
      </c>
      <c r="O556" s="4">
        <f>IF(Table134[[#This Row],[check]]=1,Table134[[#This Row],[مساحت آدرس]]*Table134[[#This Row],[A0 Inc]],Table134[[#This Row],[A_tree]]*Table134[[#This Row],[اصله مستقل]])</f>
        <v>355</v>
      </c>
      <c r="P556" s="11">
        <f>IF(Table134[[#This Row],[check]]=1,Table134[[#This Row],[A0]]/Table134[[#This Row],[اصله مستقل]],Table134[[#This Row],[A_tree]])</f>
        <v>4.8630136986301373</v>
      </c>
    </row>
    <row r="557" spans="2:16" ht="18.600000000000001" x14ac:dyDescent="0.3">
      <c r="B557" s="4" t="s">
        <v>782</v>
      </c>
      <c r="C557" s="4">
        <v>3522</v>
      </c>
      <c r="D557" s="4">
        <v>2410</v>
      </c>
      <c r="E557" s="4">
        <v>3250</v>
      </c>
      <c r="F557" s="4">
        <v>19947</v>
      </c>
      <c r="G557" s="2" t="s">
        <v>283</v>
      </c>
      <c r="H557" s="4">
        <v>9</v>
      </c>
      <c r="I557" s="4">
        <f>Table134[[#This Row],[اصله مستقل]]*Table134[[#This Row],[A_tree]]</f>
        <v>21690</v>
      </c>
      <c r="J557" s="4">
        <f>IF(Table134[[#This Row],[n * A_tree ]]&gt;Table134[[#This Row],[مساحت آدرس]],1,0)</f>
        <v>1</v>
      </c>
      <c r="K557" s="8">
        <f>IF(Table134[[#This Row],[check]]=1,1,Table134[[#This Row],[A_tree]]*Table134[[#This Row],[اصله مستقل]]/Table134[[#This Row],[مساحت آدرس]])</f>
        <v>1</v>
      </c>
      <c r="L557" s="14">
        <f>IF(Table134[[#This Row],[check]]=1,1,(Table134[[#This Row],[Psh]]+0.15*(1-Table134[[#This Row],[Psh]])))</f>
        <v>1</v>
      </c>
      <c r="M557" s="14">
        <f>IF(Table134[[#This Row],[check]]=1,0.65,1)</f>
        <v>0.65</v>
      </c>
      <c r="N557" s="4">
        <v>1</v>
      </c>
      <c r="O557" s="4">
        <f>IF(Table134[[#This Row],[check]]=1,Table134[[#This Row],[مساحت آدرس]]*Table134[[#This Row],[A0 Inc]],Table134[[#This Row],[A_tree]]*Table134[[#This Row],[اصله مستقل]])</f>
        <v>19947</v>
      </c>
      <c r="P557" s="11">
        <f>IF(Table134[[#This Row],[check]]=1,Table134[[#This Row],[A0]]/Table134[[#This Row],[اصله مستقل]],Table134[[#This Row],[A_tree]])</f>
        <v>8.2767634854771792</v>
      </c>
    </row>
    <row r="558" spans="2:16" ht="18.600000000000001" x14ac:dyDescent="0.3">
      <c r="B558" s="4" t="s">
        <v>787</v>
      </c>
      <c r="C558" s="4">
        <v>4280</v>
      </c>
      <c r="D558" s="4">
        <v>4280</v>
      </c>
      <c r="E558" s="4">
        <v>43230</v>
      </c>
      <c r="F558" s="4">
        <v>50010</v>
      </c>
      <c r="G558" s="2" t="s">
        <v>300</v>
      </c>
      <c r="H558" s="4">
        <v>9</v>
      </c>
      <c r="I558" s="4">
        <f>Table134[[#This Row],[اصله مستقل]]*Table134[[#This Row],[A_tree]]</f>
        <v>38520</v>
      </c>
      <c r="J558" s="4">
        <f>IF(Table134[[#This Row],[n * A_tree ]]&gt;Table134[[#This Row],[مساحت آدرس]],1,0)</f>
        <v>0</v>
      </c>
      <c r="K558" s="8">
        <f>IF(Table134[[#This Row],[check]]=1,1,Table134[[#This Row],[A_tree]]*Table134[[#This Row],[اصله مستقل]]/Table134[[#This Row],[مساحت آدرس]])</f>
        <v>0.77024595080983804</v>
      </c>
      <c r="L558" s="14">
        <f>IF(Table134[[#This Row],[check]]=1,1,(Table134[[#This Row],[Psh]]+0.15*(1-Table134[[#This Row],[Psh]])))</f>
        <v>0.80470905818836236</v>
      </c>
      <c r="M558" s="14">
        <f>IF(Table134[[#This Row],[check]]=1,0.65,1)</f>
        <v>1</v>
      </c>
      <c r="N558" s="4">
        <v>1</v>
      </c>
      <c r="O558" s="4">
        <f>IF(Table134[[#This Row],[check]]=1,Table134[[#This Row],[مساحت آدرس]]*Table134[[#This Row],[A0 Inc]],Table134[[#This Row],[A_tree]]*Table134[[#This Row],[اصله مستقل]])</f>
        <v>38520</v>
      </c>
      <c r="P558" s="11">
        <f>IF(Table134[[#This Row],[check]]=1,Table134[[#This Row],[A0]]/Table134[[#This Row],[اصله مستقل]],Table134[[#This Row],[A_tree]])</f>
        <v>9</v>
      </c>
    </row>
    <row r="559" spans="2:16" ht="18.600000000000001" x14ac:dyDescent="0.3">
      <c r="B559" s="4" t="s">
        <v>788</v>
      </c>
      <c r="C559" s="4">
        <v>191</v>
      </c>
      <c r="D559" s="4">
        <v>191</v>
      </c>
      <c r="E559" s="4">
        <v>1528</v>
      </c>
      <c r="F559" s="4">
        <v>2368</v>
      </c>
      <c r="G559" s="2" t="s">
        <v>21</v>
      </c>
      <c r="H559" s="4">
        <v>9</v>
      </c>
      <c r="I559" s="4">
        <f>Table134[[#This Row],[اصله مستقل]]*Table134[[#This Row],[A_tree]]</f>
        <v>1719</v>
      </c>
      <c r="J559" s="4">
        <f>IF(Table134[[#This Row],[n * A_tree ]]&gt;Table134[[#This Row],[مساحت آدرس]],1,0)</f>
        <v>0</v>
      </c>
      <c r="K559" s="8">
        <f>IF(Table134[[#This Row],[check]]=1,1,Table134[[#This Row],[A_tree]]*Table134[[#This Row],[اصله مستقل]]/Table134[[#This Row],[مساحت آدرس]])</f>
        <v>0.72592905405405406</v>
      </c>
      <c r="L559" s="14">
        <f>IF(Table134[[#This Row],[check]]=1,1,(Table134[[#This Row],[Psh]]+0.15*(1-Table134[[#This Row],[Psh]])))</f>
        <v>0.7670396959459459</v>
      </c>
      <c r="M559" s="14">
        <f>IF(Table134[[#This Row],[check]]=1,0.65,1)</f>
        <v>1</v>
      </c>
      <c r="N559" s="4">
        <v>1</v>
      </c>
      <c r="O559" s="4">
        <f>IF(Table134[[#This Row],[check]]=1,Table134[[#This Row],[مساحت آدرس]]*Table134[[#This Row],[A0 Inc]],Table134[[#This Row],[A_tree]]*Table134[[#This Row],[اصله مستقل]])</f>
        <v>1719</v>
      </c>
      <c r="P559" s="11">
        <f>IF(Table134[[#This Row],[check]]=1,Table134[[#This Row],[A0]]/Table134[[#This Row],[اصله مستقل]],Table134[[#This Row],[A_tree]])</f>
        <v>9</v>
      </c>
    </row>
    <row r="560" spans="2:16" ht="18.600000000000001" x14ac:dyDescent="0.3">
      <c r="B560" s="4" t="s">
        <v>789</v>
      </c>
      <c r="C560" s="4">
        <v>443</v>
      </c>
      <c r="D560" s="4">
        <v>443</v>
      </c>
      <c r="E560" s="4">
        <v>2072</v>
      </c>
      <c r="F560" s="4">
        <v>2072</v>
      </c>
      <c r="G560" s="2" t="s">
        <v>21</v>
      </c>
      <c r="H560" s="4">
        <v>9</v>
      </c>
      <c r="I560" s="4">
        <f>Table134[[#This Row],[اصله مستقل]]*Table134[[#This Row],[A_tree]]</f>
        <v>3987</v>
      </c>
      <c r="J560" s="4">
        <f>IF(Table134[[#This Row],[n * A_tree ]]&gt;Table134[[#This Row],[مساحت آدرس]],1,0)</f>
        <v>1</v>
      </c>
      <c r="K560" s="8">
        <f>IF(Table134[[#This Row],[check]]=1,1,Table134[[#This Row],[A_tree]]*Table134[[#This Row],[اصله مستقل]]/Table134[[#This Row],[مساحت آدرس]])</f>
        <v>1</v>
      </c>
      <c r="L560" s="14">
        <f>IF(Table134[[#This Row],[check]]=1,1,(Table134[[#This Row],[Psh]]+0.15*(1-Table134[[#This Row],[Psh]])))</f>
        <v>1</v>
      </c>
      <c r="M560" s="14">
        <f>IF(Table134[[#This Row],[check]]=1,0.65,1)</f>
        <v>0.65</v>
      </c>
      <c r="N560" s="4">
        <v>1</v>
      </c>
      <c r="O560" s="4">
        <f>IF(Table134[[#This Row],[check]]=1,Table134[[#This Row],[مساحت آدرس]]*Table134[[#This Row],[A0 Inc]],Table134[[#This Row],[A_tree]]*Table134[[#This Row],[اصله مستقل]])</f>
        <v>2072</v>
      </c>
      <c r="P560" s="11">
        <f>IF(Table134[[#This Row],[check]]=1,Table134[[#This Row],[A0]]/Table134[[#This Row],[اصله مستقل]],Table134[[#This Row],[A_tree]])</f>
        <v>4.6772009029345369</v>
      </c>
    </row>
    <row r="561" spans="2:16" ht="18.600000000000001" x14ac:dyDescent="0.3">
      <c r="B561" s="4" t="s">
        <v>790</v>
      </c>
      <c r="C561" s="4">
        <v>224</v>
      </c>
      <c r="D561" s="4">
        <v>189</v>
      </c>
      <c r="E561" s="4">
        <v>1512</v>
      </c>
      <c r="F561" s="4">
        <v>3062</v>
      </c>
      <c r="G561" s="2" t="s">
        <v>21</v>
      </c>
      <c r="H561" s="4">
        <v>9</v>
      </c>
      <c r="I561" s="4">
        <f>Table134[[#This Row],[اصله مستقل]]*Table134[[#This Row],[A_tree]]</f>
        <v>1701</v>
      </c>
      <c r="J561" s="4">
        <f>IF(Table134[[#This Row],[n * A_tree ]]&gt;Table134[[#This Row],[مساحت آدرس]],1,0)</f>
        <v>0</v>
      </c>
      <c r="K561" s="8">
        <f>IF(Table134[[#This Row],[check]]=1,1,Table134[[#This Row],[A_tree]]*Table134[[#This Row],[اصله مستقل]]/Table134[[#This Row],[مساحت آدرس]])</f>
        <v>0.55551926845199218</v>
      </c>
      <c r="L561" s="14">
        <f>IF(Table134[[#This Row],[check]]=1,1,(Table134[[#This Row],[Psh]]+0.15*(1-Table134[[#This Row],[Psh]])))</f>
        <v>0.62219137818419334</v>
      </c>
      <c r="M561" s="14">
        <f>IF(Table134[[#This Row],[check]]=1,0.65,1)</f>
        <v>1</v>
      </c>
      <c r="N561" s="4">
        <v>1</v>
      </c>
      <c r="O561" s="4">
        <f>IF(Table134[[#This Row],[check]]=1,Table134[[#This Row],[مساحت آدرس]]*Table134[[#This Row],[A0 Inc]],Table134[[#This Row],[A_tree]]*Table134[[#This Row],[اصله مستقل]])</f>
        <v>1701</v>
      </c>
      <c r="P561" s="11">
        <f>IF(Table134[[#This Row],[check]]=1,Table134[[#This Row],[A0]]/Table134[[#This Row],[اصله مستقل]],Table134[[#This Row],[A_tree]])</f>
        <v>9</v>
      </c>
    </row>
    <row r="562" spans="2:16" ht="18.600000000000001" x14ac:dyDescent="0.3">
      <c r="B562" s="4" t="s">
        <v>791</v>
      </c>
      <c r="C562" s="4">
        <v>1974</v>
      </c>
      <c r="D562" s="4">
        <v>1208.2666666666667</v>
      </c>
      <c r="E562" s="4">
        <v>16250</v>
      </c>
      <c r="F562" s="4">
        <v>16250</v>
      </c>
      <c r="G562" s="2" t="s">
        <v>300</v>
      </c>
      <c r="H562" s="4">
        <v>9</v>
      </c>
      <c r="I562" s="4">
        <f>Table134[[#This Row],[اصله مستقل]]*Table134[[#This Row],[A_tree]]</f>
        <v>10874.4</v>
      </c>
      <c r="J562" s="4">
        <f>IF(Table134[[#This Row],[n * A_tree ]]&gt;Table134[[#This Row],[مساحت آدرس]],1,0)</f>
        <v>0</v>
      </c>
      <c r="K562" s="8">
        <f>IF(Table134[[#This Row],[check]]=1,1,Table134[[#This Row],[A_tree]]*Table134[[#This Row],[اصله مستقل]]/Table134[[#This Row],[مساحت آدرس]])</f>
        <v>0.66919384615384614</v>
      </c>
      <c r="L562" s="14">
        <f>IF(Table134[[#This Row],[check]]=1,1,(Table134[[#This Row],[Psh]]+0.15*(1-Table134[[#This Row],[Psh]])))</f>
        <v>0.71881476923076926</v>
      </c>
      <c r="M562" s="14">
        <f>IF(Table134[[#This Row],[check]]=1,0.65,1)</f>
        <v>1</v>
      </c>
      <c r="N562" s="4">
        <v>1</v>
      </c>
      <c r="O562" s="4">
        <f>IF(Table134[[#This Row],[check]]=1,Table134[[#This Row],[مساحت آدرس]]*Table134[[#This Row],[A0 Inc]],Table134[[#This Row],[A_tree]]*Table134[[#This Row],[اصله مستقل]])</f>
        <v>10874.4</v>
      </c>
      <c r="P562" s="11">
        <f>IF(Table134[[#This Row],[check]]=1,Table134[[#This Row],[A0]]/Table134[[#This Row],[اصله مستقل]],Table134[[#This Row],[A_tree]])</f>
        <v>9</v>
      </c>
    </row>
    <row r="563" spans="2:16" ht="18.600000000000001" x14ac:dyDescent="0.3">
      <c r="B563" s="4" t="s">
        <v>792</v>
      </c>
      <c r="C563" s="4">
        <v>2478</v>
      </c>
      <c r="D563" s="4">
        <v>3714.6</v>
      </c>
      <c r="E563" s="4">
        <v>53241</v>
      </c>
      <c r="F563" s="4">
        <v>55263</v>
      </c>
      <c r="G563" s="2" t="s">
        <v>300</v>
      </c>
      <c r="H563" s="4">
        <v>9</v>
      </c>
      <c r="I563" s="4">
        <f>Table134[[#This Row],[اصله مستقل]]*Table134[[#This Row],[A_tree]]</f>
        <v>33431.4</v>
      </c>
      <c r="J563" s="4">
        <f>IF(Table134[[#This Row],[n * A_tree ]]&gt;Table134[[#This Row],[مساحت آدرس]],1,0)</f>
        <v>0</v>
      </c>
      <c r="K563" s="8">
        <f>IF(Table134[[#This Row],[check]]=1,1,Table134[[#This Row],[A_tree]]*Table134[[#This Row],[اصله مستقل]]/Table134[[#This Row],[مساحت آدرس]])</f>
        <v>0.60495087128820368</v>
      </c>
      <c r="L563" s="14">
        <f>IF(Table134[[#This Row],[check]]=1,1,(Table134[[#This Row],[Psh]]+0.15*(1-Table134[[#This Row],[Psh]])))</f>
        <v>0.66420824059497319</v>
      </c>
      <c r="M563" s="14">
        <f>IF(Table134[[#This Row],[check]]=1,0.65,1)</f>
        <v>1</v>
      </c>
      <c r="N563" s="4">
        <v>1</v>
      </c>
      <c r="O563" s="4">
        <f>IF(Table134[[#This Row],[check]]=1,Table134[[#This Row],[مساحت آدرس]]*Table134[[#This Row],[A0 Inc]],Table134[[#This Row],[A_tree]]*Table134[[#This Row],[اصله مستقل]])</f>
        <v>33431.4</v>
      </c>
      <c r="P563" s="11">
        <f>IF(Table134[[#This Row],[check]]=1,Table134[[#This Row],[A0]]/Table134[[#This Row],[اصله مستقل]],Table134[[#This Row],[A_tree]])</f>
        <v>9</v>
      </c>
    </row>
    <row r="564" spans="2:16" ht="18.600000000000001" x14ac:dyDescent="0.3">
      <c r="B564" s="4" t="s">
        <v>793</v>
      </c>
      <c r="C564" s="4">
        <v>5670</v>
      </c>
      <c r="D564" s="4">
        <v>5670</v>
      </c>
      <c r="E564" s="4">
        <v>22680</v>
      </c>
      <c r="F564" s="4">
        <v>28980</v>
      </c>
      <c r="G564" s="2" t="s">
        <v>21</v>
      </c>
      <c r="H564" s="4">
        <v>9</v>
      </c>
      <c r="I564" s="4">
        <f>Table134[[#This Row],[اصله مستقل]]*Table134[[#This Row],[A_tree]]</f>
        <v>51030</v>
      </c>
      <c r="J564" s="4">
        <f>IF(Table134[[#This Row],[n * A_tree ]]&gt;Table134[[#This Row],[مساحت آدرس]],1,0)</f>
        <v>1</v>
      </c>
      <c r="K564" s="8">
        <f>IF(Table134[[#This Row],[check]]=1,1,Table134[[#This Row],[A_tree]]*Table134[[#This Row],[اصله مستقل]]/Table134[[#This Row],[مساحت آدرس]])</f>
        <v>1</v>
      </c>
      <c r="L564" s="14">
        <f>IF(Table134[[#This Row],[check]]=1,1,(Table134[[#This Row],[Psh]]+0.15*(1-Table134[[#This Row],[Psh]])))</f>
        <v>1</v>
      </c>
      <c r="M564" s="14">
        <f>IF(Table134[[#This Row],[check]]=1,0.65,1)</f>
        <v>0.65</v>
      </c>
      <c r="N564" s="4">
        <v>1</v>
      </c>
      <c r="O564" s="4">
        <f>IF(Table134[[#This Row],[check]]=1,Table134[[#This Row],[مساحت آدرس]]*Table134[[#This Row],[A0 Inc]],Table134[[#This Row],[A_tree]]*Table134[[#This Row],[اصله مستقل]])</f>
        <v>28980</v>
      </c>
      <c r="P564" s="11">
        <f>IF(Table134[[#This Row],[check]]=1,Table134[[#This Row],[A0]]/Table134[[#This Row],[اصله مستقل]],Table134[[#This Row],[A_tree]])</f>
        <v>5.1111111111111107</v>
      </c>
    </row>
    <row r="565" spans="2:16" ht="18.600000000000001" x14ac:dyDescent="0.3">
      <c r="B565" s="4" t="s">
        <v>799</v>
      </c>
      <c r="C565" s="4">
        <v>403</v>
      </c>
      <c r="D565" s="4">
        <v>403</v>
      </c>
      <c r="E565" s="4">
        <v>5012</v>
      </c>
      <c r="F565" s="4">
        <v>8612</v>
      </c>
      <c r="G565" s="2" t="s">
        <v>3</v>
      </c>
      <c r="H565" s="4">
        <v>9</v>
      </c>
      <c r="I565" s="4">
        <f>Table134[[#This Row],[اصله مستقل]]*Table134[[#This Row],[A_tree]]</f>
        <v>3627</v>
      </c>
      <c r="J565" s="4">
        <f>IF(Table134[[#This Row],[n * A_tree ]]&gt;Table134[[#This Row],[مساحت آدرس]],1,0)</f>
        <v>0</v>
      </c>
      <c r="K565" s="8">
        <f>IF(Table134[[#This Row],[check]]=1,1,Table134[[#This Row],[A_tree]]*Table134[[#This Row],[اصله مستقل]]/Table134[[#This Row],[مساحت آدرس]])</f>
        <v>0.42115652577798418</v>
      </c>
      <c r="L565" s="14">
        <f>IF(Table134[[#This Row],[check]]=1,1,(Table134[[#This Row],[Psh]]+0.15*(1-Table134[[#This Row],[Psh]])))</f>
        <v>0.5079830469112866</v>
      </c>
      <c r="M565" s="14">
        <f>IF(Table134[[#This Row],[check]]=1,0.65,1)</f>
        <v>1</v>
      </c>
      <c r="N565" s="4">
        <v>1</v>
      </c>
      <c r="O565" s="4">
        <f>IF(Table134[[#This Row],[check]]=1,Table134[[#This Row],[مساحت آدرس]]*Table134[[#This Row],[A0 Inc]],Table134[[#This Row],[A_tree]]*Table134[[#This Row],[اصله مستقل]])</f>
        <v>3627</v>
      </c>
      <c r="P565" s="11">
        <f>IF(Table134[[#This Row],[check]]=1,Table134[[#This Row],[A0]]/Table134[[#This Row],[اصله مستقل]],Table134[[#This Row],[A_tree]])</f>
        <v>9</v>
      </c>
    </row>
    <row r="566" spans="2:16" ht="18.600000000000001" x14ac:dyDescent="0.3">
      <c r="B566" s="4" t="s">
        <v>800</v>
      </c>
      <c r="C566" s="4">
        <v>110</v>
      </c>
      <c r="D566" s="4">
        <v>110</v>
      </c>
      <c r="E566" s="4">
        <v>440</v>
      </c>
      <c r="F566" s="4">
        <v>1940</v>
      </c>
      <c r="G566" s="2" t="s">
        <v>3</v>
      </c>
      <c r="H566" s="4">
        <v>9</v>
      </c>
      <c r="I566" s="4">
        <f>Table134[[#This Row],[اصله مستقل]]*Table134[[#This Row],[A_tree]]</f>
        <v>990</v>
      </c>
      <c r="J566" s="4">
        <f>IF(Table134[[#This Row],[n * A_tree ]]&gt;Table134[[#This Row],[مساحت آدرس]],1,0)</f>
        <v>0</v>
      </c>
      <c r="K566" s="8">
        <f>IF(Table134[[#This Row],[check]]=1,1,Table134[[#This Row],[A_tree]]*Table134[[#This Row],[اصله مستقل]]/Table134[[#This Row],[مساحت آدرس]])</f>
        <v>0.51030927835051543</v>
      </c>
      <c r="L566" s="14">
        <f>IF(Table134[[#This Row],[check]]=1,1,(Table134[[#This Row],[Psh]]+0.15*(1-Table134[[#This Row],[Psh]])))</f>
        <v>0.58376288659793807</v>
      </c>
      <c r="M566" s="14">
        <f>IF(Table134[[#This Row],[check]]=1,0.65,1)</f>
        <v>1</v>
      </c>
      <c r="N566" s="4">
        <v>1</v>
      </c>
      <c r="O566" s="4">
        <f>IF(Table134[[#This Row],[check]]=1,Table134[[#This Row],[مساحت آدرس]]*Table134[[#This Row],[A0 Inc]],Table134[[#This Row],[A_tree]]*Table134[[#This Row],[اصله مستقل]])</f>
        <v>990</v>
      </c>
      <c r="P566" s="11">
        <f>IF(Table134[[#This Row],[check]]=1,Table134[[#This Row],[A0]]/Table134[[#This Row],[اصله مستقل]],Table134[[#This Row],[A_tree]])</f>
        <v>9</v>
      </c>
    </row>
    <row r="567" spans="2:16" ht="18.600000000000001" x14ac:dyDescent="0.3">
      <c r="B567" s="4" t="s">
        <v>801</v>
      </c>
      <c r="C567" s="4">
        <v>1618</v>
      </c>
      <c r="D567" s="4">
        <v>1618</v>
      </c>
      <c r="E567" s="4">
        <v>7100</v>
      </c>
      <c r="F567" s="4">
        <v>7100</v>
      </c>
      <c r="G567" s="2" t="s">
        <v>3</v>
      </c>
      <c r="H567" s="4">
        <v>9</v>
      </c>
      <c r="I567" s="4">
        <f>Table134[[#This Row],[اصله مستقل]]*Table134[[#This Row],[A_tree]]</f>
        <v>14562</v>
      </c>
      <c r="J567" s="4">
        <f>IF(Table134[[#This Row],[n * A_tree ]]&gt;Table134[[#This Row],[مساحت آدرس]],1,0)</f>
        <v>1</v>
      </c>
      <c r="K567" s="8">
        <f>IF(Table134[[#This Row],[check]]=1,1,Table134[[#This Row],[A_tree]]*Table134[[#This Row],[اصله مستقل]]/Table134[[#This Row],[مساحت آدرس]])</f>
        <v>1</v>
      </c>
      <c r="L567" s="14">
        <f>IF(Table134[[#This Row],[check]]=1,1,(Table134[[#This Row],[Psh]]+0.15*(1-Table134[[#This Row],[Psh]])))</f>
        <v>1</v>
      </c>
      <c r="M567" s="14">
        <f>IF(Table134[[#This Row],[check]]=1,0.65,1)</f>
        <v>0.65</v>
      </c>
      <c r="N567" s="4">
        <v>1</v>
      </c>
      <c r="O567" s="4">
        <f>IF(Table134[[#This Row],[check]]=1,Table134[[#This Row],[مساحت آدرس]]*Table134[[#This Row],[A0 Inc]],Table134[[#This Row],[A_tree]]*Table134[[#This Row],[اصله مستقل]])</f>
        <v>7100</v>
      </c>
      <c r="P567" s="11">
        <f>IF(Table134[[#This Row],[check]]=1,Table134[[#This Row],[A0]]/Table134[[#This Row],[اصله مستقل]],Table134[[#This Row],[A_tree]])</f>
        <v>4.3881334981458595</v>
      </c>
    </row>
    <row r="568" spans="2:16" ht="18.600000000000001" x14ac:dyDescent="0.3">
      <c r="B568" s="4" t="s">
        <v>803</v>
      </c>
      <c r="C568" s="4">
        <v>939</v>
      </c>
      <c r="D568" s="4">
        <v>340</v>
      </c>
      <c r="E568" s="4">
        <v>3240</v>
      </c>
      <c r="F568" s="4">
        <v>5409</v>
      </c>
      <c r="G568" s="2" t="s">
        <v>21</v>
      </c>
      <c r="H568" s="4">
        <v>9</v>
      </c>
      <c r="I568" s="4">
        <f>Table134[[#This Row],[اصله مستقل]]*Table134[[#This Row],[A_tree]]</f>
        <v>3060</v>
      </c>
      <c r="J568" s="4">
        <f>IF(Table134[[#This Row],[n * A_tree ]]&gt;Table134[[#This Row],[مساحت آدرس]],1,0)</f>
        <v>0</v>
      </c>
      <c r="K568" s="8">
        <f>IF(Table134[[#This Row],[check]]=1,1,Table134[[#This Row],[A_tree]]*Table134[[#This Row],[اصله مستقل]]/Table134[[#This Row],[مساحت آدرس]])</f>
        <v>0.56572379367720471</v>
      </c>
      <c r="L568" s="14">
        <f>IF(Table134[[#This Row],[check]]=1,1,(Table134[[#This Row],[Psh]]+0.15*(1-Table134[[#This Row],[Psh]])))</f>
        <v>0.630865224625624</v>
      </c>
      <c r="M568" s="14">
        <f>IF(Table134[[#This Row],[check]]=1,0.65,1)</f>
        <v>1</v>
      </c>
      <c r="N568" s="4">
        <v>1</v>
      </c>
      <c r="O568" s="4">
        <f>IF(Table134[[#This Row],[check]]=1,Table134[[#This Row],[مساحت آدرس]]*Table134[[#This Row],[A0 Inc]],Table134[[#This Row],[A_tree]]*Table134[[#This Row],[اصله مستقل]])</f>
        <v>3060</v>
      </c>
      <c r="P568" s="11">
        <f>IF(Table134[[#This Row],[check]]=1,Table134[[#This Row],[A0]]/Table134[[#This Row],[اصله مستقل]],Table134[[#This Row],[A_tree]])</f>
        <v>9</v>
      </c>
    </row>
    <row r="569" spans="2:16" ht="18.600000000000001" x14ac:dyDescent="0.3">
      <c r="B569" s="4" t="s">
        <v>804</v>
      </c>
      <c r="C569" s="4">
        <v>162</v>
      </c>
      <c r="D569" s="4">
        <v>162</v>
      </c>
      <c r="E569" s="4">
        <v>1920</v>
      </c>
      <c r="F569" s="4">
        <v>1920</v>
      </c>
      <c r="G569" s="2" t="s">
        <v>21</v>
      </c>
      <c r="H569" s="4">
        <v>9</v>
      </c>
      <c r="I569" s="4">
        <f>Table134[[#This Row],[اصله مستقل]]*Table134[[#This Row],[A_tree]]</f>
        <v>1458</v>
      </c>
      <c r="J569" s="4">
        <f>IF(Table134[[#This Row],[n * A_tree ]]&gt;Table134[[#This Row],[مساحت آدرس]],1,0)</f>
        <v>0</v>
      </c>
      <c r="K569" s="8">
        <f>IF(Table134[[#This Row],[check]]=1,1,Table134[[#This Row],[A_tree]]*Table134[[#This Row],[اصله مستقل]]/Table134[[#This Row],[مساحت آدرس]])</f>
        <v>0.75937500000000002</v>
      </c>
      <c r="L569" s="14">
        <f>IF(Table134[[#This Row],[check]]=1,1,(Table134[[#This Row],[Psh]]+0.15*(1-Table134[[#This Row],[Psh]])))</f>
        <v>0.79546875000000006</v>
      </c>
      <c r="M569" s="14">
        <f>IF(Table134[[#This Row],[check]]=1,0.65,1)</f>
        <v>1</v>
      </c>
      <c r="N569" s="4">
        <v>1</v>
      </c>
      <c r="O569" s="4">
        <f>IF(Table134[[#This Row],[check]]=1,Table134[[#This Row],[مساحت آدرس]]*Table134[[#This Row],[A0 Inc]],Table134[[#This Row],[A_tree]]*Table134[[#This Row],[اصله مستقل]])</f>
        <v>1458</v>
      </c>
      <c r="P569" s="11">
        <f>IF(Table134[[#This Row],[check]]=1,Table134[[#This Row],[A0]]/Table134[[#This Row],[اصله مستقل]],Table134[[#This Row],[A_tree]])</f>
        <v>9</v>
      </c>
    </row>
    <row r="570" spans="2:16" ht="18.600000000000001" x14ac:dyDescent="0.3">
      <c r="B570" s="4" t="s">
        <v>805</v>
      </c>
      <c r="C570" s="4">
        <v>386</v>
      </c>
      <c r="D570" s="4">
        <v>386</v>
      </c>
      <c r="E570" s="4">
        <v>2330</v>
      </c>
      <c r="F570" s="4">
        <v>2330</v>
      </c>
      <c r="G570" s="2" t="s">
        <v>21</v>
      </c>
      <c r="H570" s="4">
        <v>9</v>
      </c>
      <c r="I570" s="4">
        <f>Table134[[#This Row],[اصله مستقل]]*Table134[[#This Row],[A_tree]]</f>
        <v>3474</v>
      </c>
      <c r="J570" s="4">
        <f>IF(Table134[[#This Row],[n * A_tree ]]&gt;Table134[[#This Row],[مساحت آدرس]],1,0)</f>
        <v>1</v>
      </c>
      <c r="K570" s="8">
        <f>IF(Table134[[#This Row],[check]]=1,1,Table134[[#This Row],[A_tree]]*Table134[[#This Row],[اصله مستقل]]/Table134[[#This Row],[مساحت آدرس]])</f>
        <v>1</v>
      </c>
      <c r="L570" s="14">
        <f>IF(Table134[[#This Row],[check]]=1,1,(Table134[[#This Row],[Psh]]+0.15*(1-Table134[[#This Row],[Psh]])))</f>
        <v>1</v>
      </c>
      <c r="M570" s="14">
        <f>IF(Table134[[#This Row],[check]]=1,0.65,1)</f>
        <v>0.65</v>
      </c>
      <c r="N570" s="4">
        <v>1</v>
      </c>
      <c r="O570" s="4">
        <f>IF(Table134[[#This Row],[check]]=1,Table134[[#This Row],[مساحت آدرس]]*Table134[[#This Row],[A0 Inc]],Table134[[#This Row],[A_tree]]*Table134[[#This Row],[اصله مستقل]])</f>
        <v>2330</v>
      </c>
      <c r="P570" s="11">
        <f>IF(Table134[[#This Row],[check]]=1,Table134[[#This Row],[A0]]/Table134[[#This Row],[اصله مستقل]],Table134[[#This Row],[A_tree]])</f>
        <v>6.0362694300518136</v>
      </c>
    </row>
    <row r="571" spans="2:16" ht="18.600000000000001" x14ac:dyDescent="0.3">
      <c r="B571" s="4" t="s">
        <v>806</v>
      </c>
      <c r="C571" s="4">
        <v>182</v>
      </c>
      <c r="D571" s="4">
        <v>182</v>
      </c>
      <c r="E571" s="4">
        <v>1640</v>
      </c>
      <c r="F571" s="4">
        <v>1640</v>
      </c>
      <c r="G571" s="2" t="s">
        <v>21</v>
      </c>
      <c r="H571" s="4">
        <v>9</v>
      </c>
      <c r="I571" s="4">
        <f>Table134[[#This Row],[اصله مستقل]]*Table134[[#This Row],[A_tree]]</f>
        <v>1638</v>
      </c>
      <c r="J571" s="4">
        <f>IF(Table134[[#This Row],[n * A_tree ]]&gt;Table134[[#This Row],[مساحت آدرس]],1,0)</f>
        <v>0</v>
      </c>
      <c r="K571" s="8">
        <f>IF(Table134[[#This Row],[check]]=1,1,Table134[[#This Row],[A_tree]]*Table134[[#This Row],[اصله مستقل]]/Table134[[#This Row],[مساحت آدرس]])</f>
        <v>0.99878048780487805</v>
      </c>
      <c r="L571" s="14">
        <f>IF(Table134[[#This Row],[check]]=1,1,(Table134[[#This Row],[Psh]]+0.15*(1-Table134[[#This Row],[Psh]])))</f>
        <v>0.9989634146341464</v>
      </c>
      <c r="M571" s="14">
        <f>IF(Table134[[#This Row],[check]]=1,0.65,1)</f>
        <v>1</v>
      </c>
      <c r="N571" s="4">
        <v>1</v>
      </c>
      <c r="O571" s="4">
        <f>IF(Table134[[#This Row],[check]]=1,Table134[[#This Row],[مساحت آدرس]]*Table134[[#This Row],[A0 Inc]],Table134[[#This Row],[A_tree]]*Table134[[#This Row],[اصله مستقل]])</f>
        <v>1638</v>
      </c>
      <c r="P571" s="11">
        <f>IF(Table134[[#This Row],[check]]=1,Table134[[#This Row],[A0]]/Table134[[#This Row],[اصله مستقل]],Table134[[#This Row],[A_tree]])</f>
        <v>9</v>
      </c>
    </row>
    <row r="572" spans="2:16" ht="18.600000000000001" x14ac:dyDescent="0.3">
      <c r="B572" s="4" t="s">
        <v>807</v>
      </c>
      <c r="C572" s="4">
        <v>950</v>
      </c>
      <c r="D572" s="4">
        <v>950</v>
      </c>
      <c r="E572" s="4">
        <v>5700</v>
      </c>
      <c r="F572" s="4">
        <v>5820</v>
      </c>
      <c r="G572" s="2" t="s">
        <v>21</v>
      </c>
      <c r="H572" s="4">
        <v>9</v>
      </c>
      <c r="I572" s="4">
        <f>Table134[[#This Row],[اصله مستقل]]*Table134[[#This Row],[A_tree]]</f>
        <v>8550</v>
      </c>
      <c r="J572" s="4">
        <f>IF(Table134[[#This Row],[n * A_tree ]]&gt;Table134[[#This Row],[مساحت آدرس]],1,0)</f>
        <v>1</v>
      </c>
      <c r="K572" s="8">
        <f>IF(Table134[[#This Row],[check]]=1,1,Table134[[#This Row],[A_tree]]*Table134[[#This Row],[اصله مستقل]]/Table134[[#This Row],[مساحت آدرس]])</f>
        <v>1</v>
      </c>
      <c r="L572" s="14">
        <f>IF(Table134[[#This Row],[check]]=1,1,(Table134[[#This Row],[Psh]]+0.15*(1-Table134[[#This Row],[Psh]])))</f>
        <v>1</v>
      </c>
      <c r="M572" s="14">
        <f>IF(Table134[[#This Row],[check]]=1,0.65,1)</f>
        <v>0.65</v>
      </c>
      <c r="N572" s="4">
        <v>1</v>
      </c>
      <c r="O572" s="4">
        <f>IF(Table134[[#This Row],[check]]=1,Table134[[#This Row],[مساحت آدرس]]*Table134[[#This Row],[A0 Inc]],Table134[[#This Row],[A_tree]]*Table134[[#This Row],[اصله مستقل]])</f>
        <v>5820</v>
      </c>
      <c r="P572" s="11">
        <f>IF(Table134[[#This Row],[check]]=1,Table134[[#This Row],[A0]]/Table134[[#This Row],[اصله مستقل]],Table134[[#This Row],[A_tree]])</f>
        <v>6.1263157894736846</v>
      </c>
    </row>
    <row r="573" spans="2:16" ht="18.600000000000001" x14ac:dyDescent="0.3">
      <c r="B573" s="4" t="s">
        <v>808</v>
      </c>
      <c r="C573" s="4">
        <v>86</v>
      </c>
      <c r="D573" s="4">
        <v>86</v>
      </c>
      <c r="E573" s="4">
        <v>345</v>
      </c>
      <c r="F573" s="4">
        <v>345</v>
      </c>
      <c r="G573" s="2" t="s">
        <v>21</v>
      </c>
      <c r="H573" s="4">
        <v>9</v>
      </c>
      <c r="I573" s="4">
        <f>Table134[[#This Row],[اصله مستقل]]*Table134[[#This Row],[A_tree]]</f>
        <v>774</v>
      </c>
      <c r="J573" s="4">
        <f>IF(Table134[[#This Row],[n * A_tree ]]&gt;Table134[[#This Row],[مساحت آدرس]],1,0)</f>
        <v>1</v>
      </c>
      <c r="K573" s="8">
        <f>IF(Table134[[#This Row],[check]]=1,1,Table134[[#This Row],[A_tree]]*Table134[[#This Row],[اصله مستقل]]/Table134[[#This Row],[مساحت آدرس]])</f>
        <v>1</v>
      </c>
      <c r="L573" s="14">
        <f>IF(Table134[[#This Row],[check]]=1,1,(Table134[[#This Row],[Psh]]+0.15*(1-Table134[[#This Row],[Psh]])))</f>
        <v>1</v>
      </c>
      <c r="M573" s="14">
        <f>IF(Table134[[#This Row],[check]]=1,0.65,1)</f>
        <v>0.65</v>
      </c>
      <c r="N573" s="4">
        <v>1</v>
      </c>
      <c r="O573" s="4">
        <f>IF(Table134[[#This Row],[check]]=1,Table134[[#This Row],[مساحت آدرس]]*Table134[[#This Row],[A0 Inc]],Table134[[#This Row],[A_tree]]*Table134[[#This Row],[اصله مستقل]])</f>
        <v>345</v>
      </c>
      <c r="P573" s="11">
        <f>IF(Table134[[#This Row],[check]]=1,Table134[[#This Row],[A0]]/Table134[[#This Row],[اصله مستقل]],Table134[[#This Row],[A_tree]])</f>
        <v>4.0116279069767442</v>
      </c>
    </row>
    <row r="574" spans="2:16" ht="18.600000000000001" x14ac:dyDescent="0.3">
      <c r="B574" s="4" t="s">
        <v>809</v>
      </c>
      <c r="C574" s="4">
        <v>212</v>
      </c>
      <c r="D574" s="4">
        <v>212</v>
      </c>
      <c r="E574" s="4">
        <v>504</v>
      </c>
      <c r="F574" s="4">
        <v>504</v>
      </c>
      <c r="G574" s="2" t="s">
        <v>21</v>
      </c>
      <c r="H574" s="4">
        <v>9</v>
      </c>
      <c r="I574" s="4">
        <f>Table134[[#This Row],[اصله مستقل]]*Table134[[#This Row],[A_tree]]</f>
        <v>1908</v>
      </c>
      <c r="J574" s="4">
        <f>IF(Table134[[#This Row],[n * A_tree ]]&gt;Table134[[#This Row],[مساحت آدرس]],1,0)</f>
        <v>1</v>
      </c>
      <c r="K574" s="8">
        <f>IF(Table134[[#This Row],[check]]=1,1,Table134[[#This Row],[A_tree]]*Table134[[#This Row],[اصله مستقل]]/Table134[[#This Row],[مساحت آدرس]])</f>
        <v>1</v>
      </c>
      <c r="L574" s="14">
        <f>IF(Table134[[#This Row],[check]]=1,1,(Table134[[#This Row],[Psh]]+0.15*(1-Table134[[#This Row],[Psh]])))</f>
        <v>1</v>
      </c>
      <c r="M574" s="14">
        <f>IF(Table134[[#This Row],[check]]=1,0.65,1)</f>
        <v>0.65</v>
      </c>
      <c r="N574" s="4">
        <v>1</v>
      </c>
      <c r="O574" s="4">
        <f>IF(Table134[[#This Row],[check]]=1,Table134[[#This Row],[مساحت آدرس]]*Table134[[#This Row],[A0 Inc]],Table134[[#This Row],[A_tree]]*Table134[[#This Row],[اصله مستقل]])</f>
        <v>504</v>
      </c>
      <c r="P574" s="11">
        <f>IF(Table134[[#This Row],[check]]=1,Table134[[#This Row],[A0]]/Table134[[#This Row],[اصله مستقل]],Table134[[#This Row],[A_tree]])</f>
        <v>2.3773584905660377</v>
      </c>
    </row>
    <row r="575" spans="2:16" ht="18.600000000000001" x14ac:dyDescent="0.3">
      <c r="B575" s="4" t="s">
        <v>810</v>
      </c>
      <c r="C575" s="4">
        <v>166</v>
      </c>
      <c r="D575" s="4">
        <v>166</v>
      </c>
      <c r="E575" s="4">
        <v>166</v>
      </c>
      <c r="F575" s="4">
        <v>166</v>
      </c>
      <c r="G575" s="2" t="s">
        <v>21</v>
      </c>
      <c r="H575" s="4">
        <v>9</v>
      </c>
      <c r="I575" s="4">
        <f>Table134[[#This Row],[اصله مستقل]]*Table134[[#This Row],[A_tree]]</f>
        <v>1494</v>
      </c>
      <c r="J575" s="4">
        <f>IF(Table134[[#This Row],[n * A_tree ]]&gt;Table134[[#This Row],[مساحت آدرس]],1,0)</f>
        <v>1</v>
      </c>
      <c r="K575" s="8">
        <f>IF(Table134[[#This Row],[check]]=1,1,Table134[[#This Row],[A_tree]]*Table134[[#This Row],[اصله مستقل]]/Table134[[#This Row],[مساحت آدرس]])</f>
        <v>1</v>
      </c>
      <c r="L575" s="14">
        <f>IF(Table134[[#This Row],[check]]=1,1,(Table134[[#This Row],[Psh]]+0.15*(1-Table134[[#This Row],[Psh]])))</f>
        <v>1</v>
      </c>
      <c r="M575" s="14">
        <f>IF(Table134[[#This Row],[check]]=1,0.65,1)</f>
        <v>0.65</v>
      </c>
      <c r="N575" s="4">
        <v>1</v>
      </c>
      <c r="O575" s="4">
        <f>IF(Table134[[#This Row],[check]]=1,Table134[[#This Row],[مساحت آدرس]]*Table134[[#This Row],[A0 Inc]],Table134[[#This Row],[A_tree]]*Table134[[#This Row],[اصله مستقل]])</f>
        <v>166</v>
      </c>
      <c r="P575" s="11">
        <f>IF(Table134[[#This Row],[check]]=1,Table134[[#This Row],[A0]]/Table134[[#This Row],[اصله مستقل]],Table134[[#This Row],[A_tree]])</f>
        <v>1</v>
      </c>
    </row>
    <row r="576" spans="2:16" ht="18.600000000000001" x14ac:dyDescent="0.3">
      <c r="B576" s="4" t="s">
        <v>811</v>
      </c>
      <c r="C576" s="4">
        <v>167</v>
      </c>
      <c r="D576" s="4">
        <v>167</v>
      </c>
      <c r="E576" s="4">
        <v>167</v>
      </c>
      <c r="F576" s="4">
        <v>167</v>
      </c>
      <c r="G576" s="2" t="s">
        <v>21</v>
      </c>
      <c r="H576" s="4">
        <v>9</v>
      </c>
      <c r="I576" s="4">
        <f>Table134[[#This Row],[اصله مستقل]]*Table134[[#This Row],[A_tree]]</f>
        <v>1503</v>
      </c>
      <c r="J576" s="4">
        <f>IF(Table134[[#This Row],[n * A_tree ]]&gt;Table134[[#This Row],[مساحت آدرس]],1,0)</f>
        <v>1</v>
      </c>
      <c r="K576" s="8">
        <f>IF(Table134[[#This Row],[check]]=1,1,Table134[[#This Row],[A_tree]]*Table134[[#This Row],[اصله مستقل]]/Table134[[#This Row],[مساحت آدرس]])</f>
        <v>1</v>
      </c>
      <c r="L576" s="14">
        <f>IF(Table134[[#This Row],[check]]=1,1,(Table134[[#This Row],[Psh]]+0.15*(1-Table134[[#This Row],[Psh]])))</f>
        <v>1</v>
      </c>
      <c r="M576" s="14">
        <f>IF(Table134[[#This Row],[check]]=1,0.65,1)</f>
        <v>0.65</v>
      </c>
      <c r="N576" s="4">
        <v>1</v>
      </c>
      <c r="O576" s="4">
        <f>IF(Table134[[#This Row],[check]]=1,Table134[[#This Row],[مساحت آدرس]]*Table134[[#This Row],[A0 Inc]],Table134[[#This Row],[A_tree]]*Table134[[#This Row],[اصله مستقل]])</f>
        <v>167</v>
      </c>
      <c r="P576" s="11">
        <f>IF(Table134[[#This Row],[check]]=1,Table134[[#This Row],[A0]]/Table134[[#This Row],[اصله مستقل]],Table134[[#This Row],[A_tree]])</f>
        <v>1</v>
      </c>
    </row>
    <row r="577" spans="2:16" ht="18.600000000000001" x14ac:dyDescent="0.3">
      <c r="B577" s="4" t="s">
        <v>812</v>
      </c>
      <c r="C577" s="4">
        <v>155</v>
      </c>
      <c r="D577" s="4">
        <v>155</v>
      </c>
      <c r="E577" s="4">
        <v>600</v>
      </c>
      <c r="F577" s="4">
        <v>600</v>
      </c>
      <c r="G577" s="2" t="s">
        <v>21</v>
      </c>
      <c r="H577" s="4">
        <v>9</v>
      </c>
      <c r="I577" s="4">
        <f>Table134[[#This Row],[اصله مستقل]]*Table134[[#This Row],[A_tree]]</f>
        <v>1395</v>
      </c>
      <c r="J577" s="4">
        <f>IF(Table134[[#This Row],[n * A_tree ]]&gt;Table134[[#This Row],[مساحت آدرس]],1,0)</f>
        <v>1</v>
      </c>
      <c r="K577" s="8">
        <f>IF(Table134[[#This Row],[check]]=1,1,Table134[[#This Row],[A_tree]]*Table134[[#This Row],[اصله مستقل]]/Table134[[#This Row],[مساحت آدرس]])</f>
        <v>1</v>
      </c>
      <c r="L577" s="14">
        <f>IF(Table134[[#This Row],[check]]=1,1,(Table134[[#This Row],[Psh]]+0.15*(1-Table134[[#This Row],[Psh]])))</f>
        <v>1</v>
      </c>
      <c r="M577" s="14">
        <f>IF(Table134[[#This Row],[check]]=1,0.65,1)</f>
        <v>0.65</v>
      </c>
      <c r="N577" s="4">
        <v>1</v>
      </c>
      <c r="O577" s="4">
        <f>IF(Table134[[#This Row],[check]]=1,Table134[[#This Row],[مساحت آدرس]]*Table134[[#This Row],[A0 Inc]],Table134[[#This Row],[A_tree]]*Table134[[#This Row],[اصله مستقل]])</f>
        <v>600</v>
      </c>
      <c r="P577" s="11">
        <f>IF(Table134[[#This Row],[check]]=1,Table134[[#This Row],[A0]]/Table134[[#This Row],[اصله مستقل]],Table134[[#This Row],[A_tree]])</f>
        <v>3.870967741935484</v>
      </c>
    </row>
    <row r="578" spans="2:16" ht="18.600000000000001" x14ac:dyDescent="0.3">
      <c r="B578" s="4" t="s">
        <v>813</v>
      </c>
      <c r="C578" s="4">
        <v>283</v>
      </c>
      <c r="D578" s="4">
        <v>283</v>
      </c>
      <c r="E578" s="4">
        <v>1700</v>
      </c>
      <c r="F578" s="4">
        <v>1950</v>
      </c>
      <c r="G578" s="2" t="s">
        <v>21</v>
      </c>
      <c r="H578" s="4">
        <v>9</v>
      </c>
      <c r="I578" s="4">
        <f>Table134[[#This Row],[اصله مستقل]]*Table134[[#This Row],[A_tree]]</f>
        <v>2547</v>
      </c>
      <c r="J578" s="4">
        <f>IF(Table134[[#This Row],[n * A_tree ]]&gt;Table134[[#This Row],[مساحت آدرس]],1,0)</f>
        <v>1</v>
      </c>
      <c r="K578" s="8">
        <f>IF(Table134[[#This Row],[check]]=1,1,Table134[[#This Row],[A_tree]]*Table134[[#This Row],[اصله مستقل]]/Table134[[#This Row],[مساحت آدرس]])</f>
        <v>1</v>
      </c>
      <c r="L578" s="14">
        <f>IF(Table134[[#This Row],[check]]=1,1,(Table134[[#This Row],[Psh]]+0.15*(1-Table134[[#This Row],[Psh]])))</f>
        <v>1</v>
      </c>
      <c r="M578" s="14">
        <f>IF(Table134[[#This Row],[check]]=1,0.65,1)</f>
        <v>0.65</v>
      </c>
      <c r="N578" s="4">
        <v>1</v>
      </c>
      <c r="O578" s="4">
        <f>IF(Table134[[#This Row],[check]]=1,Table134[[#This Row],[مساحت آدرس]]*Table134[[#This Row],[A0 Inc]],Table134[[#This Row],[A_tree]]*Table134[[#This Row],[اصله مستقل]])</f>
        <v>1950</v>
      </c>
      <c r="P578" s="11">
        <f>IF(Table134[[#This Row],[check]]=1,Table134[[#This Row],[A0]]/Table134[[#This Row],[اصله مستقل]],Table134[[#This Row],[A_tree]])</f>
        <v>6.8904593639575973</v>
      </c>
    </row>
    <row r="579" spans="2:16" ht="18.600000000000001" x14ac:dyDescent="0.3">
      <c r="B579" s="4" t="s">
        <v>814</v>
      </c>
      <c r="C579" s="4">
        <v>151</v>
      </c>
      <c r="D579" s="4">
        <v>151</v>
      </c>
      <c r="E579" s="4">
        <v>653</v>
      </c>
      <c r="F579" s="4">
        <v>793</v>
      </c>
      <c r="G579" s="2" t="s">
        <v>21</v>
      </c>
      <c r="H579" s="4">
        <v>9</v>
      </c>
      <c r="I579" s="4">
        <f>Table134[[#This Row],[اصله مستقل]]*Table134[[#This Row],[A_tree]]</f>
        <v>1359</v>
      </c>
      <c r="J579" s="4">
        <f>IF(Table134[[#This Row],[n * A_tree ]]&gt;Table134[[#This Row],[مساحت آدرس]],1,0)</f>
        <v>1</v>
      </c>
      <c r="K579" s="8">
        <f>IF(Table134[[#This Row],[check]]=1,1,Table134[[#This Row],[A_tree]]*Table134[[#This Row],[اصله مستقل]]/Table134[[#This Row],[مساحت آدرس]])</f>
        <v>1</v>
      </c>
      <c r="L579" s="14">
        <f>IF(Table134[[#This Row],[check]]=1,1,(Table134[[#This Row],[Psh]]+0.15*(1-Table134[[#This Row],[Psh]])))</f>
        <v>1</v>
      </c>
      <c r="M579" s="14">
        <f>IF(Table134[[#This Row],[check]]=1,0.65,1)</f>
        <v>0.65</v>
      </c>
      <c r="N579" s="4">
        <v>1</v>
      </c>
      <c r="O579" s="4">
        <f>IF(Table134[[#This Row],[check]]=1,Table134[[#This Row],[مساحت آدرس]]*Table134[[#This Row],[A0 Inc]],Table134[[#This Row],[A_tree]]*Table134[[#This Row],[اصله مستقل]])</f>
        <v>793</v>
      </c>
      <c r="P579" s="11">
        <f>IF(Table134[[#This Row],[check]]=1,Table134[[#This Row],[A0]]/Table134[[#This Row],[اصله مستقل]],Table134[[#This Row],[A_tree]])</f>
        <v>5.2516556291390728</v>
      </c>
    </row>
    <row r="580" spans="2:16" ht="18.600000000000001" x14ac:dyDescent="0.3">
      <c r="B580" s="4" t="s">
        <v>815</v>
      </c>
      <c r="C580" s="4">
        <v>1215</v>
      </c>
      <c r="D580" s="4">
        <v>1215</v>
      </c>
      <c r="E580" s="4">
        <v>9720</v>
      </c>
      <c r="F580" s="4">
        <v>9720</v>
      </c>
      <c r="G580" s="2" t="s">
        <v>21</v>
      </c>
      <c r="H580" s="4">
        <v>9</v>
      </c>
      <c r="I580" s="4">
        <f>Table134[[#This Row],[اصله مستقل]]*Table134[[#This Row],[A_tree]]</f>
        <v>10935</v>
      </c>
      <c r="J580" s="4">
        <f>IF(Table134[[#This Row],[n * A_tree ]]&gt;Table134[[#This Row],[مساحت آدرس]],1,0)</f>
        <v>1</v>
      </c>
      <c r="K580" s="8">
        <f>IF(Table134[[#This Row],[check]]=1,1,Table134[[#This Row],[A_tree]]*Table134[[#This Row],[اصله مستقل]]/Table134[[#This Row],[مساحت آدرس]])</f>
        <v>1</v>
      </c>
      <c r="L580" s="14">
        <f>IF(Table134[[#This Row],[check]]=1,1,(Table134[[#This Row],[Psh]]+0.15*(1-Table134[[#This Row],[Psh]])))</f>
        <v>1</v>
      </c>
      <c r="M580" s="14">
        <f>IF(Table134[[#This Row],[check]]=1,0.65,1)</f>
        <v>0.65</v>
      </c>
      <c r="N580" s="4">
        <v>1</v>
      </c>
      <c r="O580" s="4">
        <f>IF(Table134[[#This Row],[check]]=1,Table134[[#This Row],[مساحت آدرس]]*Table134[[#This Row],[A0 Inc]],Table134[[#This Row],[A_tree]]*Table134[[#This Row],[اصله مستقل]])</f>
        <v>9720</v>
      </c>
      <c r="P580" s="11">
        <f>IF(Table134[[#This Row],[check]]=1,Table134[[#This Row],[A0]]/Table134[[#This Row],[اصله مستقل]],Table134[[#This Row],[A_tree]])</f>
        <v>8</v>
      </c>
    </row>
    <row r="581" spans="2:16" ht="18.600000000000001" x14ac:dyDescent="0.3">
      <c r="B581" s="4" t="s">
        <v>816</v>
      </c>
      <c r="C581" s="4">
        <v>1016</v>
      </c>
      <c r="D581" s="4">
        <v>1016</v>
      </c>
      <c r="E581" s="4">
        <v>8920</v>
      </c>
      <c r="F581" s="4">
        <v>8920</v>
      </c>
      <c r="G581" s="2" t="s">
        <v>62</v>
      </c>
      <c r="H581" s="4">
        <v>9</v>
      </c>
      <c r="I581" s="4">
        <f>Table134[[#This Row],[اصله مستقل]]*Table134[[#This Row],[A_tree]]</f>
        <v>9144</v>
      </c>
      <c r="J581" s="4">
        <f>IF(Table134[[#This Row],[n * A_tree ]]&gt;Table134[[#This Row],[مساحت آدرس]],1,0)</f>
        <v>1</v>
      </c>
      <c r="K581" s="8">
        <f>IF(Table134[[#This Row],[check]]=1,1,Table134[[#This Row],[A_tree]]*Table134[[#This Row],[اصله مستقل]]/Table134[[#This Row],[مساحت آدرس]])</f>
        <v>1</v>
      </c>
      <c r="L581" s="14">
        <f>IF(Table134[[#This Row],[check]]=1,1,(Table134[[#This Row],[Psh]]+0.15*(1-Table134[[#This Row],[Psh]])))</f>
        <v>1</v>
      </c>
      <c r="M581" s="14">
        <f>IF(Table134[[#This Row],[check]]=1,0.65,1)</f>
        <v>0.65</v>
      </c>
      <c r="N581" s="4">
        <v>1</v>
      </c>
      <c r="O581" s="4">
        <f>IF(Table134[[#This Row],[check]]=1,Table134[[#This Row],[مساحت آدرس]]*Table134[[#This Row],[A0 Inc]],Table134[[#This Row],[A_tree]]*Table134[[#This Row],[اصله مستقل]])</f>
        <v>8920</v>
      </c>
      <c r="P581" s="11">
        <f>IF(Table134[[#This Row],[check]]=1,Table134[[#This Row],[A0]]/Table134[[#This Row],[اصله مستقل]],Table134[[#This Row],[A_tree]])</f>
        <v>8.7795275590551185</v>
      </c>
    </row>
    <row r="582" spans="2:16" ht="18.600000000000001" x14ac:dyDescent="0.3">
      <c r="B582" s="4" t="s">
        <v>817</v>
      </c>
      <c r="C582" s="4">
        <v>179</v>
      </c>
      <c r="D582" s="4">
        <v>179</v>
      </c>
      <c r="E582" s="4">
        <v>716</v>
      </c>
      <c r="F582" s="4">
        <v>2886</v>
      </c>
      <c r="G582" s="2" t="s">
        <v>66</v>
      </c>
      <c r="H582" s="4">
        <v>9</v>
      </c>
      <c r="I582" s="4">
        <f>Table134[[#This Row],[اصله مستقل]]*Table134[[#This Row],[A_tree]]</f>
        <v>1611</v>
      </c>
      <c r="J582" s="4">
        <f>IF(Table134[[#This Row],[n * A_tree ]]&gt;Table134[[#This Row],[مساحت آدرس]],1,0)</f>
        <v>0</v>
      </c>
      <c r="K582" s="8">
        <f>IF(Table134[[#This Row],[check]]=1,1,Table134[[#This Row],[A_tree]]*Table134[[#This Row],[اصله مستقل]]/Table134[[#This Row],[مساحت آدرس]])</f>
        <v>0.55821205821205822</v>
      </c>
      <c r="L582" s="14">
        <f>IF(Table134[[#This Row],[check]]=1,1,(Table134[[#This Row],[Psh]]+0.15*(1-Table134[[#This Row],[Psh]])))</f>
        <v>0.62448024948024949</v>
      </c>
      <c r="M582" s="14">
        <f>IF(Table134[[#This Row],[check]]=1,0.65,1)</f>
        <v>1</v>
      </c>
      <c r="N582" s="4">
        <v>1</v>
      </c>
      <c r="O582" s="4">
        <f>IF(Table134[[#This Row],[check]]=1,Table134[[#This Row],[مساحت آدرس]]*Table134[[#This Row],[A0 Inc]],Table134[[#This Row],[A_tree]]*Table134[[#This Row],[اصله مستقل]])</f>
        <v>1611</v>
      </c>
      <c r="P582" s="11">
        <f>IF(Table134[[#This Row],[check]]=1,Table134[[#This Row],[A0]]/Table134[[#This Row],[اصله مستقل]],Table134[[#This Row],[A_tree]])</f>
        <v>9</v>
      </c>
    </row>
    <row r="583" spans="2:16" ht="18.600000000000001" x14ac:dyDescent="0.3">
      <c r="B583" s="4" t="s">
        <v>821</v>
      </c>
      <c r="C583" s="4">
        <v>204</v>
      </c>
      <c r="D583" s="4">
        <v>204</v>
      </c>
      <c r="E583" s="4">
        <v>612</v>
      </c>
      <c r="F583" s="4">
        <v>612</v>
      </c>
      <c r="G583" s="2" t="s">
        <v>21</v>
      </c>
      <c r="H583" s="4">
        <v>9</v>
      </c>
      <c r="I583" s="4">
        <f>Table134[[#This Row],[اصله مستقل]]*Table134[[#This Row],[A_tree]]</f>
        <v>1836</v>
      </c>
      <c r="J583" s="4">
        <f>IF(Table134[[#This Row],[n * A_tree ]]&gt;Table134[[#This Row],[مساحت آدرس]],1,0)</f>
        <v>1</v>
      </c>
      <c r="K583" s="8">
        <f>IF(Table134[[#This Row],[check]]=1,1,Table134[[#This Row],[A_tree]]*Table134[[#This Row],[اصله مستقل]]/Table134[[#This Row],[مساحت آدرس]])</f>
        <v>1</v>
      </c>
      <c r="L583" s="14">
        <f>IF(Table134[[#This Row],[check]]=1,1,(Table134[[#This Row],[Psh]]+0.15*(1-Table134[[#This Row],[Psh]])))</f>
        <v>1</v>
      </c>
      <c r="M583" s="14">
        <f>IF(Table134[[#This Row],[check]]=1,0.65,1)</f>
        <v>0.65</v>
      </c>
      <c r="N583" s="4">
        <v>1</v>
      </c>
      <c r="O583" s="4">
        <f>IF(Table134[[#This Row],[check]]=1,Table134[[#This Row],[مساحت آدرس]]*Table134[[#This Row],[A0 Inc]],Table134[[#This Row],[A_tree]]*Table134[[#This Row],[اصله مستقل]])</f>
        <v>612</v>
      </c>
      <c r="P583" s="11">
        <f>IF(Table134[[#This Row],[check]]=1,Table134[[#This Row],[A0]]/Table134[[#This Row],[اصله مستقل]],Table134[[#This Row],[A_tree]])</f>
        <v>3</v>
      </c>
    </row>
    <row r="584" spans="2:16" ht="18.600000000000001" x14ac:dyDescent="0.3">
      <c r="B584" s="4" t="s">
        <v>822</v>
      </c>
      <c r="C584" s="4">
        <v>640</v>
      </c>
      <c r="D584" s="4">
        <v>640</v>
      </c>
      <c r="E584" s="4">
        <v>2560</v>
      </c>
      <c r="F584" s="4">
        <v>2560</v>
      </c>
      <c r="G584" s="2" t="s">
        <v>21</v>
      </c>
      <c r="H584" s="4">
        <v>9</v>
      </c>
      <c r="I584" s="4">
        <f>Table134[[#This Row],[اصله مستقل]]*Table134[[#This Row],[A_tree]]</f>
        <v>5760</v>
      </c>
      <c r="J584" s="4">
        <f>IF(Table134[[#This Row],[n * A_tree ]]&gt;Table134[[#This Row],[مساحت آدرس]],1,0)</f>
        <v>1</v>
      </c>
      <c r="K584" s="8">
        <f>IF(Table134[[#This Row],[check]]=1,1,Table134[[#This Row],[A_tree]]*Table134[[#This Row],[اصله مستقل]]/Table134[[#This Row],[مساحت آدرس]])</f>
        <v>1</v>
      </c>
      <c r="L584" s="14">
        <f>IF(Table134[[#This Row],[check]]=1,1,(Table134[[#This Row],[Psh]]+0.15*(1-Table134[[#This Row],[Psh]])))</f>
        <v>1</v>
      </c>
      <c r="M584" s="14">
        <f>IF(Table134[[#This Row],[check]]=1,0.65,1)</f>
        <v>0.65</v>
      </c>
      <c r="N584" s="4">
        <v>1</v>
      </c>
      <c r="O584" s="4">
        <f>IF(Table134[[#This Row],[check]]=1,Table134[[#This Row],[مساحت آدرس]]*Table134[[#This Row],[A0 Inc]],Table134[[#This Row],[A_tree]]*Table134[[#This Row],[اصله مستقل]])</f>
        <v>2560</v>
      </c>
      <c r="P584" s="11">
        <f>IF(Table134[[#This Row],[check]]=1,Table134[[#This Row],[A0]]/Table134[[#This Row],[اصله مستقل]],Table134[[#This Row],[A_tree]])</f>
        <v>4</v>
      </c>
    </row>
    <row r="585" spans="2:16" ht="18.600000000000001" x14ac:dyDescent="0.3">
      <c r="B585" s="4" t="s">
        <v>823</v>
      </c>
      <c r="C585" s="4">
        <v>119</v>
      </c>
      <c r="D585" s="4">
        <v>4</v>
      </c>
      <c r="E585" s="4">
        <v>8</v>
      </c>
      <c r="F585" s="4">
        <v>1972</v>
      </c>
      <c r="G585" s="2" t="s">
        <v>3</v>
      </c>
      <c r="H585" s="4">
        <v>9</v>
      </c>
      <c r="I585" s="4">
        <f>Table134[[#This Row],[اصله مستقل]]*Table134[[#This Row],[A_tree]]</f>
        <v>36</v>
      </c>
      <c r="J585" s="4">
        <f>IF(Table134[[#This Row],[n * A_tree ]]&gt;Table134[[#This Row],[مساحت آدرس]],1,0)</f>
        <v>0</v>
      </c>
      <c r="K585" s="8">
        <f>IF(Table134[[#This Row],[check]]=1,1,Table134[[#This Row],[A_tree]]*Table134[[#This Row],[اصله مستقل]]/Table134[[#This Row],[مساحت آدرس]])</f>
        <v>1.8255578093306288E-2</v>
      </c>
      <c r="L585" s="14">
        <f>IF(Table134[[#This Row],[check]]=1,1,(Table134[[#This Row],[Psh]]+0.15*(1-Table134[[#This Row],[Psh]])))</f>
        <v>0.16551724137931034</v>
      </c>
      <c r="M585" s="14">
        <f>IF(Table134[[#This Row],[check]]=1,0.65,1)</f>
        <v>1</v>
      </c>
      <c r="N585" s="4">
        <v>1</v>
      </c>
      <c r="O585" s="4">
        <f>IF(Table134[[#This Row],[check]]=1,Table134[[#This Row],[مساحت آدرس]]*Table134[[#This Row],[A0 Inc]],Table134[[#This Row],[A_tree]]*Table134[[#This Row],[اصله مستقل]])</f>
        <v>36</v>
      </c>
      <c r="P585" s="11">
        <f>IF(Table134[[#This Row],[check]]=1,Table134[[#This Row],[A0]]/Table134[[#This Row],[اصله مستقل]],Table134[[#This Row],[A_tree]])</f>
        <v>9</v>
      </c>
    </row>
    <row r="586" spans="2:16" ht="18.600000000000001" x14ac:dyDescent="0.3">
      <c r="B586" s="4" t="s">
        <v>824</v>
      </c>
      <c r="C586" s="4">
        <v>22</v>
      </c>
      <c r="D586" s="4">
        <v>22</v>
      </c>
      <c r="E586" s="4">
        <v>22</v>
      </c>
      <c r="F586" s="4">
        <v>726</v>
      </c>
      <c r="G586" s="2" t="s">
        <v>3</v>
      </c>
      <c r="H586" s="4">
        <v>9</v>
      </c>
      <c r="I586" s="4">
        <f>Table134[[#This Row],[اصله مستقل]]*Table134[[#This Row],[A_tree]]</f>
        <v>198</v>
      </c>
      <c r="J586" s="4">
        <f>IF(Table134[[#This Row],[n * A_tree ]]&gt;Table134[[#This Row],[مساحت آدرس]],1,0)</f>
        <v>0</v>
      </c>
      <c r="K586" s="8">
        <f>IF(Table134[[#This Row],[check]]=1,1,Table134[[#This Row],[A_tree]]*Table134[[#This Row],[اصله مستقل]]/Table134[[#This Row],[مساحت آدرس]])</f>
        <v>0.27272727272727271</v>
      </c>
      <c r="L586" s="14">
        <f>IF(Table134[[#This Row],[check]]=1,1,(Table134[[#This Row],[Psh]]+0.15*(1-Table134[[#This Row],[Psh]])))</f>
        <v>0.38181818181818178</v>
      </c>
      <c r="M586" s="14">
        <f>IF(Table134[[#This Row],[check]]=1,0.65,1)</f>
        <v>1</v>
      </c>
      <c r="N586" s="4">
        <v>1</v>
      </c>
      <c r="O586" s="4">
        <f>IF(Table134[[#This Row],[check]]=1,Table134[[#This Row],[مساحت آدرس]]*Table134[[#This Row],[A0 Inc]],Table134[[#This Row],[A_tree]]*Table134[[#This Row],[اصله مستقل]])</f>
        <v>198</v>
      </c>
      <c r="P586" s="11">
        <f>IF(Table134[[#This Row],[check]]=1,Table134[[#This Row],[A0]]/Table134[[#This Row],[اصله مستقل]],Table134[[#This Row],[A_tree]])</f>
        <v>9</v>
      </c>
    </row>
    <row r="587" spans="2:16" ht="18.600000000000001" x14ac:dyDescent="0.3">
      <c r="B587" s="4" t="s">
        <v>825</v>
      </c>
      <c r="C587" s="4">
        <v>260</v>
      </c>
      <c r="D587" s="4">
        <v>16</v>
      </c>
      <c r="E587" s="4">
        <v>1150</v>
      </c>
      <c r="F587" s="4">
        <v>1794</v>
      </c>
      <c r="G587" s="2" t="s">
        <v>3</v>
      </c>
      <c r="H587" s="4">
        <v>9</v>
      </c>
      <c r="I587" s="4">
        <f>Table134[[#This Row],[اصله مستقل]]*Table134[[#This Row],[A_tree]]</f>
        <v>144</v>
      </c>
      <c r="J587" s="4">
        <f>IF(Table134[[#This Row],[n * A_tree ]]&gt;Table134[[#This Row],[مساحت آدرس]],1,0)</f>
        <v>0</v>
      </c>
      <c r="K587" s="8">
        <f>IF(Table134[[#This Row],[check]]=1,1,Table134[[#This Row],[A_tree]]*Table134[[#This Row],[اصله مستقل]]/Table134[[#This Row],[مساحت آدرس]])</f>
        <v>8.0267558528428096E-2</v>
      </c>
      <c r="L587" s="14">
        <f>IF(Table134[[#This Row],[check]]=1,1,(Table134[[#This Row],[Psh]]+0.15*(1-Table134[[#This Row],[Psh]])))</f>
        <v>0.21822742474916387</v>
      </c>
      <c r="M587" s="14">
        <f>IF(Table134[[#This Row],[check]]=1,0.65,1)</f>
        <v>1</v>
      </c>
      <c r="N587" s="4">
        <v>1</v>
      </c>
      <c r="O587" s="4">
        <f>IF(Table134[[#This Row],[check]]=1,Table134[[#This Row],[مساحت آدرس]]*Table134[[#This Row],[A0 Inc]],Table134[[#This Row],[A_tree]]*Table134[[#This Row],[اصله مستقل]])</f>
        <v>144</v>
      </c>
      <c r="P587" s="11">
        <f>IF(Table134[[#This Row],[check]]=1,Table134[[#This Row],[A0]]/Table134[[#This Row],[اصله مستقل]],Table134[[#This Row],[A_tree]])</f>
        <v>9</v>
      </c>
    </row>
    <row r="588" spans="2:16" ht="18.600000000000001" x14ac:dyDescent="0.3">
      <c r="B588" s="4" t="s">
        <v>828</v>
      </c>
      <c r="C588" s="4">
        <v>615</v>
      </c>
      <c r="D588" s="4">
        <v>8</v>
      </c>
      <c r="E588" s="4">
        <v>8</v>
      </c>
      <c r="F588" s="4">
        <v>2616</v>
      </c>
      <c r="G588" s="2" t="s">
        <v>21</v>
      </c>
      <c r="H588" s="4">
        <v>9</v>
      </c>
      <c r="I588" s="4">
        <f>Table134[[#This Row],[اصله مستقل]]*Table134[[#This Row],[A_tree]]</f>
        <v>72</v>
      </c>
      <c r="J588" s="4">
        <f>IF(Table134[[#This Row],[n * A_tree ]]&gt;Table134[[#This Row],[مساحت آدرس]],1,0)</f>
        <v>0</v>
      </c>
      <c r="K588" s="8">
        <f>IF(Table134[[#This Row],[check]]=1,1,Table134[[#This Row],[A_tree]]*Table134[[#This Row],[اصله مستقل]]/Table134[[#This Row],[مساحت آدرس]])</f>
        <v>2.7522935779816515E-2</v>
      </c>
      <c r="L588" s="14">
        <f>IF(Table134[[#This Row],[check]]=1,1,(Table134[[#This Row],[Psh]]+0.15*(1-Table134[[#This Row],[Psh]])))</f>
        <v>0.17339449541284402</v>
      </c>
      <c r="M588" s="14">
        <f>IF(Table134[[#This Row],[check]]=1,0.65,1)</f>
        <v>1</v>
      </c>
      <c r="N588" s="4">
        <v>1</v>
      </c>
      <c r="O588" s="4">
        <f>IF(Table134[[#This Row],[check]]=1,Table134[[#This Row],[مساحت آدرس]]*Table134[[#This Row],[A0 Inc]],Table134[[#This Row],[A_tree]]*Table134[[#This Row],[اصله مستقل]])</f>
        <v>72</v>
      </c>
      <c r="P588" s="11">
        <f>IF(Table134[[#This Row],[check]]=1,Table134[[#This Row],[A0]]/Table134[[#This Row],[اصله مستقل]],Table134[[#This Row],[A_tree]])</f>
        <v>9</v>
      </c>
    </row>
    <row r="589" spans="2:16" ht="18.600000000000001" x14ac:dyDescent="0.3">
      <c r="B589" s="4" t="s">
        <v>829</v>
      </c>
      <c r="C589" s="4">
        <v>239</v>
      </c>
      <c r="D589" s="4">
        <v>9</v>
      </c>
      <c r="E589" s="4">
        <v>9</v>
      </c>
      <c r="F589" s="4">
        <v>1239</v>
      </c>
      <c r="G589" s="2" t="s">
        <v>21</v>
      </c>
      <c r="H589" s="4">
        <v>9</v>
      </c>
      <c r="I589" s="4">
        <f>Table134[[#This Row],[اصله مستقل]]*Table134[[#This Row],[A_tree]]</f>
        <v>81</v>
      </c>
      <c r="J589" s="4">
        <f>IF(Table134[[#This Row],[n * A_tree ]]&gt;Table134[[#This Row],[مساحت آدرس]],1,0)</f>
        <v>0</v>
      </c>
      <c r="K589" s="8">
        <f>IF(Table134[[#This Row],[check]]=1,1,Table134[[#This Row],[A_tree]]*Table134[[#This Row],[اصله مستقل]]/Table134[[#This Row],[مساحت آدرس]])</f>
        <v>6.5375302663438259E-2</v>
      </c>
      <c r="L589" s="14">
        <f>IF(Table134[[#This Row],[check]]=1,1,(Table134[[#This Row],[Psh]]+0.15*(1-Table134[[#This Row],[Psh]])))</f>
        <v>0.20556900726392252</v>
      </c>
      <c r="M589" s="14">
        <f>IF(Table134[[#This Row],[check]]=1,0.65,1)</f>
        <v>1</v>
      </c>
      <c r="N589" s="4">
        <v>1</v>
      </c>
      <c r="O589" s="4">
        <f>IF(Table134[[#This Row],[check]]=1,Table134[[#This Row],[مساحت آدرس]]*Table134[[#This Row],[A0 Inc]],Table134[[#This Row],[A_tree]]*Table134[[#This Row],[اصله مستقل]])</f>
        <v>81</v>
      </c>
      <c r="P589" s="11">
        <f>IF(Table134[[#This Row],[check]]=1,Table134[[#This Row],[A0]]/Table134[[#This Row],[اصله مستقل]],Table134[[#This Row],[A_tree]])</f>
        <v>9</v>
      </c>
    </row>
    <row r="590" spans="2:16" ht="18.600000000000001" x14ac:dyDescent="0.3">
      <c r="B590" s="4" t="s">
        <v>830</v>
      </c>
      <c r="C590" s="4">
        <v>155</v>
      </c>
      <c r="D590" s="4">
        <v>155</v>
      </c>
      <c r="E590" s="4">
        <v>155</v>
      </c>
      <c r="F590" s="4">
        <v>178</v>
      </c>
      <c r="G590" s="2" t="s">
        <v>21</v>
      </c>
      <c r="H590" s="4">
        <v>9</v>
      </c>
      <c r="I590" s="4">
        <f>Table134[[#This Row],[اصله مستقل]]*Table134[[#This Row],[A_tree]]</f>
        <v>1395</v>
      </c>
      <c r="J590" s="4">
        <f>IF(Table134[[#This Row],[n * A_tree ]]&gt;Table134[[#This Row],[مساحت آدرس]],1,0)</f>
        <v>1</v>
      </c>
      <c r="K590" s="8">
        <f>IF(Table134[[#This Row],[check]]=1,1,Table134[[#This Row],[A_tree]]*Table134[[#This Row],[اصله مستقل]]/Table134[[#This Row],[مساحت آدرس]])</f>
        <v>1</v>
      </c>
      <c r="L590" s="14">
        <f>IF(Table134[[#This Row],[check]]=1,1,(Table134[[#This Row],[Psh]]+0.15*(1-Table134[[#This Row],[Psh]])))</f>
        <v>1</v>
      </c>
      <c r="M590" s="14">
        <f>IF(Table134[[#This Row],[check]]=1,0.65,1)</f>
        <v>0.65</v>
      </c>
      <c r="N590" s="4">
        <v>1</v>
      </c>
      <c r="O590" s="4">
        <f>IF(Table134[[#This Row],[check]]=1,Table134[[#This Row],[مساحت آدرس]]*Table134[[#This Row],[A0 Inc]],Table134[[#This Row],[A_tree]]*Table134[[#This Row],[اصله مستقل]])</f>
        <v>178</v>
      </c>
      <c r="P590" s="11">
        <f>IF(Table134[[#This Row],[check]]=1,Table134[[#This Row],[A0]]/Table134[[#This Row],[اصله مستقل]],Table134[[#This Row],[A_tree]])</f>
        <v>1.1483870967741936</v>
      </c>
    </row>
    <row r="591" spans="2:16" ht="18.600000000000001" x14ac:dyDescent="0.3">
      <c r="B591" s="4" t="s">
        <v>831</v>
      </c>
      <c r="C591" s="4">
        <v>819</v>
      </c>
      <c r="D591" s="4">
        <v>5</v>
      </c>
      <c r="E591" s="4">
        <v>5</v>
      </c>
      <c r="F591" s="4">
        <v>2910</v>
      </c>
      <c r="G591" s="2" t="s">
        <v>21</v>
      </c>
      <c r="H591" s="4">
        <v>9</v>
      </c>
      <c r="I591" s="4">
        <f>Table134[[#This Row],[اصله مستقل]]*Table134[[#This Row],[A_tree]]</f>
        <v>45</v>
      </c>
      <c r="J591" s="4">
        <f>IF(Table134[[#This Row],[n * A_tree ]]&gt;Table134[[#This Row],[مساحت آدرس]],1,0)</f>
        <v>0</v>
      </c>
      <c r="K591" s="8">
        <f>IF(Table134[[#This Row],[check]]=1,1,Table134[[#This Row],[A_tree]]*Table134[[#This Row],[اصله مستقل]]/Table134[[#This Row],[مساحت آدرس]])</f>
        <v>1.5463917525773196E-2</v>
      </c>
      <c r="L591" s="14">
        <f>IF(Table134[[#This Row],[check]]=1,1,(Table134[[#This Row],[Psh]]+0.15*(1-Table134[[#This Row],[Psh]])))</f>
        <v>0.16314432989690722</v>
      </c>
      <c r="M591" s="14">
        <f>IF(Table134[[#This Row],[check]]=1,0.65,1)</f>
        <v>1</v>
      </c>
      <c r="N591" s="4">
        <v>1</v>
      </c>
      <c r="O591" s="4">
        <f>IF(Table134[[#This Row],[check]]=1,Table134[[#This Row],[مساحت آدرس]]*Table134[[#This Row],[A0 Inc]],Table134[[#This Row],[A_tree]]*Table134[[#This Row],[اصله مستقل]])</f>
        <v>45</v>
      </c>
      <c r="P591" s="11">
        <f>IF(Table134[[#This Row],[check]]=1,Table134[[#This Row],[A0]]/Table134[[#This Row],[اصله مستقل]],Table134[[#This Row],[A_tree]])</f>
        <v>9</v>
      </c>
    </row>
    <row r="592" spans="2:16" ht="18.600000000000001" x14ac:dyDescent="0.3">
      <c r="B592" s="4" t="s">
        <v>832</v>
      </c>
      <c r="C592" s="4">
        <v>464</v>
      </c>
      <c r="D592" s="4">
        <v>464</v>
      </c>
      <c r="E592" s="4">
        <v>464</v>
      </c>
      <c r="F592" s="4">
        <v>464</v>
      </c>
      <c r="G592" s="2" t="s">
        <v>21</v>
      </c>
      <c r="H592" s="4">
        <v>9</v>
      </c>
      <c r="I592" s="4">
        <f>Table134[[#This Row],[اصله مستقل]]*Table134[[#This Row],[A_tree]]</f>
        <v>4176</v>
      </c>
      <c r="J592" s="4">
        <f>IF(Table134[[#This Row],[n * A_tree ]]&gt;Table134[[#This Row],[مساحت آدرس]],1,0)</f>
        <v>1</v>
      </c>
      <c r="K592" s="8">
        <f>IF(Table134[[#This Row],[check]]=1,1,Table134[[#This Row],[A_tree]]*Table134[[#This Row],[اصله مستقل]]/Table134[[#This Row],[مساحت آدرس]])</f>
        <v>1</v>
      </c>
      <c r="L592" s="14">
        <f>IF(Table134[[#This Row],[check]]=1,1,(Table134[[#This Row],[Psh]]+0.15*(1-Table134[[#This Row],[Psh]])))</f>
        <v>1</v>
      </c>
      <c r="M592" s="14">
        <f>IF(Table134[[#This Row],[check]]=1,0.65,1)</f>
        <v>0.65</v>
      </c>
      <c r="N592" s="4">
        <v>1</v>
      </c>
      <c r="O592" s="4">
        <f>IF(Table134[[#This Row],[check]]=1,Table134[[#This Row],[مساحت آدرس]]*Table134[[#This Row],[A0 Inc]],Table134[[#This Row],[A_tree]]*Table134[[#This Row],[اصله مستقل]])</f>
        <v>464</v>
      </c>
      <c r="P592" s="11">
        <f>IF(Table134[[#This Row],[check]]=1,Table134[[#This Row],[A0]]/Table134[[#This Row],[اصله مستقل]],Table134[[#This Row],[A_tree]])</f>
        <v>1</v>
      </c>
    </row>
    <row r="593" spans="2:16" ht="18.600000000000001" x14ac:dyDescent="0.3">
      <c r="B593" s="4" t="s">
        <v>833</v>
      </c>
      <c r="C593" s="4">
        <v>136</v>
      </c>
      <c r="D593" s="4">
        <v>32</v>
      </c>
      <c r="E593" s="4">
        <v>32</v>
      </c>
      <c r="F593" s="4">
        <v>580</v>
      </c>
      <c r="G593" s="2" t="s">
        <v>21</v>
      </c>
      <c r="H593" s="4">
        <v>9</v>
      </c>
      <c r="I593" s="4">
        <f>Table134[[#This Row],[اصله مستقل]]*Table134[[#This Row],[A_tree]]</f>
        <v>288</v>
      </c>
      <c r="J593" s="4">
        <f>IF(Table134[[#This Row],[n * A_tree ]]&gt;Table134[[#This Row],[مساحت آدرس]],1,0)</f>
        <v>0</v>
      </c>
      <c r="K593" s="8">
        <f>IF(Table134[[#This Row],[check]]=1,1,Table134[[#This Row],[A_tree]]*Table134[[#This Row],[اصله مستقل]]/Table134[[#This Row],[مساحت آدرس]])</f>
        <v>0.49655172413793103</v>
      </c>
      <c r="L593" s="14">
        <f>IF(Table134[[#This Row],[check]]=1,1,(Table134[[#This Row],[Psh]]+0.15*(1-Table134[[#This Row],[Psh]])))</f>
        <v>0.5720689655172414</v>
      </c>
      <c r="M593" s="14">
        <f>IF(Table134[[#This Row],[check]]=1,0.65,1)</f>
        <v>1</v>
      </c>
      <c r="N593" s="4">
        <v>1</v>
      </c>
      <c r="O593" s="4">
        <f>IF(Table134[[#This Row],[check]]=1,Table134[[#This Row],[مساحت آدرس]]*Table134[[#This Row],[A0 Inc]],Table134[[#This Row],[A_tree]]*Table134[[#This Row],[اصله مستقل]])</f>
        <v>288</v>
      </c>
      <c r="P593" s="11">
        <f>IF(Table134[[#This Row],[check]]=1,Table134[[#This Row],[A0]]/Table134[[#This Row],[اصله مستقل]],Table134[[#This Row],[A_tree]])</f>
        <v>9</v>
      </c>
    </row>
    <row r="594" spans="2:16" ht="18.600000000000001" x14ac:dyDescent="0.3">
      <c r="B594" s="4" t="s">
        <v>834</v>
      </c>
      <c r="C594" s="4">
        <v>120</v>
      </c>
      <c r="D594" s="4">
        <v>120</v>
      </c>
      <c r="E594" s="4">
        <v>120</v>
      </c>
      <c r="F594" s="4">
        <v>120</v>
      </c>
      <c r="G594" s="2" t="s">
        <v>21</v>
      </c>
      <c r="H594" s="4">
        <v>9</v>
      </c>
      <c r="I594" s="4">
        <f>Table134[[#This Row],[اصله مستقل]]*Table134[[#This Row],[A_tree]]</f>
        <v>1080</v>
      </c>
      <c r="J594" s="4">
        <f>IF(Table134[[#This Row],[n * A_tree ]]&gt;Table134[[#This Row],[مساحت آدرس]],1,0)</f>
        <v>1</v>
      </c>
      <c r="K594" s="8">
        <f>IF(Table134[[#This Row],[check]]=1,1,Table134[[#This Row],[A_tree]]*Table134[[#This Row],[اصله مستقل]]/Table134[[#This Row],[مساحت آدرس]])</f>
        <v>1</v>
      </c>
      <c r="L594" s="14">
        <f>IF(Table134[[#This Row],[check]]=1,1,(Table134[[#This Row],[Psh]]+0.15*(1-Table134[[#This Row],[Psh]])))</f>
        <v>1</v>
      </c>
      <c r="M594" s="14">
        <f>IF(Table134[[#This Row],[check]]=1,0.65,1)</f>
        <v>0.65</v>
      </c>
      <c r="N594" s="4">
        <v>1</v>
      </c>
      <c r="O594" s="4">
        <f>IF(Table134[[#This Row],[check]]=1,Table134[[#This Row],[مساحت آدرس]]*Table134[[#This Row],[A0 Inc]],Table134[[#This Row],[A_tree]]*Table134[[#This Row],[اصله مستقل]])</f>
        <v>120</v>
      </c>
      <c r="P594" s="11">
        <f>IF(Table134[[#This Row],[check]]=1,Table134[[#This Row],[A0]]/Table134[[#This Row],[اصله مستقل]],Table134[[#This Row],[A_tree]])</f>
        <v>1</v>
      </c>
    </row>
    <row r="595" spans="2:16" ht="18.600000000000001" x14ac:dyDescent="0.3">
      <c r="B595" s="4" t="s">
        <v>835</v>
      </c>
      <c r="C595" s="4">
        <v>169</v>
      </c>
      <c r="D595" s="4">
        <v>43</v>
      </c>
      <c r="E595" s="4">
        <v>43</v>
      </c>
      <c r="F595" s="4">
        <v>480</v>
      </c>
      <c r="G595" s="2" t="s">
        <v>21</v>
      </c>
      <c r="H595" s="4">
        <v>9</v>
      </c>
      <c r="I595" s="4">
        <f>Table134[[#This Row],[اصله مستقل]]*Table134[[#This Row],[A_tree]]</f>
        <v>387</v>
      </c>
      <c r="J595" s="4">
        <f>IF(Table134[[#This Row],[n * A_tree ]]&gt;Table134[[#This Row],[مساحت آدرس]],1,0)</f>
        <v>0</v>
      </c>
      <c r="K595" s="8">
        <f>IF(Table134[[#This Row],[check]]=1,1,Table134[[#This Row],[A_tree]]*Table134[[#This Row],[اصله مستقل]]/Table134[[#This Row],[مساحت آدرس]])</f>
        <v>0.80625000000000002</v>
      </c>
      <c r="L595" s="14">
        <f>IF(Table134[[#This Row],[check]]=1,1,(Table134[[#This Row],[Psh]]+0.15*(1-Table134[[#This Row],[Psh]])))</f>
        <v>0.83531250000000001</v>
      </c>
      <c r="M595" s="14">
        <f>IF(Table134[[#This Row],[check]]=1,0.65,1)</f>
        <v>1</v>
      </c>
      <c r="N595" s="4">
        <v>1</v>
      </c>
      <c r="O595" s="4">
        <f>IF(Table134[[#This Row],[check]]=1,Table134[[#This Row],[مساحت آدرس]]*Table134[[#This Row],[A0 Inc]],Table134[[#This Row],[A_tree]]*Table134[[#This Row],[اصله مستقل]])</f>
        <v>387</v>
      </c>
      <c r="P595" s="11">
        <f>IF(Table134[[#This Row],[check]]=1,Table134[[#This Row],[A0]]/Table134[[#This Row],[اصله مستقل]],Table134[[#This Row],[A_tree]])</f>
        <v>9</v>
      </c>
    </row>
    <row r="596" spans="2:16" ht="18.600000000000001" x14ac:dyDescent="0.3">
      <c r="B596" s="4" t="s">
        <v>836</v>
      </c>
      <c r="C596" s="4">
        <v>333</v>
      </c>
      <c r="D596" s="4">
        <v>74</v>
      </c>
      <c r="E596" s="4">
        <v>74</v>
      </c>
      <c r="F596" s="4">
        <v>1619</v>
      </c>
      <c r="G596" s="2" t="s">
        <v>21</v>
      </c>
      <c r="H596" s="4">
        <v>9</v>
      </c>
      <c r="I596" s="4">
        <f>Table134[[#This Row],[اصله مستقل]]*Table134[[#This Row],[A_tree]]</f>
        <v>666</v>
      </c>
      <c r="J596" s="4">
        <f>IF(Table134[[#This Row],[n * A_tree ]]&gt;Table134[[#This Row],[مساحت آدرس]],1,0)</f>
        <v>0</v>
      </c>
      <c r="K596" s="8">
        <f>IF(Table134[[#This Row],[check]]=1,1,Table134[[#This Row],[A_tree]]*Table134[[#This Row],[اصله مستقل]]/Table134[[#This Row],[مساحت آدرس]])</f>
        <v>0.41136504014823966</v>
      </c>
      <c r="L596" s="14">
        <f>IF(Table134[[#This Row],[check]]=1,1,(Table134[[#This Row],[Psh]]+0.15*(1-Table134[[#This Row],[Psh]])))</f>
        <v>0.49966028412600372</v>
      </c>
      <c r="M596" s="14">
        <f>IF(Table134[[#This Row],[check]]=1,0.65,1)</f>
        <v>1</v>
      </c>
      <c r="N596" s="4">
        <v>1</v>
      </c>
      <c r="O596" s="4">
        <f>IF(Table134[[#This Row],[check]]=1,Table134[[#This Row],[مساحت آدرس]]*Table134[[#This Row],[A0 Inc]],Table134[[#This Row],[A_tree]]*Table134[[#This Row],[اصله مستقل]])</f>
        <v>666</v>
      </c>
      <c r="P596" s="11">
        <f>IF(Table134[[#This Row],[check]]=1,Table134[[#This Row],[A0]]/Table134[[#This Row],[اصله مستقل]],Table134[[#This Row],[A_tree]])</f>
        <v>9</v>
      </c>
    </row>
    <row r="597" spans="2:16" ht="18.600000000000001" x14ac:dyDescent="0.3">
      <c r="B597" s="4" t="s">
        <v>837</v>
      </c>
      <c r="C597" s="4">
        <v>212</v>
      </c>
      <c r="D597" s="4">
        <v>106</v>
      </c>
      <c r="E597" s="4">
        <v>106</v>
      </c>
      <c r="F597" s="4">
        <v>328</v>
      </c>
      <c r="G597" s="2" t="s">
        <v>21</v>
      </c>
      <c r="H597" s="4">
        <v>9</v>
      </c>
      <c r="I597" s="4">
        <f>Table134[[#This Row],[اصله مستقل]]*Table134[[#This Row],[A_tree]]</f>
        <v>954</v>
      </c>
      <c r="J597" s="4">
        <f>IF(Table134[[#This Row],[n * A_tree ]]&gt;Table134[[#This Row],[مساحت آدرس]],1,0)</f>
        <v>1</v>
      </c>
      <c r="K597" s="8">
        <f>IF(Table134[[#This Row],[check]]=1,1,Table134[[#This Row],[A_tree]]*Table134[[#This Row],[اصله مستقل]]/Table134[[#This Row],[مساحت آدرس]])</f>
        <v>1</v>
      </c>
      <c r="L597" s="14">
        <f>IF(Table134[[#This Row],[check]]=1,1,(Table134[[#This Row],[Psh]]+0.15*(1-Table134[[#This Row],[Psh]])))</f>
        <v>1</v>
      </c>
      <c r="M597" s="14">
        <f>IF(Table134[[#This Row],[check]]=1,0.65,1)</f>
        <v>0.65</v>
      </c>
      <c r="N597" s="4">
        <v>1</v>
      </c>
      <c r="O597" s="4">
        <f>IF(Table134[[#This Row],[check]]=1,Table134[[#This Row],[مساحت آدرس]]*Table134[[#This Row],[A0 Inc]],Table134[[#This Row],[A_tree]]*Table134[[#This Row],[اصله مستقل]])</f>
        <v>328</v>
      </c>
      <c r="P597" s="11">
        <f>IF(Table134[[#This Row],[check]]=1,Table134[[#This Row],[A0]]/Table134[[#This Row],[اصله مستقل]],Table134[[#This Row],[A_tree]])</f>
        <v>3.0943396226415096</v>
      </c>
    </row>
    <row r="598" spans="2:16" ht="18.600000000000001" x14ac:dyDescent="0.3">
      <c r="B598" s="4" t="s">
        <v>838</v>
      </c>
      <c r="C598" s="4">
        <v>446</v>
      </c>
      <c r="D598" s="4">
        <v>27</v>
      </c>
      <c r="E598" s="4">
        <v>27</v>
      </c>
      <c r="F598" s="4">
        <v>677</v>
      </c>
      <c r="G598" s="2" t="s">
        <v>21</v>
      </c>
      <c r="H598" s="4">
        <v>9</v>
      </c>
      <c r="I598" s="4">
        <f>Table134[[#This Row],[اصله مستقل]]*Table134[[#This Row],[A_tree]]</f>
        <v>243</v>
      </c>
      <c r="J598" s="4">
        <f>IF(Table134[[#This Row],[n * A_tree ]]&gt;Table134[[#This Row],[مساحت آدرس]],1,0)</f>
        <v>0</v>
      </c>
      <c r="K598" s="8">
        <f>IF(Table134[[#This Row],[check]]=1,1,Table134[[#This Row],[A_tree]]*Table134[[#This Row],[اصله مستقل]]/Table134[[#This Row],[مساحت آدرس]])</f>
        <v>0.35893648449039883</v>
      </c>
      <c r="L598" s="14">
        <f>IF(Table134[[#This Row],[check]]=1,1,(Table134[[#This Row],[Psh]]+0.15*(1-Table134[[#This Row],[Psh]])))</f>
        <v>0.45509601181683901</v>
      </c>
      <c r="M598" s="14">
        <f>IF(Table134[[#This Row],[check]]=1,0.65,1)</f>
        <v>1</v>
      </c>
      <c r="N598" s="4">
        <v>1</v>
      </c>
      <c r="O598" s="4">
        <f>IF(Table134[[#This Row],[check]]=1,Table134[[#This Row],[مساحت آدرس]]*Table134[[#This Row],[A0 Inc]],Table134[[#This Row],[A_tree]]*Table134[[#This Row],[اصله مستقل]])</f>
        <v>243</v>
      </c>
      <c r="P598" s="11">
        <f>IF(Table134[[#This Row],[check]]=1,Table134[[#This Row],[A0]]/Table134[[#This Row],[اصله مستقل]],Table134[[#This Row],[A_tree]])</f>
        <v>9</v>
      </c>
    </row>
    <row r="599" spans="2:16" ht="18.600000000000001" x14ac:dyDescent="0.3">
      <c r="B599" s="4" t="s">
        <v>839</v>
      </c>
      <c r="C599" s="4">
        <v>199</v>
      </c>
      <c r="D599" s="4">
        <v>199</v>
      </c>
      <c r="E599" s="4">
        <v>199</v>
      </c>
      <c r="F599" s="4">
        <v>254</v>
      </c>
      <c r="G599" s="2" t="s">
        <v>21</v>
      </c>
      <c r="H599" s="4">
        <v>9</v>
      </c>
      <c r="I599" s="4">
        <f>Table134[[#This Row],[اصله مستقل]]*Table134[[#This Row],[A_tree]]</f>
        <v>1791</v>
      </c>
      <c r="J599" s="4">
        <f>IF(Table134[[#This Row],[n * A_tree ]]&gt;Table134[[#This Row],[مساحت آدرس]],1,0)</f>
        <v>1</v>
      </c>
      <c r="K599" s="8">
        <f>IF(Table134[[#This Row],[check]]=1,1,Table134[[#This Row],[A_tree]]*Table134[[#This Row],[اصله مستقل]]/Table134[[#This Row],[مساحت آدرس]])</f>
        <v>1</v>
      </c>
      <c r="L599" s="14">
        <f>IF(Table134[[#This Row],[check]]=1,1,(Table134[[#This Row],[Psh]]+0.15*(1-Table134[[#This Row],[Psh]])))</f>
        <v>1</v>
      </c>
      <c r="M599" s="14">
        <f>IF(Table134[[#This Row],[check]]=1,0.65,1)</f>
        <v>0.65</v>
      </c>
      <c r="N599" s="4">
        <v>1</v>
      </c>
      <c r="O599" s="4">
        <f>IF(Table134[[#This Row],[check]]=1,Table134[[#This Row],[مساحت آدرس]]*Table134[[#This Row],[A0 Inc]],Table134[[#This Row],[A_tree]]*Table134[[#This Row],[اصله مستقل]])</f>
        <v>254</v>
      </c>
      <c r="P599" s="11">
        <f>IF(Table134[[#This Row],[check]]=1,Table134[[#This Row],[A0]]/Table134[[#This Row],[اصله مستقل]],Table134[[#This Row],[A_tree]])</f>
        <v>1.2763819095477387</v>
      </c>
    </row>
    <row r="600" spans="2:16" ht="18.600000000000001" x14ac:dyDescent="0.3">
      <c r="B600" s="4" t="s">
        <v>840</v>
      </c>
      <c r="C600" s="4">
        <v>136</v>
      </c>
      <c r="D600" s="4">
        <v>136</v>
      </c>
      <c r="E600" s="4">
        <v>136</v>
      </c>
      <c r="F600" s="4">
        <v>206</v>
      </c>
      <c r="G600" s="2" t="s">
        <v>21</v>
      </c>
      <c r="H600" s="4">
        <v>9</v>
      </c>
      <c r="I600" s="4">
        <f>Table134[[#This Row],[اصله مستقل]]*Table134[[#This Row],[A_tree]]</f>
        <v>1224</v>
      </c>
      <c r="J600" s="4">
        <f>IF(Table134[[#This Row],[n * A_tree ]]&gt;Table134[[#This Row],[مساحت آدرس]],1,0)</f>
        <v>1</v>
      </c>
      <c r="K600" s="8">
        <f>IF(Table134[[#This Row],[check]]=1,1,Table134[[#This Row],[A_tree]]*Table134[[#This Row],[اصله مستقل]]/Table134[[#This Row],[مساحت آدرس]])</f>
        <v>1</v>
      </c>
      <c r="L600" s="14">
        <f>IF(Table134[[#This Row],[check]]=1,1,(Table134[[#This Row],[Psh]]+0.15*(1-Table134[[#This Row],[Psh]])))</f>
        <v>1</v>
      </c>
      <c r="M600" s="14">
        <f>IF(Table134[[#This Row],[check]]=1,0.65,1)</f>
        <v>0.65</v>
      </c>
      <c r="N600" s="4">
        <v>1</v>
      </c>
      <c r="O600" s="4">
        <f>IF(Table134[[#This Row],[check]]=1,Table134[[#This Row],[مساحت آدرس]]*Table134[[#This Row],[A0 Inc]],Table134[[#This Row],[A_tree]]*Table134[[#This Row],[اصله مستقل]])</f>
        <v>206</v>
      </c>
      <c r="P600" s="11">
        <f>IF(Table134[[#This Row],[check]]=1,Table134[[#This Row],[A0]]/Table134[[#This Row],[اصله مستقل]],Table134[[#This Row],[A_tree]])</f>
        <v>1.5147058823529411</v>
      </c>
    </row>
    <row r="601" spans="2:16" ht="18.600000000000001" x14ac:dyDescent="0.3">
      <c r="B601" s="4" t="s">
        <v>841</v>
      </c>
      <c r="C601" s="4">
        <v>222</v>
      </c>
      <c r="D601" s="4">
        <v>222</v>
      </c>
      <c r="E601" s="4">
        <v>222</v>
      </c>
      <c r="F601" s="4">
        <v>222</v>
      </c>
      <c r="G601" s="2" t="s">
        <v>21</v>
      </c>
      <c r="H601" s="4">
        <v>9</v>
      </c>
      <c r="I601" s="4">
        <f>Table134[[#This Row],[اصله مستقل]]*Table134[[#This Row],[A_tree]]</f>
        <v>1998</v>
      </c>
      <c r="J601" s="4">
        <f>IF(Table134[[#This Row],[n * A_tree ]]&gt;Table134[[#This Row],[مساحت آدرس]],1,0)</f>
        <v>1</v>
      </c>
      <c r="K601" s="8">
        <f>IF(Table134[[#This Row],[check]]=1,1,Table134[[#This Row],[A_tree]]*Table134[[#This Row],[اصله مستقل]]/Table134[[#This Row],[مساحت آدرس]])</f>
        <v>1</v>
      </c>
      <c r="L601" s="14">
        <f>IF(Table134[[#This Row],[check]]=1,1,(Table134[[#This Row],[Psh]]+0.15*(1-Table134[[#This Row],[Psh]])))</f>
        <v>1</v>
      </c>
      <c r="M601" s="14">
        <f>IF(Table134[[#This Row],[check]]=1,0.65,1)</f>
        <v>0.65</v>
      </c>
      <c r="N601" s="4">
        <v>1</v>
      </c>
      <c r="O601" s="4">
        <f>IF(Table134[[#This Row],[check]]=1,Table134[[#This Row],[مساحت آدرس]]*Table134[[#This Row],[A0 Inc]],Table134[[#This Row],[A_tree]]*Table134[[#This Row],[اصله مستقل]])</f>
        <v>222</v>
      </c>
      <c r="P601" s="11">
        <f>IF(Table134[[#This Row],[check]]=1,Table134[[#This Row],[A0]]/Table134[[#This Row],[اصله مستقل]],Table134[[#This Row],[A_tree]])</f>
        <v>1</v>
      </c>
    </row>
    <row r="602" spans="2:16" ht="18.600000000000001" x14ac:dyDescent="0.3">
      <c r="B602" s="4" t="s">
        <v>842</v>
      </c>
      <c r="C602" s="4">
        <v>148</v>
      </c>
      <c r="D602" s="4">
        <v>37</v>
      </c>
      <c r="E602" s="4">
        <v>37</v>
      </c>
      <c r="F602" s="4">
        <v>237</v>
      </c>
      <c r="G602" s="2" t="s">
        <v>21</v>
      </c>
      <c r="H602" s="4">
        <v>9</v>
      </c>
      <c r="I602" s="4">
        <f>Table134[[#This Row],[اصله مستقل]]*Table134[[#This Row],[A_tree]]</f>
        <v>333</v>
      </c>
      <c r="J602" s="4">
        <f>IF(Table134[[#This Row],[n * A_tree ]]&gt;Table134[[#This Row],[مساحت آدرس]],1,0)</f>
        <v>1</v>
      </c>
      <c r="K602" s="8">
        <f>IF(Table134[[#This Row],[check]]=1,1,Table134[[#This Row],[A_tree]]*Table134[[#This Row],[اصله مستقل]]/Table134[[#This Row],[مساحت آدرس]])</f>
        <v>1</v>
      </c>
      <c r="L602" s="14">
        <f>IF(Table134[[#This Row],[check]]=1,1,(Table134[[#This Row],[Psh]]+0.15*(1-Table134[[#This Row],[Psh]])))</f>
        <v>1</v>
      </c>
      <c r="M602" s="14">
        <f>IF(Table134[[#This Row],[check]]=1,0.65,1)</f>
        <v>0.65</v>
      </c>
      <c r="N602" s="4">
        <v>1</v>
      </c>
      <c r="O602" s="4">
        <f>IF(Table134[[#This Row],[check]]=1,Table134[[#This Row],[مساحت آدرس]]*Table134[[#This Row],[A0 Inc]],Table134[[#This Row],[A_tree]]*Table134[[#This Row],[اصله مستقل]])</f>
        <v>237</v>
      </c>
      <c r="P602" s="11">
        <f>IF(Table134[[#This Row],[check]]=1,Table134[[#This Row],[A0]]/Table134[[#This Row],[اصله مستقل]],Table134[[#This Row],[A_tree]])</f>
        <v>6.4054054054054053</v>
      </c>
    </row>
    <row r="603" spans="2:16" ht="18.600000000000001" x14ac:dyDescent="0.3">
      <c r="B603" s="4" t="s">
        <v>843</v>
      </c>
      <c r="C603" s="4">
        <v>247</v>
      </c>
      <c r="D603" s="4">
        <v>247</v>
      </c>
      <c r="E603" s="4">
        <v>741</v>
      </c>
      <c r="F603" s="4">
        <v>841</v>
      </c>
      <c r="G603" s="2" t="s">
        <v>21</v>
      </c>
      <c r="H603" s="4">
        <v>9</v>
      </c>
      <c r="I603" s="4">
        <f>Table134[[#This Row],[اصله مستقل]]*Table134[[#This Row],[A_tree]]</f>
        <v>2223</v>
      </c>
      <c r="J603" s="4">
        <f>IF(Table134[[#This Row],[n * A_tree ]]&gt;Table134[[#This Row],[مساحت آدرس]],1,0)</f>
        <v>1</v>
      </c>
      <c r="K603" s="8">
        <f>IF(Table134[[#This Row],[check]]=1,1,Table134[[#This Row],[A_tree]]*Table134[[#This Row],[اصله مستقل]]/Table134[[#This Row],[مساحت آدرس]])</f>
        <v>1</v>
      </c>
      <c r="L603" s="14">
        <f>IF(Table134[[#This Row],[check]]=1,1,(Table134[[#This Row],[Psh]]+0.15*(1-Table134[[#This Row],[Psh]])))</f>
        <v>1</v>
      </c>
      <c r="M603" s="14">
        <f>IF(Table134[[#This Row],[check]]=1,0.65,1)</f>
        <v>0.65</v>
      </c>
      <c r="N603" s="4">
        <v>1</v>
      </c>
      <c r="O603" s="4">
        <f>IF(Table134[[#This Row],[check]]=1,Table134[[#This Row],[مساحت آدرس]]*Table134[[#This Row],[A0 Inc]],Table134[[#This Row],[A_tree]]*Table134[[#This Row],[اصله مستقل]])</f>
        <v>841</v>
      </c>
      <c r="P603" s="11">
        <f>IF(Table134[[#This Row],[check]]=1,Table134[[#This Row],[A0]]/Table134[[#This Row],[اصله مستقل]],Table134[[#This Row],[A_tree]])</f>
        <v>3.4048582995951415</v>
      </c>
    </row>
    <row r="604" spans="2:16" ht="18.600000000000001" x14ac:dyDescent="0.3">
      <c r="B604" s="4" t="s">
        <v>844</v>
      </c>
      <c r="C604" s="4">
        <v>407</v>
      </c>
      <c r="D604" s="4">
        <v>18</v>
      </c>
      <c r="E604" s="4">
        <v>18</v>
      </c>
      <c r="F604" s="4">
        <v>1848</v>
      </c>
      <c r="G604" s="2" t="s">
        <v>21</v>
      </c>
      <c r="H604" s="4">
        <v>9</v>
      </c>
      <c r="I604" s="4">
        <f>Table134[[#This Row],[اصله مستقل]]*Table134[[#This Row],[A_tree]]</f>
        <v>162</v>
      </c>
      <c r="J604" s="4">
        <f>IF(Table134[[#This Row],[n * A_tree ]]&gt;Table134[[#This Row],[مساحت آدرس]],1,0)</f>
        <v>0</v>
      </c>
      <c r="K604" s="8">
        <f>IF(Table134[[#This Row],[check]]=1,1,Table134[[#This Row],[A_tree]]*Table134[[#This Row],[اصله مستقل]]/Table134[[#This Row],[مساحت آدرس]])</f>
        <v>8.7662337662337664E-2</v>
      </c>
      <c r="L604" s="14">
        <f>IF(Table134[[#This Row],[check]]=1,1,(Table134[[#This Row],[Psh]]+0.15*(1-Table134[[#This Row],[Psh]])))</f>
        <v>0.224512987012987</v>
      </c>
      <c r="M604" s="14">
        <f>IF(Table134[[#This Row],[check]]=1,0.65,1)</f>
        <v>1</v>
      </c>
      <c r="N604" s="4">
        <v>1</v>
      </c>
      <c r="O604" s="4">
        <f>IF(Table134[[#This Row],[check]]=1,Table134[[#This Row],[مساحت آدرس]]*Table134[[#This Row],[A0 Inc]],Table134[[#This Row],[A_tree]]*Table134[[#This Row],[اصله مستقل]])</f>
        <v>162</v>
      </c>
      <c r="P604" s="11">
        <f>IF(Table134[[#This Row],[check]]=1,Table134[[#This Row],[A0]]/Table134[[#This Row],[اصله مستقل]],Table134[[#This Row],[A_tree]])</f>
        <v>9</v>
      </c>
    </row>
    <row r="605" spans="2:16" ht="18.600000000000001" x14ac:dyDescent="0.3">
      <c r="B605" s="4" t="s">
        <v>845</v>
      </c>
      <c r="C605" s="4">
        <v>365</v>
      </c>
      <c r="D605" s="4">
        <v>45</v>
      </c>
      <c r="E605" s="4">
        <v>45</v>
      </c>
      <c r="F605" s="4">
        <v>2545</v>
      </c>
      <c r="G605" s="2" t="s">
        <v>21</v>
      </c>
      <c r="H605" s="4">
        <v>9</v>
      </c>
      <c r="I605" s="4">
        <f>Table134[[#This Row],[اصله مستقل]]*Table134[[#This Row],[A_tree]]</f>
        <v>405</v>
      </c>
      <c r="J605" s="4">
        <f>IF(Table134[[#This Row],[n * A_tree ]]&gt;Table134[[#This Row],[مساحت آدرس]],1,0)</f>
        <v>0</v>
      </c>
      <c r="K605" s="8">
        <f>IF(Table134[[#This Row],[check]]=1,1,Table134[[#This Row],[A_tree]]*Table134[[#This Row],[اصله مستقل]]/Table134[[#This Row],[مساحت آدرس]])</f>
        <v>0.15913555992141454</v>
      </c>
      <c r="L605" s="14">
        <f>IF(Table134[[#This Row],[check]]=1,1,(Table134[[#This Row],[Psh]]+0.15*(1-Table134[[#This Row],[Psh]])))</f>
        <v>0.28526522593320236</v>
      </c>
      <c r="M605" s="14">
        <f>IF(Table134[[#This Row],[check]]=1,0.65,1)</f>
        <v>1</v>
      </c>
      <c r="N605" s="4">
        <v>1</v>
      </c>
      <c r="O605" s="4">
        <f>IF(Table134[[#This Row],[check]]=1,Table134[[#This Row],[مساحت آدرس]]*Table134[[#This Row],[A0 Inc]],Table134[[#This Row],[A_tree]]*Table134[[#This Row],[اصله مستقل]])</f>
        <v>405</v>
      </c>
      <c r="P605" s="11">
        <f>IF(Table134[[#This Row],[check]]=1,Table134[[#This Row],[A0]]/Table134[[#This Row],[اصله مستقل]],Table134[[#This Row],[A_tree]])</f>
        <v>9</v>
      </c>
    </row>
    <row r="606" spans="2:16" ht="18.600000000000001" x14ac:dyDescent="0.3">
      <c r="B606" s="4" t="s">
        <v>846</v>
      </c>
      <c r="C606" s="4">
        <v>59</v>
      </c>
      <c r="D606" s="4">
        <v>5</v>
      </c>
      <c r="E606" s="4">
        <v>26</v>
      </c>
      <c r="F606" s="4">
        <v>1332</v>
      </c>
      <c r="G606" s="2" t="s">
        <v>62</v>
      </c>
      <c r="H606" s="4">
        <v>9</v>
      </c>
      <c r="I606" s="4">
        <f>Table134[[#This Row],[اصله مستقل]]*Table134[[#This Row],[A_tree]]</f>
        <v>45</v>
      </c>
      <c r="J606" s="4">
        <f>IF(Table134[[#This Row],[n * A_tree ]]&gt;Table134[[#This Row],[مساحت آدرس]],1,0)</f>
        <v>0</v>
      </c>
      <c r="K606" s="8">
        <f>IF(Table134[[#This Row],[check]]=1,1,Table134[[#This Row],[A_tree]]*Table134[[#This Row],[اصله مستقل]]/Table134[[#This Row],[مساحت آدرس]])</f>
        <v>3.3783783783783786E-2</v>
      </c>
      <c r="L606" s="14">
        <f>IF(Table134[[#This Row],[check]]=1,1,(Table134[[#This Row],[Psh]]+0.15*(1-Table134[[#This Row],[Psh]])))</f>
        <v>0.17871621621621619</v>
      </c>
      <c r="M606" s="14">
        <f>IF(Table134[[#This Row],[check]]=1,0.65,1)</f>
        <v>1</v>
      </c>
      <c r="N606" s="4">
        <v>1</v>
      </c>
      <c r="O606" s="4">
        <f>IF(Table134[[#This Row],[check]]=1,Table134[[#This Row],[مساحت آدرس]]*Table134[[#This Row],[A0 Inc]],Table134[[#This Row],[A_tree]]*Table134[[#This Row],[اصله مستقل]])</f>
        <v>45</v>
      </c>
      <c r="P606" s="11">
        <f>IF(Table134[[#This Row],[check]]=1,Table134[[#This Row],[A0]]/Table134[[#This Row],[اصله مستقل]],Table134[[#This Row],[A_tree]])</f>
        <v>9</v>
      </c>
    </row>
    <row r="607" spans="2:16" ht="18.600000000000001" x14ac:dyDescent="0.3">
      <c r="B607" s="4" t="s">
        <v>847</v>
      </c>
      <c r="C607" s="4">
        <v>20</v>
      </c>
      <c r="D607" s="4">
        <v>1</v>
      </c>
      <c r="E607" s="4">
        <v>3</v>
      </c>
      <c r="F607" s="4">
        <v>469</v>
      </c>
      <c r="G607" s="2" t="s">
        <v>66</v>
      </c>
      <c r="H607" s="4">
        <v>9</v>
      </c>
      <c r="I607" s="4">
        <f>Table134[[#This Row],[اصله مستقل]]*Table134[[#This Row],[A_tree]]</f>
        <v>9</v>
      </c>
      <c r="J607" s="4">
        <f>IF(Table134[[#This Row],[n * A_tree ]]&gt;Table134[[#This Row],[مساحت آدرس]],1,0)</f>
        <v>0</v>
      </c>
      <c r="K607" s="8">
        <f>IF(Table134[[#This Row],[check]]=1,1,Table134[[#This Row],[A_tree]]*Table134[[#This Row],[اصله مستقل]]/Table134[[#This Row],[مساحت آدرس]])</f>
        <v>1.9189765458422176E-2</v>
      </c>
      <c r="L607" s="14">
        <f>IF(Table134[[#This Row],[check]]=1,1,(Table134[[#This Row],[Psh]]+0.15*(1-Table134[[#This Row],[Psh]])))</f>
        <v>0.16631130063965885</v>
      </c>
      <c r="M607" s="14">
        <f>IF(Table134[[#This Row],[check]]=1,0.65,1)</f>
        <v>1</v>
      </c>
      <c r="N607" s="4">
        <v>1</v>
      </c>
      <c r="O607" s="4">
        <f>IF(Table134[[#This Row],[check]]=1,Table134[[#This Row],[مساحت آدرس]]*Table134[[#This Row],[A0 Inc]],Table134[[#This Row],[A_tree]]*Table134[[#This Row],[اصله مستقل]])</f>
        <v>9</v>
      </c>
      <c r="P607" s="11">
        <f>IF(Table134[[#This Row],[check]]=1,Table134[[#This Row],[A0]]/Table134[[#This Row],[اصله مستقل]],Table134[[#This Row],[A_tree]])</f>
        <v>9</v>
      </c>
    </row>
    <row r="608" spans="2:16" ht="18.600000000000001" x14ac:dyDescent="0.3">
      <c r="B608" s="4" t="s">
        <v>855</v>
      </c>
      <c r="C608" s="4">
        <v>924</v>
      </c>
      <c r="D608" s="4">
        <v>454</v>
      </c>
      <c r="E608" s="4">
        <v>1600</v>
      </c>
      <c r="F608" s="4">
        <v>6565</v>
      </c>
      <c r="G608" s="2" t="s">
        <v>3</v>
      </c>
      <c r="H608" s="4">
        <v>9</v>
      </c>
      <c r="I608" s="4">
        <f>Table134[[#This Row],[اصله مستقل]]*Table134[[#This Row],[A_tree]]</f>
        <v>4086</v>
      </c>
      <c r="J608" s="4">
        <f>IF(Table134[[#This Row],[n * A_tree ]]&gt;Table134[[#This Row],[مساحت آدرس]],1,0)</f>
        <v>0</v>
      </c>
      <c r="K608" s="8">
        <f>IF(Table134[[#This Row],[check]]=1,1,Table134[[#This Row],[A_tree]]*Table134[[#This Row],[اصله مستقل]]/Table134[[#This Row],[مساحت آدرس]])</f>
        <v>0.62239146991622241</v>
      </c>
      <c r="L608" s="14">
        <f>IF(Table134[[#This Row],[check]]=1,1,(Table134[[#This Row],[Psh]]+0.15*(1-Table134[[#This Row],[Psh]])))</f>
        <v>0.679032749428789</v>
      </c>
      <c r="M608" s="14">
        <f>IF(Table134[[#This Row],[check]]=1,0.65,1)</f>
        <v>1</v>
      </c>
      <c r="N608" s="4">
        <v>1</v>
      </c>
      <c r="O608" s="4">
        <f>IF(Table134[[#This Row],[check]]=1,Table134[[#This Row],[مساحت آدرس]]*Table134[[#This Row],[A0 Inc]],Table134[[#This Row],[A_tree]]*Table134[[#This Row],[اصله مستقل]])</f>
        <v>4086</v>
      </c>
      <c r="P608" s="11">
        <f>IF(Table134[[#This Row],[check]]=1,Table134[[#This Row],[A0]]/Table134[[#This Row],[اصله مستقل]],Table134[[#This Row],[A_tree]])</f>
        <v>9</v>
      </c>
    </row>
    <row r="609" spans="2:16" ht="18.600000000000001" x14ac:dyDescent="0.3">
      <c r="B609" s="4" t="s">
        <v>856</v>
      </c>
      <c r="C609" s="4">
        <v>226</v>
      </c>
      <c r="D609" s="4">
        <v>226</v>
      </c>
      <c r="E609" s="4">
        <v>226</v>
      </c>
      <c r="F609" s="4">
        <v>1074</v>
      </c>
      <c r="G609" s="2" t="s">
        <v>3</v>
      </c>
      <c r="H609" s="4">
        <v>9</v>
      </c>
      <c r="I609" s="4">
        <f>Table134[[#This Row],[اصله مستقل]]*Table134[[#This Row],[A_tree]]</f>
        <v>2034</v>
      </c>
      <c r="J609" s="4">
        <f>IF(Table134[[#This Row],[n * A_tree ]]&gt;Table134[[#This Row],[مساحت آدرس]],1,0)</f>
        <v>1</v>
      </c>
      <c r="K609" s="8">
        <f>IF(Table134[[#This Row],[check]]=1,1,Table134[[#This Row],[A_tree]]*Table134[[#This Row],[اصله مستقل]]/Table134[[#This Row],[مساحت آدرس]])</f>
        <v>1</v>
      </c>
      <c r="L609" s="14">
        <f>IF(Table134[[#This Row],[check]]=1,1,(Table134[[#This Row],[Psh]]+0.15*(1-Table134[[#This Row],[Psh]])))</f>
        <v>1</v>
      </c>
      <c r="M609" s="14">
        <f>IF(Table134[[#This Row],[check]]=1,0.65,1)</f>
        <v>0.65</v>
      </c>
      <c r="N609" s="4">
        <v>1</v>
      </c>
      <c r="O609" s="4">
        <f>IF(Table134[[#This Row],[check]]=1,Table134[[#This Row],[مساحت آدرس]]*Table134[[#This Row],[A0 Inc]],Table134[[#This Row],[A_tree]]*Table134[[#This Row],[اصله مستقل]])</f>
        <v>1074</v>
      </c>
      <c r="P609" s="11">
        <f>IF(Table134[[#This Row],[check]]=1,Table134[[#This Row],[A0]]/Table134[[#This Row],[اصله مستقل]],Table134[[#This Row],[A_tree]])</f>
        <v>4.7522123893805306</v>
      </c>
    </row>
    <row r="610" spans="2:16" ht="18.600000000000001" x14ac:dyDescent="0.3">
      <c r="B610" s="4" t="s">
        <v>857</v>
      </c>
      <c r="C610" s="4">
        <v>5282</v>
      </c>
      <c r="D610" s="4">
        <v>5282</v>
      </c>
      <c r="E610" s="4">
        <v>45206</v>
      </c>
      <c r="F610" s="4">
        <v>50818</v>
      </c>
      <c r="G610" s="2" t="s">
        <v>300</v>
      </c>
      <c r="H610" s="4">
        <v>9</v>
      </c>
      <c r="I610" s="4">
        <f>Table134[[#This Row],[اصله مستقل]]*Table134[[#This Row],[A_tree]]</f>
        <v>47538</v>
      </c>
      <c r="J610" s="4">
        <f>IF(Table134[[#This Row],[n * A_tree ]]&gt;Table134[[#This Row],[مساحت آدرس]],1,0)</f>
        <v>0</v>
      </c>
      <c r="K610" s="8">
        <f>IF(Table134[[#This Row],[check]]=1,1,Table134[[#This Row],[A_tree]]*Table134[[#This Row],[اصله مستقل]]/Table134[[#This Row],[مساحت آدرس]])</f>
        <v>0.93545594080837502</v>
      </c>
      <c r="L610" s="14">
        <f>IF(Table134[[#This Row],[check]]=1,1,(Table134[[#This Row],[Psh]]+0.15*(1-Table134[[#This Row],[Psh]])))</f>
        <v>0.94513754968711872</v>
      </c>
      <c r="M610" s="14">
        <f>IF(Table134[[#This Row],[check]]=1,0.65,1)</f>
        <v>1</v>
      </c>
      <c r="N610" s="4">
        <v>1</v>
      </c>
      <c r="O610" s="4">
        <f>IF(Table134[[#This Row],[check]]=1,Table134[[#This Row],[مساحت آدرس]]*Table134[[#This Row],[A0 Inc]],Table134[[#This Row],[A_tree]]*Table134[[#This Row],[اصله مستقل]])</f>
        <v>47538</v>
      </c>
      <c r="P610" s="11">
        <f>IF(Table134[[#This Row],[check]]=1,Table134[[#This Row],[A0]]/Table134[[#This Row],[اصله مستقل]],Table134[[#This Row],[A_tree]])</f>
        <v>9</v>
      </c>
    </row>
    <row r="611" spans="2:16" ht="18.600000000000001" x14ac:dyDescent="0.3">
      <c r="B611" s="4" t="s">
        <v>858</v>
      </c>
      <c r="C611" s="4">
        <v>1885</v>
      </c>
      <c r="D611" s="4">
        <v>1506</v>
      </c>
      <c r="E611" s="4">
        <v>2652</v>
      </c>
      <c r="F611" s="4">
        <v>4755</v>
      </c>
      <c r="G611" s="2" t="s">
        <v>21</v>
      </c>
      <c r="H611" s="4">
        <v>9</v>
      </c>
      <c r="I611" s="4">
        <f>Table134[[#This Row],[اصله مستقل]]*Table134[[#This Row],[A_tree]]</f>
        <v>13554</v>
      </c>
      <c r="J611" s="4">
        <f>IF(Table134[[#This Row],[n * A_tree ]]&gt;Table134[[#This Row],[مساحت آدرس]],1,0)</f>
        <v>1</v>
      </c>
      <c r="K611" s="8">
        <f>IF(Table134[[#This Row],[check]]=1,1,Table134[[#This Row],[A_tree]]*Table134[[#This Row],[اصله مستقل]]/Table134[[#This Row],[مساحت آدرس]])</f>
        <v>1</v>
      </c>
      <c r="L611" s="14">
        <f>IF(Table134[[#This Row],[check]]=1,1,(Table134[[#This Row],[Psh]]+0.15*(1-Table134[[#This Row],[Psh]])))</f>
        <v>1</v>
      </c>
      <c r="M611" s="14">
        <f>IF(Table134[[#This Row],[check]]=1,0.65,1)</f>
        <v>0.65</v>
      </c>
      <c r="N611" s="4">
        <v>1</v>
      </c>
      <c r="O611" s="4">
        <f>IF(Table134[[#This Row],[check]]=1,Table134[[#This Row],[مساحت آدرس]]*Table134[[#This Row],[A0 Inc]],Table134[[#This Row],[A_tree]]*Table134[[#This Row],[اصله مستقل]])</f>
        <v>4755</v>
      </c>
      <c r="P611" s="11">
        <f>IF(Table134[[#This Row],[check]]=1,Table134[[#This Row],[A0]]/Table134[[#This Row],[اصله مستقل]],Table134[[#This Row],[A_tree]])</f>
        <v>3.1573705179282867</v>
      </c>
    </row>
    <row r="612" spans="2:16" ht="18.600000000000001" x14ac:dyDescent="0.3">
      <c r="B612" s="4" t="s">
        <v>859</v>
      </c>
      <c r="C612" s="4">
        <v>252</v>
      </c>
      <c r="D612" s="4">
        <v>252</v>
      </c>
      <c r="E612" s="4">
        <v>402</v>
      </c>
      <c r="F612" s="4">
        <v>794</v>
      </c>
      <c r="G612" s="2" t="s">
        <v>21</v>
      </c>
      <c r="H612" s="4">
        <v>9</v>
      </c>
      <c r="I612" s="4">
        <f>Table134[[#This Row],[اصله مستقل]]*Table134[[#This Row],[A_tree]]</f>
        <v>2268</v>
      </c>
      <c r="J612" s="4">
        <f>IF(Table134[[#This Row],[n * A_tree ]]&gt;Table134[[#This Row],[مساحت آدرس]],1,0)</f>
        <v>1</v>
      </c>
      <c r="K612" s="8">
        <f>IF(Table134[[#This Row],[check]]=1,1,Table134[[#This Row],[A_tree]]*Table134[[#This Row],[اصله مستقل]]/Table134[[#This Row],[مساحت آدرس]])</f>
        <v>1</v>
      </c>
      <c r="L612" s="14">
        <f>IF(Table134[[#This Row],[check]]=1,1,(Table134[[#This Row],[Psh]]+0.15*(1-Table134[[#This Row],[Psh]])))</f>
        <v>1</v>
      </c>
      <c r="M612" s="14">
        <f>IF(Table134[[#This Row],[check]]=1,0.65,1)</f>
        <v>0.65</v>
      </c>
      <c r="N612" s="4">
        <v>1</v>
      </c>
      <c r="O612" s="4">
        <f>IF(Table134[[#This Row],[check]]=1,Table134[[#This Row],[مساحت آدرس]]*Table134[[#This Row],[A0 Inc]],Table134[[#This Row],[A_tree]]*Table134[[#This Row],[اصله مستقل]])</f>
        <v>794</v>
      </c>
      <c r="P612" s="11">
        <f>IF(Table134[[#This Row],[check]]=1,Table134[[#This Row],[A0]]/Table134[[#This Row],[اصله مستقل]],Table134[[#This Row],[A_tree]])</f>
        <v>3.1507936507936507</v>
      </c>
    </row>
    <row r="613" spans="2:16" ht="18.600000000000001" x14ac:dyDescent="0.3">
      <c r="B613" s="4" t="s">
        <v>860</v>
      </c>
      <c r="C613" s="4">
        <v>216</v>
      </c>
      <c r="D613" s="4">
        <v>45</v>
      </c>
      <c r="E613" s="4">
        <v>72</v>
      </c>
      <c r="F613" s="4">
        <v>268</v>
      </c>
      <c r="G613" s="2" t="s">
        <v>21</v>
      </c>
      <c r="H613" s="4">
        <v>9</v>
      </c>
      <c r="I613" s="4">
        <f>Table134[[#This Row],[اصله مستقل]]*Table134[[#This Row],[A_tree]]</f>
        <v>405</v>
      </c>
      <c r="J613" s="4">
        <f>IF(Table134[[#This Row],[n * A_tree ]]&gt;Table134[[#This Row],[مساحت آدرس]],1,0)</f>
        <v>1</v>
      </c>
      <c r="K613" s="8">
        <f>IF(Table134[[#This Row],[check]]=1,1,Table134[[#This Row],[A_tree]]*Table134[[#This Row],[اصله مستقل]]/Table134[[#This Row],[مساحت آدرس]])</f>
        <v>1</v>
      </c>
      <c r="L613" s="14">
        <f>IF(Table134[[#This Row],[check]]=1,1,(Table134[[#This Row],[Psh]]+0.15*(1-Table134[[#This Row],[Psh]])))</f>
        <v>1</v>
      </c>
      <c r="M613" s="14">
        <f>IF(Table134[[#This Row],[check]]=1,0.65,1)</f>
        <v>0.65</v>
      </c>
      <c r="N613" s="4">
        <v>1</v>
      </c>
      <c r="O613" s="4">
        <f>IF(Table134[[#This Row],[check]]=1,Table134[[#This Row],[مساحت آدرس]]*Table134[[#This Row],[A0 Inc]],Table134[[#This Row],[A_tree]]*Table134[[#This Row],[اصله مستقل]])</f>
        <v>268</v>
      </c>
      <c r="P613" s="11">
        <f>IF(Table134[[#This Row],[check]]=1,Table134[[#This Row],[A0]]/Table134[[#This Row],[اصله مستقل]],Table134[[#This Row],[A_tree]])</f>
        <v>5.9555555555555557</v>
      </c>
    </row>
    <row r="614" spans="2:16" ht="18.600000000000001" x14ac:dyDescent="0.3">
      <c r="B614" s="4" t="s">
        <v>861</v>
      </c>
      <c r="C614" s="4">
        <v>563</v>
      </c>
      <c r="D614" s="4">
        <v>135</v>
      </c>
      <c r="E614" s="4">
        <v>135</v>
      </c>
      <c r="F614" s="4">
        <v>736</v>
      </c>
      <c r="G614" s="2" t="s">
        <v>21</v>
      </c>
      <c r="H614" s="4">
        <v>9</v>
      </c>
      <c r="I614" s="4">
        <f>Table134[[#This Row],[اصله مستقل]]*Table134[[#This Row],[A_tree]]</f>
        <v>1215</v>
      </c>
      <c r="J614" s="4">
        <f>IF(Table134[[#This Row],[n * A_tree ]]&gt;Table134[[#This Row],[مساحت آدرس]],1,0)</f>
        <v>1</v>
      </c>
      <c r="K614" s="8">
        <f>IF(Table134[[#This Row],[check]]=1,1,Table134[[#This Row],[A_tree]]*Table134[[#This Row],[اصله مستقل]]/Table134[[#This Row],[مساحت آدرس]])</f>
        <v>1</v>
      </c>
      <c r="L614" s="14">
        <f>IF(Table134[[#This Row],[check]]=1,1,(Table134[[#This Row],[Psh]]+0.15*(1-Table134[[#This Row],[Psh]])))</f>
        <v>1</v>
      </c>
      <c r="M614" s="14">
        <f>IF(Table134[[#This Row],[check]]=1,0.65,1)</f>
        <v>0.65</v>
      </c>
      <c r="N614" s="4">
        <v>1</v>
      </c>
      <c r="O614" s="4">
        <f>IF(Table134[[#This Row],[check]]=1,Table134[[#This Row],[مساحت آدرس]]*Table134[[#This Row],[A0 Inc]],Table134[[#This Row],[A_tree]]*Table134[[#This Row],[اصله مستقل]])</f>
        <v>736</v>
      </c>
      <c r="P614" s="11">
        <f>IF(Table134[[#This Row],[check]]=1,Table134[[#This Row],[A0]]/Table134[[#This Row],[اصله مستقل]],Table134[[#This Row],[A_tree]])</f>
        <v>5.4518518518518517</v>
      </c>
    </row>
    <row r="615" spans="2:16" ht="18.600000000000001" x14ac:dyDescent="0.3">
      <c r="B615" s="4" t="s">
        <v>862</v>
      </c>
      <c r="C615" s="4">
        <v>140</v>
      </c>
      <c r="D615" s="4">
        <v>131</v>
      </c>
      <c r="E615" s="4">
        <v>131</v>
      </c>
      <c r="F615" s="4">
        <v>381</v>
      </c>
      <c r="G615" s="2" t="s">
        <v>21</v>
      </c>
      <c r="H615" s="4">
        <v>9</v>
      </c>
      <c r="I615" s="4">
        <f>Table134[[#This Row],[اصله مستقل]]*Table134[[#This Row],[A_tree]]</f>
        <v>1179</v>
      </c>
      <c r="J615" s="4">
        <f>IF(Table134[[#This Row],[n * A_tree ]]&gt;Table134[[#This Row],[مساحت آدرس]],1,0)</f>
        <v>1</v>
      </c>
      <c r="K615" s="8">
        <f>IF(Table134[[#This Row],[check]]=1,1,Table134[[#This Row],[A_tree]]*Table134[[#This Row],[اصله مستقل]]/Table134[[#This Row],[مساحت آدرس]])</f>
        <v>1</v>
      </c>
      <c r="L615" s="14">
        <f>IF(Table134[[#This Row],[check]]=1,1,(Table134[[#This Row],[Psh]]+0.15*(1-Table134[[#This Row],[Psh]])))</f>
        <v>1</v>
      </c>
      <c r="M615" s="14">
        <f>IF(Table134[[#This Row],[check]]=1,0.65,1)</f>
        <v>0.65</v>
      </c>
      <c r="N615" s="4">
        <v>1</v>
      </c>
      <c r="O615" s="4">
        <f>IF(Table134[[#This Row],[check]]=1,Table134[[#This Row],[مساحت آدرس]]*Table134[[#This Row],[A0 Inc]],Table134[[#This Row],[A_tree]]*Table134[[#This Row],[اصله مستقل]])</f>
        <v>381</v>
      </c>
      <c r="P615" s="11">
        <f>IF(Table134[[#This Row],[check]]=1,Table134[[#This Row],[A0]]/Table134[[#This Row],[اصله مستقل]],Table134[[#This Row],[A_tree]])</f>
        <v>2.9083969465648853</v>
      </c>
    </row>
    <row r="616" spans="2:16" ht="18.600000000000001" x14ac:dyDescent="0.3">
      <c r="B616" s="4" t="s">
        <v>863</v>
      </c>
      <c r="C616" s="4">
        <v>125</v>
      </c>
      <c r="D616" s="4">
        <v>20</v>
      </c>
      <c r="E616" s="4">
        <v>42</v>
      </c>
      <c r="F616" s="4">
        <v>642</v>
      </c>
      <c r="G616" s="2" t="s">
        <v>21</v>
      </c>
      <c r="H616" s="4">
        <v>9</v>
      </c>
      <c r="I616" s="4">
        <f>Table134[[#This Row],[اصله مستقل]]*Table134[[#This Row],[A_tree]]</f>
        <v>180</v>
      </c>
      <c r="J616" s="4">
        <f>IF(Table134[[#This Row],[n * A_tree ]]&gt;Table134[[#This Row],[مساحت آدرس]],1,0)</f>
        <v>0</v>
      </c>
      <c r="K616" s="8">
        <f>IF(Table134[[#This Row],[check]]=1,1,Table134[[#This Row],[A_tree]]*Table134[[#This Row],[اصله مستقل]]/Table134[[#This Row],[مساحت آدرس]])</f>
        <v>0.28037383177570091</v>
      </c>
      <c r="L616" s="14">
        <f>IF(Table134[[#This Row],[check]]=1,1,(Table134[[#This Row],[Psh]]+0.15*(1-Table134[[#This Row],[Psh]])))</f>
        <v>0.38831775700934579</v>
      </c>
      <c r="M616" s="14">
        <f>IF(Table134[[#This Row],[check]]=1,0.65,1)</f>
        <v>1</v>
      </c>
      <c r="N616" s="4">
        <v>1</v>
      </c>
      <c r="O616" s="4">
        <f>IF(Table134[[#This Row],[check]]=1,Table134[[#This Row],[مساحت آدرس]]*Table134[[#This Row],[A0 Inc]],Table134[[#This Row],[A_tree]]*Table134[[#This Row],[اصله مستقل]])</f>
        <v>180</v>
      </c>
      <c r="P616" s="11">
        <f>IF(Table134[[#This Row],[check]]=1,Table134[[#This Row],[A0]]/Table134[[#This Row],[اصله مستقل]],Table134[[#This Row],[A_tree]])</f>
        <v>9</v>
      </c>
    </row>
    <row r="617" spans="2:16" ht="18.600000000000001" x14ac:dyDescent="0.3">
      <c r="B617" s="4" t="s">
        <v>864</v>
      </c>
      <c r="C617" s="4">
        <v>100</v>
      </c>
      <c r="D617" s="4">
        <v>100</v>
      </c>
      <c r="E617" s="4">
        <v>250</v>
      </c>
      <c r="F617" s="4">
        <v>250</v>
      </c>
      <c r="G617" s="2" t="s">
        <v>21</v>
      </c>
      <c r="H617" s="4">
        <v>9</v>
      </c>
      <c r="I617" s="4">
        <f>Table134[[#This Row],[اصله مستقل]]*Table134[[#This Row],[A_tree]]</f>
        <v>900</v>
      </c>
      <c r="J617" s="4">
        <f>IF(Table134[[#This Row],[n * A_tree ]]&gt;Table134[[#This Row],[مساحت آدرس]],1,0)</f>
        <v>1</v>
      </c>
      <c r="K617" s="8">
        <f>IF(Table134[[#This Row],[check]]=1,1,Table134[[#This Row],[A_tree]]*Table134[[#This Row],[اصله مستقل]]/Table134[[#This Row],[مساحت آدرس]])</f>
        <v>1</v>
      </c>
      <c r="L617" s="14">
        <f>IF(Table134[[#This Row],[check]]=1,1,(Table134[[#This Row],[Psh]]+0.15*(1-Table134[[#This Row],[Psh]])))</f>
        <v>1</v>
      </c>
      <c r="M617" s="14">
        <f>IF(Table134[[#This Row],[check]]=1,0.65,1)</f>
        <v>0.65</v>
      </c>
      <c r="N617" s="4">
        <v>1</v>
      </c>
      <c r="O617" s="4">
        <f>IF(Table134[[#This Row],[check]]=1,Table134[[#This Row],[مساحت آدرس]]*Table134[[#This Row],[A0 Inc]],Table134[[#This Row],[A_tree]]*Table134[[#This Row],[اصله مستقل]])</f>
        <v>250</v>
      </c>
      <c r="P617" s="11">
        <f>IF(Table134[[#This Row],[check]]=1,Table134[[#This Row],[A0]]/Table134[[#This Row],[اصله مستقل]],Table134[[#This Row],[A_tree]])</f>
        <v>2.5</v>
      </c>
    </row>
    <row r="618" spans="2:16" ht="18.600000000000001" x14ac:dyDescent="0.3">
      <c r="B618" s="4" t="s">
        <v>865</v>
      </c>
      <c r="C618" s="4">
        <v>44</v>
      </c>
      <c r="D618" s="4">
        <v>100</v>
      </c>
      <c r="E618" s="4">
        <v>44</v>
      </c>
      <c r="F618" s="4">
        <v>249</v>
      </c>
      <c r="G618" s="2" t="s">
        <v>21</v>
      </c>
      <c r="H618" s="4">
        <v>9</v>
      </c>
      <c r="I618" s="4">
        <f>Table134[[#This Row],[اصله مستقل]]*Table134[[#This Row],[A_tree]]</f>
        <v>900</v>
      </c>
      <c r="J618" s="4">
        <f>IF(Table134[[#This Row],[n * A_tree ]]&gt;Table134[[#This Row],[مساحت آدرس]],1,0)</f>
        <v>1</v>
      </c>
      <c r="K618" s="8">
        <f>IF(Table134[[#This Row],[check]]=1,1,Table134[[#This Row],[A_tree]]*Table134[[#This Row],[اصله مستقل]]/Table134[[#This Row],[مساحت آدرس]])</f>
        <v>1</v>
      </c>
      <c r="L618" s="14">
        <f>IF(Table134[[#This Row],[check]]=1,1,(Table134[[#This Row],[Psh]]+0.15*(1-Table134[[#This Row],[Psh]])))</f>
        <v>1</v>
      </c>
      <c r="M618" s="14">
        <f>IF(Table134[[#This Row],[check]]=1,0.65,1)</f>
        <v>0.65</v>
      </c>
      <c r="N618" s="4">
        <v>1</v>
      </c>
      <c r="O618" s="4">
        <f>IF(Table134[[#This Row],[check]]=1,Table134[[#This Row],[مساحت آدرس]]*Table134[[#This Row],[A0 Inc]],Table134[[#This Row],[A_tree]]*Table134[[#This Row],[اصله مستقل]])</f>
        <v>249</v>
      </c>
      <c r="P618" s="11">
        <f>IF(Table134[[#This Row],[check]]=1,Table134[[#This Row],[A0]]/Table134[[#This Row],[اصله مستقل]],Table134[[#This Row],[A_tree]])</f>
        <v>2.4900000000000002</v>
      </c>
    </row>
    <row r="619" spans="2:16" ht="18.600000000000001" x14ac:dyDescent="0.3">
      <c r="B619" s="4" t="s">
        <v>866</v>
      </c>
      <c r="C619" s="4">
        <v>353</v>
      </c>
      <c r="D619" s="4">
        <v>154</v>
      </c>
      <c r="E619" s="4">
        <v>243</v>
      </c>
      <c r="F619" s="4">
        <v>463</v>
      </c>
      <c r="G619" s="2" t="s">
        <v>21</v>
      </c>
      <c r="H619" s="4">
        <v>9</v>
      </c>
      <c r="I619" s="4">
        <f>Table134[[#This Row],[اصله مستقل]]*Table134[[#This Row],[A_tree]]</f>
        <v>1386</v>
      </c>
      <c r="J619" s="4">
        <f>IF(Table134[[#This Row],[n * A_tree ]]&gt;Table134[[#This Row],[مساحت آدرس]],1,0)</f>
        <v>1</v>
      </c>
      <c r="K619" s="8">
        <f>IF(Table134[[#This Row],[check]]=1,1,Table134[[#This Row],[A_tree]]*Table134[[#This Row],[اصله مستقل]]/Table134[[#This Row],[مساحت آدرس]])</f>
        <v>1</v>
      </c>
      <c r="L619" s="14">
        <f>IF(Table134[[#This Row],[check]]=1,1,(Table134[[#This Row],[Psh]]+0.15*(1-Table134[[#This Row],[Psh]])))</f>
        <v>1</v>
      </c>
      <c r="M619" s="14">
        <f>IF(Table134[[#This Row],[check]]=1,0.65,1)</f>
        <v>0.65</v>
      </c>
      <c r="N619" s="4">
        <v>1</v>
      </c>
      <c r="O619" s="4">
        <f>IF(Table134[[#This Row],[check]]=1,Table134[[#This Row],[مساحت آدرس]]*Table134[[#This Row],[A0 Inc]],Table134[[#This Row],[A_tree]]*Table134[[#This Row],[اصله مستقل]])</f>
        <v>463</v>
      </c>
      <c r="P619" s="11">
        <f>IF(Table134[[#This Row],[check]]=1,Table134[[#This Row],[A0]]/Table134[[#This Row],[اصله مستقل]],Table134[[#This Row],[A_tree]])</f>
        <v>3.0064935064935066</v>
      </c>
    </row>
    <row r="620" spans="2:16" ht="18.600000000000001" x14ac:dyDescent="0.3">
      <c r="B620" s="4" t="s">
        <v>867</v>
      </c>
      <c r="C620" s="4">
        <v>797</v>
      </c>
      <c r="D620" s="4">
        <v>148</v>
      </c>
      <c r="E620" s="4">
        <v>168</v>
      </c>
      <c r="F620" s="4">
        <v>1725</v>
      </c>
      <c r="G620" s="2" t="s">
        <v>21</v>
      </c>
      <c r="H620" s="4">
        <v>9</v>
      </c>
      <c r="I620" s="4">
        <f>Table134[[#This Row],[اصله مستقل]]*Table134[[#This Row],[A_tree]]</f>
        <v>1332</v>
      </c>
      <c r="J620" s="4">
        <f>IF(Table134[[#This Row],[n * A_tree ]]&gt;Table134[[#This Row],[مساحت آدرس]],1,0)</f>
        <v>0</v>
      </c>
      <c r="K620" s="8">
        <f>IF(Table134[[#This Row],[check]]=1,1,Table134[[#This Row],[A_tree]]*Table134[[#This Row],[اصله مستقل]]/Table134[[#This Row],[مساحت آدرس]])</f>
        <v>0.77217391304347827</v>
      </c>
      <c r="L620" s="14">
        <f>IF(Table134[[#This Row],[check]]=1,1,(Table134[[#This Row],[Psh]]+0.15*(1-Table134[[#This Row],[Psh]])))</f>
        <v>0.80634782608695654</v>
      </c>
      <c r="M620" s="14">
        <f>IF(Table134[[#This Row],[check]]=1,0.65,1)</f>
        <v>1</v>
      </c>
      <c r="N620" s="4">
        <v>1</v>
      </c>
      <c r="O620" s="4">
        <f>IF(Table134[[#This Row],[check]]=1,Table134[[#This Row],[مساحت آدرس]]*Table134[[#This Row],[A0 Inc]],Table134[[#This Row],[A_tree]]*Table134[[#This Row],[اصله مستقل]])</f>
        <v>1332</v>
      </c>
      <c r="P620" s="11">
        <f>IF(Table134[[#This Row],[check]]=1,Table134[[#This Row],[A0]]/Table134[[#This Row],[اصله مستقل]],Table134[[#This Row],[A_tree]])</f>
        <v>9</v>
      </c>
    </row>
    <row r="621" spans="2:16" ht="18.600000000000001" x14ac:dyDescent="0.3">
      <c r="B621" s="4" t="s">
        <v>868</v>
      </c>
      <c r="C621" s="4">
        <v>683</v>
      </c>
      <c r="D621" s="4">
        <v>669</v>
      </c>
      <c r="E621" s="4">
        <v>669</v>
      </c>
      <c r="F621" s="4">
        <v>1205</v>
      </c>
      <c r="G621" s="2" t="s">
        <v>21</v>
      </c>
      <c r="H621" s="4">
        <v>9</v>
      </c>
      <c r="I621" s="4">
        <f>Table134[[#This Row],[اصله مستقل]]*Table134[[#This Row],[A_tree]]</f>
        <v>6021</v>
      </c>
      <c r="J621" s="4">
        <f>IF(Table134[[#This Row],[n * A_tree ]]&gt;Table134[[#This Row],[مساحت آدرس]],1,0)</f>
        <v>1</v>
      </c>
      <c r="K621" s="8">
        <f>IF(Table134[[#This Row],[check]]=1,1,Table134[[#This Row],[A_tree]]*Table134[[#This Row],[اصله مستقل]]/Table134[[#This Row],[مساحت آدرس]])</f>
        <v>1</v>
      </c>
      <c r="L621" s="14">
        <f>IF(Table134[[#This Row],[check]]=1,1,(Table134[[#This Row],[Psh]]+0.15*(1-Table134[[#This Row],[Psh]])))</f>
        <v>1</v>
      </c>
      <c r="M621" s="14">
        <f>IF(Table134[[#This Row],[check]]=1,0.65,1)</f>
        <v>0.65</v>
      </c>
      <c r="N621" s="4">
        <v>1</v>
      </c>
      <c r="O621" s="4">
        <f>IF(Table134[[#This Row],[check]]=1,Table134[[#This Row],[مساحت آدرس]]*Table134[[#This Row],[A0 Inc]],Table134[[#This Row],[A_tree]]*Table134[[#This Row],[اصله مستقل]])</f>
        <v>1205</v>
      </c>
      <c r="P621" s="11">
        <f>IF(Table134[[#This Row],[check]]=1,Table134[[#This Row],[A0]]/Table134[[#This Row],[اصله مستقل]],Table134[[#This Row],[A_tree]])</f>
        <v>1.8011958146487295</v>
      </c>
    </row>
    <row r="622" spans="2:16" ht="18.600000000000001" x14ac:dyDescent="0.3">
      <c r="B622" s="4" t="s">
        <v>869</v>
      </c>
      <c r="C622" s="4">
        <v>189</v>
      </c>
      <c r="D622" s="4">
        <v>62</v>
      </c>
      <c r="E622" s="4">
        <v>62</v>
      </c>
      <c r="F622" s="4">
        <v>355</v>
      </c>
      <c r="G622" s="2" t="s">
        <v>21</v>
      </c>
      <c r="H622" s="4">
        <v>9</v>
      </c>
      <c r="I622" s="4">
        <f>Table134[[#This Row],[اصله مستقل]]*Table134[[#This Row],[A_tree]]</f>
        <v>558</v>
      </c>
      <c r="J622" s="4">
        <f>IF(Table134[[#This Row],[n * A_tree ]]&gt;Table134[[#This Row],[مساحت آدرس]],1,0)</f>
        <v>1</v>
      </c>
      <c r="K622" s="8">
        <f>IF(Table134[[#This Row],[check]]=1,1,Table134[[#This Row],[A_tree]]*Table134[[#This Row],[اصله مستقل]]/Table134[[#This Row],[مساحت آدرس]])</f>
        <v>1</v>
      </c>
      <c r="L622" s="14">
        <f>IF(Table134[[#This Row],[check]]=1,1,(Table134[[#This Row],[Psh]]+0.15*(1-Table134[[#This Row],[Psh]])))</f>
        <v>1</v>
      </c>
      <c r="M622" s="14">
        <f>IF(Table134[[#This Row],[check]]=1,0.65,1)</f>
        <v>0.65</v>
      </c>
      <c r="N622" s="4">
        <v>1</v>
      </c>
      <c r="O622" s="4">
        <f>IF(Table134[[#This Row],[check]]=1,Table134[[#This Row],[مساحت آدرس]]*Table134[[#This Row],[A0 Inc]],Table134[[#This Row],[A_tree]]*Table134[[#This Row],[اصله مستقل]])</f>
        <v>355</v>
      </c>
      <c r="P622" s="11">
        <f>IF(Table134[[#This Row],[check]]=1,Table134[[#This Row],[A0]]/Table134[[#This Row],[اصله مستقل]],Table134[[#This Row],[A_tree]])</f>
        <v>5.725806451612903</v>
      </c>
    </row>
    <row r="623" spans="2:16" ht="18.600000000000001" x14ac:dyDescent="0.3">
      <c r="B623" s="4" t="s">
        <v>870</v>
      </c>
      <c r="C623" s="4">
        <v>596</v>
      </c>
      <c r="D623" s="4">
        <v>218</v>
      </c>
      <c r="E623" s="4">
        <v>538</v>
      </c>
      <c r="F623" s="4">
        <v>817</v>
      </c>
      <c r="G623" s="2" t="s">
        <v>21</v>
      </c>
      <c r="H623" s="4">
        <v>9</v>
      </c>
      <c r="I623" s="4">
        <f>Table134[[#This Row],[اصله مستقل]]*Table134[[#This Row],[A_tree]]</f>
        <v>1962</v>
      </c>
      <c r="J623" s="4">
        <f>IF(Table134[[#This Row],[n * A_tree ]]&gt;Table134[[#This Row],[مساحت آدرس]],1,0)</f>
        <v>1</v>
      </c>
      <c r="K623" s="8">
        <f>IF(Table134[[#This Row],[check]]=1,1,Table134[[#This Row],[A_tree]]*Table134[[#This Row],[اصله مستقل]]/Table134[[#This Row],[مساحت آدرس]])</f>
        <v>1</v>
      </c>
      <c r="L623" s="14">
        <f>IF(Table134[[#This Row],[check]]=1,1,(Table134[[#This Row],[Psh]]+0.15*(1-Table134[[#This Row],[Psh]])))</f>
        <v>1</v>
      </c>
      <c r="M623" s="14">
        <f>IF(Table134[[#This Row],[check]]=1,0.65,1)</f>
        <v>0.65</v>
      </c>
      <c r="N623" s="4">
        <v>1</v>
      </c>
      <c r="O623" s="4">
        <f>IF(Table134[[#This Row],[check]]=1,Table134[[#This Row],[مساحت آدرس]]*Table134[[#This Row],[A0 Inc]],Table134[[#This Row],[A_tree]]*Table134[[#This Row],[اصله مستقل]])</f>
        <v>817</v>
      </c>
      <c r="P623" s="11">
        <f>IF(Table134[[#This Row],[check]]=1,Table134[[#This Row],[A0]]/Table134[[#This Row],[اصله مستقل]],Table134[[#This Row],[A_tree]])</f>
        <v>3.7477064220183487</v>
      </c>
    </row>
    <row r="624" spans="2:16" ht="18.600000000000001" x14ac:dyDescent="0.3">
      <c r="B624" s="4" t="s">
        <v>871</v>
      </c>
      <c r="C624" s="4">
        <v>268</v>
      </c>
      <c r="D624" s="4">
        <v>238</v>
      </c>
      <c r="E624" s="4">
        <v>5938</v>
      </c>
      <c r="F624" s="4">
        <v>6038</v>
      </c>
      <c r="G624" s="2" t="s">
        <v>21</v>
      </c>
      <c r="H624" s="4">
        <v>9</v>
      </c>
      <c r="I624" s="4">
        <f>Table134[[#This Row],[اصله مستقل]]*Table134[[#This Row],[A_tree]]</f>
        <v>2142</v>
      </c>
      <c r="J624" s="4">
        <f>IF(Table134[[#This Row],[n * A_tree ]]&gt;Table134[[#This Row],[مساحت آدرس]],1,0)</f>
        <v>0</v>
      </c>
      <c r="K624" s="8">
        <f>IF(Table134[[#This Row],[check]]=1,1,Table134[[#This Row],[A_tree]]*Table134[[#This Row],[اصله مستقل]]/Table134[[#This Row],[مساحت آدرس]])</f>
        <v>0.35475322954620736</v>
      </c>
      <c r="L624" s="14">
        <f>IF(Table134[[#This Row],[check]]=1,1,(Table134[[#This Row],[Psh]]+0.15*(1-Table134[[#This Row],[Psh]])))</f>
        <v>0.45154024511427626</v>
      </c>
      <c r="M624" s="14">
        <f>IF(Table134[[#This Row],[check]]=1,0.65,1)</f>
        <v>1</v>
      </c>
      <c r="N624" s="4">
        <v>1</v>
      </c>
      <c r="O624" s="4">
        <f>IF(Table134[[#This Row],[check]]=1,Table134[[#This Row],[مساحت آدرس]]*Table134[[#This Row],[A0 Inc]],Table134[[#This Row],[A_tree]]*Table134[[#This Row],[اصله مستقل]])</f>
        <v>2142</v>
      </c>
      <c r="P624" s="11">
        <f>IF(Table134[[#This Row],[check]]=1,Table134[[#This Row],[A0]]/Table134[[#This Row],[اصله مستقل]],Table134[[#This Row],[A_tree]])</f>
        <v>9</v>
      </c>
    </row>
    <row r="625" spans="2:16" ht="18.600000000000001" x14ac:dyDescent="0.3">
      <c r="B625" s="4" t="s">
        <v>872</v>
      </c>
      <c r="C625" s="4">
        <v>1687</v>
      </c>
      <c r="D625" s="4">
        <v>226</v>
      </c>
      <c r="E625" s="4">
        <v>5076</v>
      </c>
      <c r="F625" s="4">
        <v>7849</v>
      </c>
      <c r="G625" s="2" t="s">
        <v>21</v>
      </c>
      <c r="H625" s="4">
        <v>9</v>
      </c>
      <c r="I625" s="4">
        <f>Table134[[#This Row],[اصله مستقل]]*Table134[[#This Row],[A_tree]]</f>
        <v>2034</v>
      </c>
      <c r="J625" s="4">
        <f>IF(Table134[[#This Row],[n * A_tree ]]&gt;Table134[[#This Row],[مساحت آدرس]],1,0)</f>
        <v>0</v>
      </c>
      <c r="K625" s="8">
        <f>IF(Table134[[#This Row],[check]]=1,1,Table134[[#This Row],[A_tree]]*Table134[[#This Row],[اصله مستقل]]/Table134[[#This Row],[مساحت آدرس]])</f>
        <v>0.25914129188431645</v>
      </c>
      <c r="L625" s="14">
        <f>IF(Table134[[#This Row],[check]]=1,1,(Table134[[#This Row],[Psh]]+0.15*(1-Table134[[#This Row],[Psh]])))</f>
        <v>0.370270098101669</v>
      </c>
      <c r="M625" s="14">
        <f>IF(Table134[[#This Row],[check]]=1,0.65,1)</f>
        <v>1</v>
      </c>
      <c r="N625" s="4">
        <v>1</v>
      </c>
      <c r="O625" s="4">
        <f>IF(Table134[[#This Row],[check]]=1,Table134[[#This Row],[مساحت آدرس]]*Table134[[#This Row],[A0 Inc]],Table134[[#This Row],[A_tree]]*Table134[[#This Row],[اصله مستقل]])</f>
        <v>2034</v>
      </c>
      <c r="P625" s="11">
        <f>IF(Table134[[#This Row],[check]]=1,Table134[[#This Row],[A0]]/Table134[[#This Row],[اصله مستقل]],Table134[[#This Row],[A_tree]])</f>
        <v>9</v>
      </c>
    </row>
    <row r="626" spans="2:16" ht="18.600000000000001" x14ac:dyDescent="0.3">
      <c r="B626" s="4" t="s">
        <v>873</v>
      </c>
      <c r="C626" s="4">
        <v>256</v>
      </c>
      <c r="D626" s="4">
        <v>104</v>
      </c>
      <c r="E626" s="4">
        <v>150</v>
      </c>
      <c r="F626" s="4">
        <v>1272</v>
      </c>
      <c r="G626" s="2" t="s">
        <v>21</v>
      </c>
      <c r="H626" s="4">
        <v>9</v>
      </c>
      <c r="I626" s="4">
        <f>Table134[[#This Row],[اصله مستقل]]*Table134[[#This Row],[A_tree]]</f>
        <v>936</v>
      </c>
      <c r="J626" s="4">
        <f>IF(Table134[[#This Row],[n * A_tree ]]&gt;Table134[[#This Row],[مساحت آدرس]],1,0)</f>
        <v>0</v>
      </c>
      <c r="K626" s="8">
        <f>IF(Table134[[#This Row],[check]]=1,1,Table134[[#This Row],[A_tree]]*Table134[[#This Row],[اصله مستقل]]/Table134[[#This Row],[مساحت آدرس]])</f>
        <v>0.73584905660377353</v>
      </c>
      <c r="L626" s="14">
        <f>IF(Table134[[#This Row],[check]]=1,1,(Table134[[#This Row],[Psh]]+0.15*(1-Table134[[#This Row],[Psh]])))</f>
        <v>0.77547169811320749</v>
      </c>
      <c r="M626" s="14">
        <f>IF(Table134[[#This Row],[check]]=1,0.65,1)</f>
        <v>1</v>
      </c>
      <c r="N626" s="4">
        <v>1</v>
      </c>
      <c r="O626" s="4">
        <f>IF(Table134[[#This Row],[check]]=1,Table134[[#This Row],[مساحت آدرس]]*Table134[[#This Row],[A0 Inc]],Table134[[#This Row],[A_tree]]*Table134[[#This Row],[اصله مستقل]])</f>
        <v>936</v>
      </c>
      <c r="P626" s="11">
        <f>IF(Table134[[#This Row],[check]]=1,Table134[[#This Row],[A0]]/Table134[[#This Row],[اصله مستقل]],Table134[[#This Row],[A_tree]])</f>
        <v>9</v>
      </c>
    </row>
    <row r="627" spans="2:16" ht="18.600000000000001" x14ac:dyDescent="0.3">
      <c r="B627" s="4" t="s">
        <v>874</v>
      </c>
      <c r="C627" s="4">
        <v>328</v>
      </c>
      <c r="D627" s="4">
        <v>280</v>
      </c>
      <c r="E627" s="4">
        <v>4608</v>
      </c>
      <c r="F627" s="4">
        <v>7275</v>
      </c>
      <c r="G627" s="2" t="s">
        <v>21</v>
      </c>
      <c r="H627" s="4">
        <v>9</v>
      </c>
      <c r="I627" s="4">
        <f>Table134[[#This Row],[اصله مستقل]]*Table134[[#This Row],[A_tree]]</f>
        <v>2520</v>
      </c>
      <c r="J627" s="4">
        <f>IF(Table134[[#This Row],[n * A_tree ]]&gt;Table134[[#This Row],[مساحت آدرس]],1,0)</f>
        <v>0</v>
      </c>
      <c r="K627" s="8">
        <f>IF(Table134[[#This Row],[check]]=1,1,Table134[[#This Row],[A_tree]]*Table134[[#This Row],[اصله مستقل]]/Table134[[#This Row],[مساحت آدرس]])</f>
        <v>0.34639175257731958</v>
      </c>
      <c r="L627" s="14">
        <f>IF(Table134[[#This Row],[check]]=1,1,(Table134[[#This Row],[Psh]]+0.15*(1-Table134[[#This Row],[Psh]])))</f>
        <v>0.44443298969072165</v>
      </c>
      <c r="M627" s="14">
        <f>IF(Table134[[#This Row],[check]]=1,0.65,1)</f>
        <v>1</v>
      </c>
      <c r="N627" s="4">
        <v>1</v>
      </c>
      <c r="O627" s="4">
        <f>IF(Table134[[#This Row],[check]]=1,Table134[[#This Row],[مساحت آدرس]]*Table134[[#This Row],[A0 Inc]],Table134[[#This Row],[A_tree]]*Table134[[#This Row],[اصله مستقل]])</f>
        <v>2520</v>
      </c>
      <c r="P627" s="11">
        <f>IF(Table134[[#This Row],[check]]=1,Table134[[#This Row],[A0]]/Table134[[#This Row],[اصله مستقل]],Table134[[#This Row],[A_tree]])</f>
        <v>9</v>
      </c>
    </row>
    <row r="628" spans="2:16" ht="18.600000000000001" x14ac:dyDescent="0.3">
      <c r="B628" s="4" t="s">
        <v>875</v>
      </c>
      <c r="C628" s="4">
        <v>355</v>
      </c>
      <c r="D628" s="4">
        <v>343</v>
      </c>
      <c r="E628" s="4">
        <v>556</v>
      </c>
      <c r="F628" s="4">
        <v>586</v>
      </c>
      <c r="G628" s="2" t="s">
        <v>21</v>
      </c>
      <c r="H628" s="4">
        <v>9</v>
      </c>
      <c r="I628" s="4">
        <f>Table134[[#This Row],[اصله مستقل]]*Table134[[#This Row],[A_tree]]</f>
        <v>3087</v>
      </c>
      <c r="J628" s="4">
        <f>IF(Table134[[#This Row],[n * A_tree ]]&gt;Table134[[#This Row],[مساحت آدرس]],1,0)</f>
        <v>1</v>
      </c>
      <c r="K628" s="8">
        <f>IF(Table134[[#This Row],[check]]=1,1,Table134[[#This Row],[A_tree]]*Table134[[#This Row],[اصله مستقل]]/Table134[[#This Row],[مساحت آدرس]])</f>
        <v>1</v>
      </c>
      <c r="L628" s="14">
        <f>IF(Table134[[#This Row],[check]]=1,1,(Table134[[#This Row],[Psh]]+0.15*(1-Table134[[#This Row],[Psh]])))</f>
        <v>1</v>
      </c>
      <c r="M628" s="14">
        <f>IF(Table134[[#This Row],[check]]=1,0.65,1)</f>
        <v>0.65</v>
      </c>
      <c r="N628" s="4">
        <v>1</v>
      </c>
      <c r="O628" s="4">
        <f>IF(Table134[[#This Row],[check]]=1,Table134[[#This Row],[مساحت آدرس]]*Table134[[#This Row],[A0 Inc]],Table134[[#This Row],[A_tree]]*Table134[[#This Row],[اصله مستقل]])</f>
        <v>586</v>
      </c>
      <c r="P628" s="11">
        <f>IF(Table134[[#This Row],[check]]=1,Table134[[#This Row],[A0]]/Table134[[#This Row],[اصله مستقل]],Table134[[#This Row],[A_tree]])</f>
        <v>1.7084548104956268</v>
      </c>
    </row>
    <row r="629" spans="2:16" ht="18.600000000000001" x14ac:dyDescent="0.3">
      <c r="B629" s="4" t="s">
        <v>876</v>
      </c>
      <c r="C629" s="4">
        <v>16</v>
      </c>
      <c r="D629" s="4">
        <v>16</v>
      </c>
      <c r="E629" s="4">
        <v>16</v>
      </c>
      <c r="F629" s="4">
        <v>1455</v>
      </c>
      <c r="G629" s="2" t="s">
        <v>62</v>
      </c>
      <c r="H629" s="4">
        <v>9</v>
      </c>
      <c r="I629" s="4">
        <f>Table134[[#This Row],[اصله مستقل]]*Table134[[#This Row],[A_tree]]</f>
        <v>144</v>
      </c>
      <c r="J629" s="4">
        <f>IF(Table134[[#This Row],[n * A_tree ]]&gt;Table134[[#This Row],[مساحت آدرس]],1,0)</f>
        <v>0</v>
      </c>
      <c r="K629" s="8">
        <f>IF(Table134[[#This Row],[check]]=1,1,Table134[[#This Row],[A_tree]]*Table134[[#This Row],[اصله مستقل]]/Table134[[#This Row],[مساحت آدرس]])</f>
        <v>9.8969072164948449E-2</v>
      </c>
      <c r="L629" s="14">
        <f>IF(Table134[[#This Row],[check]]=1,1,(Table134[[#This Row],[Psh]]+0.15*(1-Table134[[#This Row],[Psh]])))</f>
        <v>0.23412371134020615</v>
      </c>
      <c r="M629" s="14">
        <f>IF(Table134[[#This Row],[check]]=1,0.65,1)</f>
        <v>1</v>
      </c>
      <c r="N629" s="4">
        <v>1</v>
      </c>
      <c r="O629" s="4">
        <f>IF(Table134[[#This Row],[check]]=1,Table134[[#This Row],[مساحت آدرس]]*Table134[[#This Row],[A0 Inc]],Table134[[#This Row],[A_tree]]*Table134[[#This Row],[اصله مستقل]])</f>
        <v>144</v>
      </c>
      <c r="P629" s="11">
        <f>IF(Table134[[#This Row],[check]]=1,Table134[[#This Row],[A0]]/Table134[[#This Row],[اصله مستقل]],Table134[[#This Row],[A_tree]])</f>
        <v>9</v>
      </c>
    </row>
    <row r="630" spans="2:16" ht="18.600000000000001" x14ac:dyDescent="0.3">
      <c r="B630" s="4" t="s">
        <v>885</v>
      </c>
      <c r="C630" s="4">
        <v>833</v>
      </c>
      <c r="D630" s="4">
        <v>833</v>
      </c>
      <c r="E630" s="4">
        <v>6999</v>
      </c>
      <c r="F630" s="4">
        <v>7071</v>
      </c>
      <c r="G630" s="2" t="s">
        <v>3</v>
      </c>
      <c r="H630" s="4">
        <v>9</v>
      </c>
      <c r="I630" s="4">
        <f>Table134[[#This Row],[اصله مستقل]]*Table134[[#This Row],[A_tree]]</f>
        <v>7497</v>
      </c>
      <c r="J630" s="4">
        <f>IF(Table134[[#This Row],[n * A_tree ]]&gt;Table134[[#This Row],[مساحت آدرس]],1,0)</f>
        <v>1</v>
      </c>
      <c r="K630" s="8">
        <f>IF(Table134[[#This Row],[check]]=1,1,Table134[[#This Row],[A_tree]]*Table134[[#This Row],[اصله مستقل]]/Table134[[#This Row],[مساحت آدرس]])</f>
        <v>1</v>
      </c>
      <c r="L630" s="14">
        <f>IF(Table134[[#This Row],[check]]=1,1,(Table134[[#This Row],[Psh]]+0.15*(1-Table134[[#This Row],[Psh]])))</f>
        <v>1</v>
      </c>
      <c r="M630" s="14">
        <f>IF(Table134[[#This Row],[check]]=1,0.65,1)</f>
        <v>0.65</v>
      </c>
      <c r="N630" s="4">
        <v>1</v>
      </c>
      <c r="O630" s="4">
        <f>IF(Table134[[#This Row],[check]]=1,Table134[[#This Row],[مساحت آدرس]]*Table134[[#This Row],[A0 Inc]],Table134[[#This Row],[A_tree]]*Table134[[#This Row],[اصله مستقل]])</f>
        <v>7071</v>
      </c>
      <c r="P630" s="11">
        <f>IF(Table134[[#This Row],[check]]=1,Table134[[#This Row],[A0]]/Table134[[#This Row],[اصله مستقل]],Table134[[#This Row],[A_tree]])</f>
        <v>8.4885954381752704</v>
      </c>
    </row>
    <row r="631" spans="2:16" ht="18.600000000000001" x14ac:dyDescent="0.3">
      <c r="B631" s="4" t="s">
        <v>886</v>
      </c>
      <c r="C631" s="4">
        <v>255</v>
      </c>
      <c r="D631" s="4">
        <v>255</v>
      </c>
      <c r="E631" s="4">
        <v>255</v>
      </c>
      <c r="F631" s="4">
        <v>924</v>
      </c>
      <c r="G631" s="2" t="s">
        <v>3</v>
      </c>
      <c r="H631" s="4">
        <v>9</v>
      </c>
      <c r="I631" s="4">
        <f>Table134[[#This Row],[اصله مستقل]]*Table134[[#This Row],[A_tree]]</f>
        <v>2295</v>
      </c>
      <c r="J631" s="4">
        <f>IF(Table134[[#This Row],[n * A_tree ]]&gt;Table134[[#This Row],[مساحت آدرس]],1,0)</f>
        <v>1</v>
      </c>
      <c r="K631" s="8">
        <f>IF(Table134[[#This Row],[check]]=1,1,Table134[[#This Row],[A_tree]]*Table134[[#This Row],[اصله مستقل]]/Table134[[#This Row],[مساحت آدرس]])</f>
        <v>1</v>
      </c>
      <c r="L631" s="14">
        <f>IF(Table134[[#This Row],[check]]=1,1,(Table134[[#This Row],[Psh]]+0.15*(1-Table134[[#This Row],[Psh]])))</f>
        <v>1</v>
      </c>
      <c r="M631" s="14">
        <f>IF(Table134[[#This Row],[check]]=1,0.65,1)</f>
        <v>0.65</v>
      </c>
      <c r="N631" s="4">
        <v>1</v>
      </c>
      <c r="O631" s="4">
        <f>IF(Table134[[#This Row],[check]]=1,Table134[[#This Row],[مساحت آدرس]]*Table134[[#This Row],[A0 Inc]],Table134[[#This Row],[A_tree]]*Table134[[#This Row],[اصله مستقل]])</f>
        <v>924</v>
      </c>
      <c r="P631" s="11">
        <f>IF(Table134[[#This Row],[check]]=1,Table134[[#This Row],[A0]]/Table134[[#This Row],[اصله مستقل]],Table134[[#This Row],[A_tree]])</f>
        <v>3.6235294117647059</v>
      </c>
    </row>
    <row r="632" spans="2:16" ht="18.600000000000001" x14ac:dyDescent="0.3">
      <c r="B632" s="4" t="s">
        <v>887</v>
      </c>
      <c r="C632" s="4">
        <v>83</v>
      </c>
      <c r="D632" s="4">
        <v>83</v>
      </c>
      <c r="E632" s="4">
        <v>663</v>
      </c>
      <c r="F632" s="4">
        <v>878</v>
      </c>
      <c r="G632" s="2" t="s">
        <v>3</v>
      </c>
      <c r="H632" s="4">
        <v>9</v>
      </c>
      <c r="I632" s="4">
        <f>Table134[[#This Row],[اصله مستقل]]*Table134[[#This Row],[A_tree]]</f>
        <v>747</v>
      </c>
      <c r="J632" s="4">
        <f>IF(Table134[[#This Row],[n * A_tree ]]&gt;Table134[[#This Row],[مساحت آدرس]],1,0)</f>
        <v>0</v>
      </c>
      <c r="K632" s="8">
        <f>IF(Table134[[#This Row],[check]]=1,1,Table134[[#This Row],[A_tree]]*Table134[[#This Row],[اصله مستقل]]/Table134[[#This Row],[مساحت آدرس]])</f>
        <v>0.85079726651480636</v>
      </c>
      <c r="L632" s="14">
        <f>IF(Table134[[#This Row],[check]]=1,1,(Table134[[#This Row],[Psh]]+0.15*(1-Table134[[#This Row],[Psh]])))</f>
        <v>0.87317767653758538</v>
      </c>
      <c r="M632" s="14">
        <f>IF(Table134[[#This Row],[check]]=1,0.65,1)</f>
        <v>1</v>
      </c>
      <c r="N632" s="4">
        <v>1</v>
      </c>
      <c r="O632" s="4">
        <f>IF(Table134[[#This Row],[check]]=1,Table134[[#This Row],[مساحت آدرس]]*Table134[[#This Row],[A0 Inc]],Table134[[#This Row],[A_tree]]*Table134[[#This Row],[اصله مستقل]])</f>
        <v>747</v>
      </c>
      <c r="P632" s="11">
        <f>IF(Table134[[#This Row],[check]]=1,Table134[[#This Row],[A0]]/Table134[[#This Row],[اصله مستقل]],Table134[[#This Row],[A_tree]])</f>
        <v>9</v>
      </c>
    </row>
    <row r="633" spans="2:16" ht="18.600000000000001" x14ac:dyDescent="0.3">
      <c r="B633" s="4" t="s">
        <v>888</v>
      </c>
      <c r="C633" s="4">
        <v>449</v>
      </c>
      <c r="D633" s="4">
        <v>166</v>
      </c>
      <c r="E633" s="4">
        <v>200</v>
      </c>
      <c r="F633" s="4">
        <v>2458</v>
      </c>
      <c r="G633" s="2" t="s">
        <v>21</v>
      </c>
      <c r="H633" s="4">
        <v>9</v>
      </c>
      <c r="I633" s="4">
        <f>Table134[[#This Row],[اصله مستقل]]*Table134[[#This Row],[A_tree]]</f>
        <v>1494</v>
      </c>
      <c r="J633" s="4">
        <f>IF(Table134[[#This Row],[n * A_tree ]]&gt;Table134[[#This Row],[مساحت آدرس]],1,0)</f>
        <v>0</v>
      </c>
      <c r="K633" s="8">
        <f>IF(Table134[[#This Row],[check]]=1,1,Table134[[#This Row],[A_tree]]*Table134[[#This Row],[اصله مستقل]]/Table134[[#This Row],[مساحت آدرس]])</f>
        <v>0.60781122864117165</v>
      </c>
      <c r="L633" s="14">
        <f>IF(Table134[[#This Row],[check]]=1,1,(Table134[[#This Row],[Psh]]+0.15*(1-Table134[[#This Row],[Psh]])))</f>
        <v>0.66663954434499595</v>
      </c>
      <c r="M633" s="14">
        <f>IF(Table134[[#This Row],[check]]=1,0.65,1)</f>
        <v>1</v>
      </c>
      <c r="N633" s="4">
        <v>1</v>
      </c>
      <c r="O633" s="4">
        <f>IF(Table134[[#This Row],[check]]=1,Table134[[#This Row],[مساحت آدرس]]*Table134[[#This Row],[A0 Inc]],Table134[[#This Row],[A_tree]]*Table134[[#This Row],[اصله مستقل]])</f>
        <v>1494</v>
      </c>
      <c r="P633" s="11">
        <f>IF(Table134[[#This Row],[check]]=1,Table134[[#This Row],[A0]]/Table134[[#This Row],[اصله مستقل]],Table134[[#This Row],[A_tree]])</f>
        <v>9</v>
      </c>
    </row>
    <row r="634" spans="2:16" ht="18.600000000000001" x14ac:dyDescent="0.3">
      <c r="B634" s="4" t="s">
        <v>889</v>
      </c>
      <c r="C634" s="4">
        <v>4113</v>
      </c>
      <c r="D634" s="4">
        <v>3997</v>
      </c>
      <c r="E634" s="4">
        <v>38133</v>
      </c>
      <c r="F634" s="4">
        <v>41053</v>
      </c>
      <c r="G634" s="2" t="s">
        <v>300</v>
      </c>
      <c r="H634" s="4">
        <v>9</v>
      </c>
      <c r="I634" s="4">
        <f>Table134[[#This Row],[اصله مستقل]]*Table134[[#This Row],[A_tree]]</f>
        <v>35973</v>
      </c>
      <c r="J634" s="4">
        <f>IF(Table134[[#This Row],[n * A_tree ]]&gt;Table134[[#This Row],[مساحت آدرس]],1,0)</f>
        <v>0</v>
      </c>
      <c r="K634" s="8">
        <f>IF(Table134[[#This Row],[check]]=1,1,Table134[[#This Row],[A_tree]]*Table134[[#This Row],[اصله مستقل]]/Table134[[#This Row],[مساحت آدرس]])</f>
        <v>0.87625752076583929</v>
      </c>
      <c r="L634" s="14">
        <f>IF(Table134[[#This Row],[check]]=1,1,(Table134[[#This Row],[Psh]]+0.15*(1-Table134[[#This Row],[Psh]])))</f>
        <v>0.89481889265096337</v>
      </c>
      <c r="M634" s="14">
        <f>IF(Table134[[#This Row],[check]]=1,0.65,1)</f>
        <v>1</v>
      </c>
      <c r="N634" s="4">
        <v>1</v>
      </c>
      <c r="O634" s="4">
        <f>IF(Table134[[#This Row],[check]]=1,Table134[[#This Row],[مساحت آدرس]]*Table134[[#This Row],[A0 Inc]],Table134[[#This Row],[A_tree]]*Table134[[#This Row],[اصله مستقل]])</f>
        <v>35973</v>
      </c>
      <c r="P634" s="11">
        <f>IF(Table134[[#This Row],[check]]=1,Table134[[#This Row],[A0]]/Table134[[#This Row],[اصله مستقل]],Table134[[#This Row],[A_tree]])</f>
        <v>9</v>
      </c>
    </row>
    <row r="635" spans="2:16" ht="18.600000000000001" x14ac:dyDescent="0.3">
      <c r="B635" s="4" t="s">
        <v>890</v>
      </c>
      <c r="C635" s="4">
        <v>446</v>
      </c>
      <c r="D635" s="4">
        <v>446</v>
      </c>
      <c r="E635" s="4">
        <v>446</v>
      </c>
      <c r="F635" s="4">
        <v>446</v>
      </c>
      <c r="G635" s="2" t="s">
        <v>300</v>
      </c>
      <c r="H635" s="4">
        <v>9</v>
      </c>
      <c r="I635" s="4">
        <f>Table134[[#This Row],[اصله مستقل]]*Table134[[#This Row],[A_tree]]</f>
        <v>4014</v>
      </c>
      <c r="J635" s="4">
        <f>IF(Table134[[#This Row],[n * A_tree ]]&gt;Table134[[#This Row],[مساحت آدرس]],1,0)</f>
        <v>1</v>
      </c>
      <c r="K635" s="8">
        <f>IF(Table134[[#This Row],[check]]=1,1,Table134[[#This Row],[A_tree]]*Table134[[#This Row],[اصله مستقل]]/Table134[[#This Row],[مساحت آدرس]])</f>
        <v>1</v>
      </c>
      <c r="L635" s="14">
        <f>IF(Table134[[#This Row],[check]]=1,1,(Table134[[#This Row],[Psh]]+0.15*(1-Table134[[#This Row],[Psh]])))</f>
        <v>1</v>
      </c>
      <c r="M635" s="14">
        <f>IF(Table134[[#This Row],[check]]=1,0.65,1)</f>
        <v>0.65</v>
      </c>
      <c r="N635" s="4">
        <v>1</v>
      </c>
      <c r="O635" s="4">
        <f>IF(Table134[[#This Row],[check]]=1,Table134[[#This Row],[مساحت آدرس]]*Table134[[#This Row],[A0 Inc]],Table134[[#This Row],[A_tree]]*Table134[[#This Row],[اصله مستقل]])</f>
        <v>446</v>
      </c>
      <c r="P635" s="11">
        <f>IF(Table134[[#This Row],[check]]=1,Table134[[#This Row],[A0]]/Table134[[#This Row],[اصله مستقل]],Table134[[#This Row],[A_tree]])</f>
        <v>1</v>
      </c>
    </row>
    <row r="636" spans="2:16" ht="18.600000000000001" x14ac:dyDescent="0.3">
      <c r="B636" s="4" t="s">
        <v>891</v>
      </c>
      <c r="C636" s="4">
        <v>173</v>
      </c>
      <c r="D636" s="4">
        <v>196</v>
      </c>
      <c r="E636" s="4">
        <v>340</v>
      </c>
      <c r="F636" s="4">
        <v>4098</v>
      </c>
      <c r="G636" s="2" t="s">
        <v>21</v>
      </c>
      <c r="H636" s="4">
        <v>9</v>
      </c>
      <c r="I636" s="4">
        <f>Table134[[#This Row],[اصله مستقل]]*Table134[[#This Row],[A_tree]]</f>
        <v>1764</v>
      </c>
      <c r="J636" s="4">
        <f>IF(Table134[[#This Row],[n * A_tree ]]&gt;Table134[[#This Row],[مساحت آدرس]],1,0)</f>
        <v>0</v>
      </c>
      <c r="K636" s="8">
        <f>IF(Table134[[#This Row],[check]]=1,1,Table134[[#This Row],[A_tree]]*Table134[[#This Row],[اصله مستقل]]/Table134[[#This Row],[مساحت آدرس]])</f>
        <v>0.43045387994143486</v>
      </c>
      <c r="L636" s="14">
        <f>IF(Table134[[#This Row],[check]]=1,1,(Table134[[#This Row],[Psh]]+0.15*(1-Table134[[#This Row],[Psh]])))</f>
        <v>0.5158857979502196</v>
      </c>
      <c r="M636" s="14">
        <f>IF(Table134[[#This Row],[check]]=1,0.65,1)</f>
        <v>1</v>
      </c>
      <c r="N636" s="4">
        <v>1</v>
      </c>
      <c r="O636" s="4">
        <f>IF(Table134[[#This Row],[check]]=1,Table134[[#This Row],[مساحت آدرس]]*Table134[[#This Row],[A0 Inc]],Table134[[#This Row],[A_tree]]*Table134[[#This Row],[اصله مستقل]])</f>
        <v>1764</v>
      </c>
      <c r="P636" s="11">
        <f>IF(Table134[[#This Row],[check]]=1,Table134[[#This Row],[A0]]/Table134[[#This Row],[اصله مستقل]],Table134[[#This Row],[A_tree]])</f>
        <v>9</v>
      </c>
    </row>
    <row r="637" spans="2:16" ht="18.600000000000001" x14ac:dyDescent="0.3">
      <c r="B637" s="4" t="s">
        <v>892</v>
      </c>
      <c r="C637" s="4">
        <v>137</v>
      </c>
      <c r="D637" s="4">
        <v>137</v>
      </c>
      <c r="E637" s="4">
        <v>137</v>
      </c>
      <c r="F637" s="4">
        <v>627</v>
      </c>
      <c r="G637" s="2" t="s">
        <v>21</v>
      </c>
      <c r="H637" s="4">
        <v>9</v>
      </c>
      <c r="I637" s="4">
        <f>Table134[[#This Row],[اصله مستقل]]*Table134[[#This Row],[A_tree]]</f>
        <v>1233</v>
      </c>
      <c r="J637" s="4">
        <f>IF(Table134[[#This Row],[n * A_tree ]]&gt;Table134[[#This Row],[مساحت آدرس]],1,0)</f>
        <v>1</v>
      </c>
      <c r="K637" s="8">
        <f>IF(Table134[[#This Row],[check]]=1,1,Table134[[#This Row],[A_tree]]*Table134[[#This Row],[اصله مستقل]]/Table134[[#This Row],[مساحت آدرس]])</f>
        <v>1</v>
      </c>
      <c r="L637" s="14">
        <f>IF(Table134[[#This Row],[check]]=1,1,(Table134[[#This Row],[Psh]]+0.15*(1-Table134[[#This Row],[Psh]])))</f>
        <v>1</v>
      </c>
      <c r="M637" s="14">
        <f>IF(Table134[[#This Row],[check]]=1,0.65,1)</f>
        <v>0.65</v>
      </c>
      <c r="N637" s="4">
        <v>1</v>
      </c>
      <c r="O637" s="4">
        <f>IF(Table134[[#This Row],[check]]=1,Table134[[#This Row],[مساحت آدرس]]*Table134[[#This Row],[A0 Inc]],Table134[[#This Row],[A_tree]]*Table134[[#This Row],[اصله مستقل]])</f>
        <v>627</v>
      </c>
      <c r="P637" s="11">
        <f>IF(Table134[[#This Row],[check]]=1,Table134[[#This Row],[A0]]/Table134[[#This Row],[اصله مستقل]],Table134[[#This Row],[A_tree]])</f>
        <v>4.5766423357664232</v>
      </c>
    </row>
    <row r="638" spans="2:16" ht="18.600000000000001" x14ac:dyDescent="0.3">
      <c r="B638" s="4" t="s">
        <v>894</v>
      </c>
      <c r="C638" s="4">
        <v>916</v>
      </c>
      <c r="D638" s="4">
        <v>44</v>
      </c>
      <c r="E638" s="4">
        <v>44</v>
      </c>
      <c r="F638" s="4">
        <v>4994</v>
      </c>
      <c r="G638" s="2" t="s">
        <v>21</v>
      </c>
      <c r="H638" s="4">
        <v>9</v>
      </c>
      <c r="I638" s="4">
        <f>Table134[[#This Row],[اصله مستقل]]*Table134[[#This Row],[A_tree]]</f>
        <v>396</v>
      </c>
      <c r="J638" s="4">
        <f>IF(Table134[[#This Row],[n * A_tree ]]&gt;Table134[[#This Row],[مساحت آدرس]],1,0)</f>
        <v>0</v>
      </c>
      <c r="K638" s="8">
        <f>IF(Table134[[#This Row],[check]]=1,1,Table134[[#This Row],[A_tree]]*Table134[[#This Row],[اصله مستقل]]/Table134[[#This Row],[مساحت آدرس]])</f>
        <v>7.9295154185022032E-2</v>
      </c>
      <c r="L638" s="14">
        <f>IF(Table134[[#This Row],[check]]=1,1,(Table134[[#This Row],[Psh]]+0.15*(1-Table134[[#This Row],[Psh]])))</f>
        <v>0.21740088105726874</v>
      </c>
      <c r="M638" s="14">
        <f>IF(Table134[[#This Row],[check]]=1,0.65,1)</f>
        <v>1</v>
      </c>
      <c r="N638" s="4">
        <v>1</v>
      </c>
      <c r="O638" s="4">
        <f>IF(Table134[[#This Row],[check]]=1,Table134[[#This Row],[مساحت آدرس]]*Table134[[#This Row],[A0 Inc]],Table134[[#This Row],[A_tree]]*Table134[[#This Row],[اصله مستقل]])</f>
        <v>396</v>
      </c>
      <c r="P638" s="11">
        <f>IF(Table134[[#This Row],[check]]=1,Table134[[#This Row],[A0]]/Table134[[#This Row],[اصله مستقل]],Table134[[#This Row],[A_tree]])</f>
        <v>9</v>
      </c>
    </row>
    <row r="639" spans="2:16" ht="18.600000000000001" x14ac:dyDescent="0.3">
      <c r="B639" s="4" t="s">
        <v>895</v>
      </c>
      <c r="C639" s="4">
        <v>2563</v>
      </c>
      <c r="D639" s="4">
        <v>2563</v>
      </c>
      <c r="E639" s="4">
        <v>37800</v>
      </c>
      <c r="F639" s="4">
        <v>56367</v>
      </c>
      <c r="G639" s="2" t="s">
        <v>21</v>
      </c>
      <c r="H639" s="4">
        <v>9</v>
      </c>
      <c r="I639" s="4">
        <f>Table134[[#This Row],[اصله مستقل]]*Table134[[#This Row],[A_tree]]</f>
        <v>23067</v>
      </c>
      <c r="J639" s="4">
        <f>IF(Table134[[#This Row],[n * A_tree ]]&gt;Table134[[#This Row],[مساحت آدرس]],1,0)</f>
        <v>0</v>
      </c>
      <c r="K639" s="8">
        <f>IF(Table134[[#This Row],[check]]=1,1,Table134[[#This Row],[A_tree]]*Table134[[#This Row],[اصله مستقل]]/Table134[[#This Row],[مساحت آدرس]])</f>
        <v>0.40922880408749801</v>
      </c>
      <c r="L639" s="14">
        <f>IF(Table134[[#This Row],[check]]=1,1,(Table134[[#This Row],[Psh]]+0.15*(1-Table134[[#This Row],[Psh]])))</f>
        <v>0.49784448347437327</v>
      </c>
      <c r="M639" s="14">
        <f>IF(Table134[[#This Row],[check]]=1,0.65,1)</f>
        <v>1</v>
      </c>
      <c r="N639" s="4">
        <v>1</v>
      </c>
      <c r="O639" s="4">
        <f>IF(Table134[[#This Row],[check]]=1,Table134[[#This Row],[مساحت آدرس]]*Table134[[#This Row],[A0 Inc]],Table134[[#This Row],[A_tree]]*Table134[[#This Row],[اصله مستقل]])</f>
        <v>23067</v>
      </c>
      <c r="P639" s="11">
        <f>IF(Table134[[#This Row],[check]]=1,Table134[[#This Row],[A0]]/Table134[[#This Row],[اصله مستقل]],Table134[[#This Row],[A_tree]])</f>
        <v>9</v>
      </c>
    </row>
    <row r="640" spans="2:16" ht="18.600000000000001" x14ac:dyDescent="0.3">
      <c r="B640" s="4" t="s">
        <v>896</v>
      </c>
      <c r="C640" s="4">
        <v>615</v>
      </c>
      <c r="D640" s="4">
        <v>14</v>
      </c>
      <c r="E640" s="4">
        <v>14</v>
      </c>
      <c r="F640" s="4">
        <v>2586</v>
      </c>
      <c r="G640" s="2" t="s">
        <v>21</v>
      </c>
      <c r="H640" s="4">
        <v>9</v>
      </c>
      <c r="I640" s="4">
        <f>Table134[[#This Row],[اصله مستقل]]*Table134[[#This Row],[A_tree]]</f>
        <v>126</v>
      </c>
      <c r="J640" s="4">
        <f>IF(Table134[[#This Row],[n * A_tree ]]&gt;Table134[[#This Row],[مساحت آدرس]],1,0)</f>
        <v>0</v>
      </c>
      <c r="K640" s="8">
        <f>IF(Table134[[#This Row],[check]]=1,1,Table134[[#This Row],[A_tree]]*Table134[[#This Row],[اصله مستقل]]/Table134[[#This Row],[مساحت آدرس]])</f>
        <v>4.8723897911832945E-2</v>
      </c>
      <c r="L640" s="14">
        <f>IF(Table134[[#This Row],[check]]=1,1,(Table134[[#This Row],[Psh]]+0.15*(1-Table134[[#This Row],[Psh]])))</f>
        <v>0.191415313225058</v>
      </c>
      <c r="M640" s="14">
        <f>IF(Table134[[#This Row],[check]]=1,0.65,1)</f>
        <v>1</v>
      </c>
      <c r="N640" s="4">
        <v>1</v>
      </c>
      <c r="O640" s="4">
        <f>IF(Table134[[#This Row],[check]]=1,Table134[[#This Row],[مساحت آدرس]]*Table134[[#This Row],[A0 Inc]],Table134[[#This Row],[A_tree]]*Table134[[#This Row],[اصله مستقل]])</f>
        <v>126</v>
      </c>
      <c r="P640" s="11">
        <f>IF(Table134[[#This Row],[check]]=1,Table134[[#This Row],[A0]]/Table134[[#This Row],[اصله مستقل]],Table134[[#This Row],[A_tree]])</f>
        <v>9</v>
      </c>
    </row>
    <row r="641" spans="2:16" ht="18.600000000000001" x14ac:dyDescent="0.3">
      <c r="B641" s="4" t="s">
        <v>897</v>
      </c>
      <c r="C641" s="4">
        <v>639</v>
      </c>
      <c r="D641" s="4">
        <v>639</v>
      </c>
      <c r="E641" s="4">
        <v>3010</v>
      </c>
      <c r="F641" s="4">
        <v>3010</v>
      </c>
      <c r="G641" s="2" t="s">
        <v>21</v>
      </c>
      <c r="H641" s="4">
        <v>9</v>
      </c>
      <c r="I641" s="4">
        <f>Table134[[#This Row],[اصله مستقل]]*Table134[[#This Row],[A_tree]]</f>
        <v>5751</v>
      </c>
      <c r="J641" s="4">
        <f>IF(Table134[[#This Row],[n * A_tree ]]&gt;Table134[[#This Row],[مساحت آدرس]],1,0)</f>
        <v>1</v>
      </c>
      <c r="K641" s="8">
        <f>IF(Table134[[#This Row],[check]]=1,1,Table134[[#This Row],[A_tree]]*Table134[[#This Row],[اصله مستقل]]/Table134[[#This Row],[مساحت آدرس]])</f>
        <v>1</v>
      </c>
      <c r="L641" s="14">
        <f>IF(Table134[[#This Row],[check]]=1,1,(Table134[[#This Row],[Psh]]+0.15*(1-Table134[[#This Row],[Psh]])))</f>
        <v>1</v>
      </c>
      <c r="M641" s="14">
        <f>IF(Table134[[#This Row],[check]]=1,0.65,1)</f>
        <v>0.65</v>
      </c>
      <c r="N641" s="4">
        <v>1</v>
      </c>
      <c r="O641" s="4">
        <f>IF(Table134[[#This Row],[check]]=1,Table134[[#This Row],[مساحت آدرس]]*Table134[[#This Row],[A0 Inc]],Table134[[#This Row],[A_tree]]*Table134[[#This Row],[اصله مستقل]])</f>
        <v>3010</v>
      </c>
      <c r="P641" s="11">
        <f>IF(Table134[[#This Row],[check]]=1,Table134[[#This Row],[A0]]/Table134[[#This Row],[اصله مستقل]],Table134[[#This Row],[A_tree]])</f>
        <v>4.7104851330203443</v>
      </c>
    </row>
    <row r="642" spans="2:16" ht="18.600000000000001" x14ac:dyDescent="0.3">
      <c r="B642" s="4" t="s">
        <v>898</v>
      </c>
      <c r="C642" s="4">
        <v>439</v>
      </c>
      <c r="D642" s="4">
        <v>43</v>
      </c>
      <c r="E642" s="4">
        <v>1300</v>
      </c>
      <c r="F642" s="4">
        <v>1706</v>
      </c>
      <c r="G642" s="2" t="s">
        <v>21</v>
      </c>
      <c r="H642" s="4">
        <v>9</v>
      </c>
      <c r="I642" s="4">
        <f>Table134[[#This Row],[اصله مستقل]]*Table134[[#This Row],[A_tree]]</f>
        <v>387</v>
      </c>
      <c r="J642" s="4">
        <f>IF(Table134[[#This Row],[n * A_tree ]]&gt;Table134[[#This Row],[مساحت آدرس]],1,0)</f>
        <v>0</v>
      </c>
      <c r="K642" s="8">
        <f>IF(Table134[[#This Row],[check]]=1,1,Table134[[#This Row],[A_tree]]*Table134[[#This Row],[اصله مستقل]]/Table134[[#This Row],[مساحت آدرس]])</f>
        <v>0.22684642438452521</v>
      </c>
      <c r="L642" s="14">
        <f>IF(Table134[[#This Row],[check]]=1,1,(Table134[[#This Row],[Psh]]+0.15*(1-Table134[[#This Row],[Psh]])))</f>
        <v>0.34281946072684644</v>
      </c>
      <c r="M642" s="14">
        <f>IF(Table134[[#This Row],[check]]=1,0.65,1)</f>
        <v>1</v>
      </c>
      <c r="N642" s="4">
        <v>1</v>
      </c>
      <c r="O642" s="4">
        <f>IF(Table134[[#This Row],[check]]=1,Table134[[#This Row],[مساحت آدرس]]*Table134[[#This Row],[A0 Inc]],Table134[[#This Row],[A_tree]]*Table134[[#This Row],[اصله مستقل]])</f>
        <v>387</v>
      </c>
      <c r="P642" s="11">
        <f>IF(Table134[[#This Row],[check]]=1,Table134[[#This Row],[A0]]/Table134[[#This Row],[اصله مستقل]],Table134[[#This Row],[A_tree]])</f>
        <v>9</v>
      </c>
    </row>
    <row r="643" spans="2:16" ht="18.600000000000001" x14ac:dyDescent="0.3">
      <c r="B643" s="4" t="s">
        <v>899</v>
      </c>
      <c r="C643" s="4">
        <v>415</v>
      </c>
      <c r="D643" s="4">
        <v>43</v>
      </c>
      <c r="E643" s="4">
        <v>1100</v>
      </c>
      <c r="F643" s="4">
        <v>1306</v>
      </c>
      <c r="G643" s="2" t="s">
        <v>21</v>
      </c>
      <c r="H643" s="4">
        <v>9</v>
      </c>
      <c r="I643" s="4">
        <f>Table134[[#This Row],[اصله مستقل]]*Table134[[#This Row],[A_tree]]</f>
        <v>387</v>
      </c>
      <c r="J643" s="4">
        <f>IF(Table134[[#This Row],[n * A_tree ]]&gt;Table134[[#This Row],[مساحت آدرس]],1,0)</f>
        <v>0</v>
      </c>
      <c r="K643" s="8">
        <f>IF(Table134[[#This Row],[check]]=1,1,Table134[[#This Row],[A_tree]]*Table134[[#This Row],[اصله مستقل]]/Table134[[#This Row],[مساحت آدرس]])</f>
        <v>0.29632465543644715</v>
      </c>
      <c r="L643" s="14">
        <f>IF(Table134[[#This Row],[check]]=1,1,(Table134[[#This Row],[Psh]]+0.15*(1-Table134[[#This Row],[Psh]])))</f>
        <v>0.40187595712098007</v>
      </c>
      <c r="M643" s="14">
        <f>IF(Table134[[#This Row],[check]]=1,0.65,1)</f>
        <v>1</v>
      </c>
      <c r="N643" s="4">
        <v>1</v>
      </c>
      <c r="O643" s="4">
        <f>IF(Table134[[#This Row],[check]]=1,Table134[[#This Row],[مساحت آدرس]]*Table134[[#This Row],[A0 Inc]],Table134[[#This Row],[A_tree]]*Table134[[#This Row],[اصله مستقل]])</f>
        <v>387</v>
      </c>
      <c r="P643" s="11">
        <f>IF(Table134[[#This Row],[check]]=1,Table134[[#This Row],[A0]]/Table134[[#This Row],[اصله مستقل]],Table134[[#This Row],[A_tree]])</f>
        <v>9</v>
      </c>
    </row>
    <row r="644" spans="2:16" ht="18.600000000000001" x14ac:dyDescent="0.3">
      <c r="B644" s="4" t="s">
        <v>900</v>
      </c>
      <c r="C644" s="4">
        <v>480</v>
      </c>
      <c r="D644" s="4">
        <v>280</v>
      </c>
      <c r="E644" s="4">
        <v>280</v>
      </c>
      <c r="F644" s="4">
        <v>970</v>
      </c>
      <c r="G644" s="2" t="s">
        <v>21</v>
      </c>
      <c r="H644" s="4">
        <v>9</v>
      </c>
      <c r="I644" s="4">
        <f>Table134[[#This Row],[اصله مستقل]]*Table134[[#This Row],[A_tree]]</f>
        <v>2520</v>
      </c>
      <c r="J644" s="4">
        <f>IF(Table134[[#This Row],[n * A_tree ]]&gt;Table134[[#This Row],[مساحت آدرس]],1,0)</f>
        <v>1</v>
      </c>
      <c r="K644" s="8">
        <f>IF(Table134[[#This Row],[check]]=1,1,Table134[[#This Row],[A_tree]]*Table134[[#This Row],[اصله مستقل]]/Table134[[#This Row],[مساحت آدرس]])</f>
        <v>1</v>
      </c>
      <c r="L644" s="14">
        <f>IF(Table134[[#This Row],[check]]=1,1,(Table134[[#This Row],[Psh]]+0.15*(1-Table134[[#This Row],[Psh]])))</f>
        <v>1</v>
      </c>
      <c r="M644" s="14">
        <f>IF(Table134[[#This Row],[check]]=1,0.65,1)</f>
        <v>0.65</v>
      </c>
      <c r="N644" s="4">
        <v>1</v>
      </c>
      <c r="O644" s="4">
        <f>IF(Table134[[#This Row],[check]]=1,Table134[[#This Row],[مساحت آدرس]]*Table134[[#This Row],[A0 Inc]],Table134[[#This Row],[A_tree]]*Table134[[#This Row],[اصله مستقل]])</f>
        <v>970</v>
      </c>
      <c r="P644" s="11">
        <f>IF(Table134[[#This Row],[check]]=1,Table134[[#This Row],[A0]]/Table134[[#This Row],[اصله مستقل]],Table134[[#This Row],[A_tree]])</f>
        <v>3.4642857142857144</v>
      </c>
    </row>
    <row r="645" spans="2:16" ht="18.600000000000001" x14ac:dyDescent="0.3">
      <c r="B645" s="4" t="s">
        <v>901</v>
      </c>
      <c r="C645" s="4">
        <v>1100</v>
      </c>
      <c r="D645" s="4">
        <v>144</v>
      </c>
      <c r="E645" s="4">
        <v>294</v>
      </c>
      <c r="F645" s="4">
        <v>3701</v>
      </c>
      <c r="G645" s="2" t="s">
        <v>21</v>
      </c>
      <c r="H645" s="4">
        <v>9</v>
      </c>
      <c r="I645" s="4">
        <f>Table134[[#This Row],[اصله مستقل]]*Table134[[#This Row],[A_tree]]</f>
        <v>1296</v>
      </c>
      <c r="J645" s="4">
        <f>IF(Table134[[#This Row],[n * A_tree ]]&gt;Table134[[#This Row],[مساحت آدرس]],1,0)</f>
        <v>0</v>
      </c>
      <c r="K645" s="8">
        <f>IF(Table134[[#This Row],[check]]=1,1,Table134[[#This Row],[A_tree]]*Table134[[#This Row],[اصله مستقل]]/Table134[[#This Row],[مساحت آدرس]])</f>
        <v>0.35017562820859227</v>
      </c>
      <c r="L645" s="14">
        <f>IF(Table134[[#This Row],[check]]=1,1,(Table134[[#This Row],[Psh]]+0.15*(1-Table134[[#This Row],[Psh]])))</f>
        <v>0.44764928397730341</v>
      </c>
      <c r="M645" s="14">
        <f>IF(Table134[[#This Row],[check]]=1,0.65,1)</f>
        <v>1</v>
      </c>
      <c r="N645" s="4">
        <v>1</v>
      </c>
      <c r="O645" s="4">
        <f>IF(Table134[[#This Row],[check]]=1,Table134[[#This Row],[مساحت آدرس]]*Table134[[#This Row],[A0 Inc]],Table134[[#This Row],[A_tree]]*Table134[[#This Row],[اصله مستقل]])</f>
        <v>1296</v>
      </c>
      <c r="P645" s="11">
        <f>IF(Table134[[#This Row],[check]]=1,Table134[[#This Row],[A0]]/Table134[[#This Row],[اصله مستقل]],Table134[[#This Row],[A_tree]])</f>
        <v>9</v>
      </c>
    </row>
    <row r="646" spans="2:16" ht="18.600000000000001" x14ac:dyDescent="0.3">
      <c r="B646" s="4" t="s">
        <v>902</v>
      </c>
      <c r="C646" s="4">
        <v>153</v>
      </c>
      <c r="D646" s="4">
        <v>140</v>
      </c>
      <c r="E646" s="4">
        <v>309</v>
      </c>
      <c r="F646" s="4">
        <v>329</v>
      </c>
      <c r="G646" s="2" t="s">
        <v>21</v>
      </c>
      <c r="H646" s="4">
        <v>9</v>
      </c>
      <c r="I646" s="4">
        <f>Table134[[#This Row],[اصله مستقل]]*Table134[[#This Row],[A_tree]]</f>
        <v>1260</v>
      </c>
      <c r="J646" s="4">
        <f>IF(Table134[[#This Row],[n * A_tree ]]&gt;Table134[[#This Row],[مساحت آدرس]],1,0)</f>
        <v>1</v>
      </c>
      <c r="K646" s="8">
        <f>IF(Table134[[#This Row],[check]]=1,1,Table134[[#This Row],[A_tree]]*Table134[[#This Row],[اصله مستقل]]/Table134[[#This Row],[مساحت آدرس]])</f>
        <v>1</v>
      </c>
      <c r="L646" s="14">
        <f>IF(Table134[[#This Row],[check]]=1,1,(Table134[[#This Row],[Psh]]+0.15*(1-Table134[[#This Row],[Psh]])))</f>
        <v>1</v>
      </c>
      <c r="M646" s="14">
        <f>IF(Table134[[#This Row],[check]]=1,0.65,1)</f>
        <v>0.65</v>
      </c>
      <c r="N646" s="4">
        <v>1</v>
      </c>
      <c r="O646" s="4">
        <f>IF(Table134[[#This Row],[check]]=1,Table134[[#This Row],[مساحت آدرس]]*Table134[[#This Row],[A0 Inc]],Table134[[#This Row],[A_tree]]*Table134[[#This Row],[اصله مستقل]])</f>
        <v>329</v>
      </c>
      <c r="P646" s="11">
        <f>IF(Table134[[#This Row],[check]]=1,Table134[[#This Row],[A0]]/Table134[[#This Row],[اصله مستقل]],Table134[[#This Row],[A_tree]])</f>
        <v>2.35</v>
      </c>
    </row>
    <row r="647" spans="2:16" ht="18.600000000000001" x14ac:dyDescent="0.3">
      <c r="B647" s="4" t="s">
        <v>903</v>
      </c>
      <c r="C647" s="4">
        <v>1603</v>
      </c>
      <c r="D647" s="4">
        <v>897</v>
      </c>
      <c r="E647" s="4">
        <v>1188</v>
      </c>
      <c r="F647" s="4">
        <v>2110</v>
      </c>
      <c r="G647" s="2" t="s">
        <v>21</v>
      </c>
      <c r="H647" s="4">
        <v>9</v>
      </c>
      <c r="I647" s="4">
        <f>Table134[[#This Row],[اصله مستقل]]*Table134[[#This Row],[A_tree]]</f>
        <v>8073</v>
      </c>
      <c r="J647" s="4">
        <f>IF(Table134[[#This Row],[n * A_tree ]]&gt;Table134[[#This Row],[مساحت آدرس]],1,0)</f>
        <v>1</v>
      </c>
      <c r="K647" s="8">
        <f>IF(Table134[[#This Row],[check]]=1,1,Table134[[#This Row],[A_tree]]*Table134[[#This Row],[اصله مستقل]]/Table134[[#This Row],[مساحت آدرس]])</f>
        <v>1</v>
      </c>
      <c r="L647" s="14">
        <f>IF(Table134[[#This Row],[check]]=1,1,(Table134[[#This Row],[Psh]]+0.15*(1-Table134[[#This Row],[Psh]])))</f>
        <v>1</v>
      </c>
      <c r="M647" s="14">
        <f>IF(Table134[[#This Row],[check]]=1,0.65,1)</f>
        <v>0.65</v>
      </c>
      <c r="N647" s="4">
        <v>1</v>
      </c>
      <c r="O647" s="4">
        <f>IF(Table134[[#This Row],[check]]=1,Table134[[#This Row],[مساحت آدرس]]*Table134[[#This Row],[A0 Inc]],Table134[[#This Row],[A_tree]]*Table134[[#This Row],[اصله مستقل]])</f>
        <v>2110</v>
      </c>
      <c r="P647" s="11">
        <f>IF(Table134[[#This Row],[check]]=1,Table134[[#This Row],[A0]]/Table134[[#This Row],[اصله مستقل]],Table134[[#This Row],[A_tree]])</f>
        <v>2.3522853957636567</v>
      </c>
    </row>
    <row r="648" spans="2:16" ht="18.600000000000001" x14ac:dyDescent="0.3">
      <c r="B648" s="4" t="s">
        <v>904</v>
      </c>
      <c r="C648" s="4">
        <v>565</v>
      </c>
      <c r="D648" s="4">
        <v>131</v>
      </c>
      <c r="E648" s="4">
        <v>1521</v>
      </c>
      <c r="F648" s="4">
        <v>1759</v>
      </c>
      <c r="G648" s="2" t="s">
        <v>21</v>
      </c>
      <c r="H648" s="4">
        <v>9</v>
      </c>
      <c r="I648" s="4">
        <f>Table134[[#This Row],[اصله مستقل]]*Table134[[#This Row],[A_tree]]</f>
        <v>1179</v>
      </c>
      <c r="J648" s="4">
        <f>IF(Table134[[#This Row],[n * A_tree ]]&gt;Table134[[#This Row],[مساحت آدرس]],1,0)</f>
        <v>0</v>
      </c>
      <c r="K648" s="8">
        <f>IF(Table134[[#This Row],[check]]=1,1,Table134[[#This Row],[A_tree]]*Table134[[#This Row],[اصله مستقل]]/Table134[[#This Row],[مساحت آدرس]])</f>
        <v>0.67026719727117678</v>
      </c>
      <c r="L648" s="14">
        <f>IF(Table134[[#This Row],[check]]=1,1,(Table134[[#This Row],[Psh]]+0.15*(1-Table134[[#This Row],[Psh]])))</f>
        <v>0.71972711768050024</v>
      </c>
      <c r="M648" s="14">
        <f>IF(Table134[[#This Row],[check]]=1,0.65,1)</f>
        <v>1</v>
      </c>
      <c r="N648" s="4">
        <v>1</v>
      </c>
      <c r="O648" s="4">
        <f>IF(Table134[[#This Row],[check]]=1,Table134[[#This Row],[مساحت آدرس]]*Table134[[#This Row],[A0 Inc]],Table134[[#This Row],[A_tree]]*Table134[[#This Row],[اصله مستقل]])</f>
        <v>1179</v>
      </c>
      <c r="P648" s="11">
        <f>IF(Table134[[#This Row],[check]]=1,Table134[[#This Row],[A0]]/Table134[[#This Row],[اصله مستقل]],Table134[[#This Row],[A_tree]])</f>
        <v>9</v>
      </c>
    </row>
    <row r="649" spans="2:16" ht="18.600000000000001" x14ac:dyDescent="0.3">
      <c r="B649" s="4" t="s">
        <v>905</v>
      </c>
      <c r="C649" s="4">
        <v>215</v>
      </c>
      <c r="D649" s="4">
        <v>26</v>
      </c>
      <c r="E649" s="4">
        <v>26</v>
      </c>
      <c r="F649" s="4">
        <v>582</v>
      </c>
      <c r="G649" s="2" t="s">
        <v>21</v>
      </c>
      <c r="H649" s="4">
        <v>9</v>
      </c>
      <c r="I649" s="4">
        <f>Table134[[#This Row],[اصله مستقل]]*Table134[[#This Row],[A_tree]]</f>
        <v>234</v>
      </c>
      <c r="J649" s="4">
        <f>IF(Table134[[#This Row],[n * A_tree ]]&gt;Table134[[#This Row],[مساحت آدرس]],1,0)</f>
        <v>0</v>
      </c>
      <c r="K649" s="8">
        <f>IF(Table134[[#This Row],[check]]=1,1,Table134[[#This Row],[A_tree]]*Table134[[#This Row],[اصله مستقل]]/Table134[[#This Row],[مساحت آدرس]])</f>
        <v>0.40206185567010311</v>
      </c>
      <c r="L649" s="14">
        <f>IF(Table134[[#This Row],[check]]=1,1,(Table134[[#This Row],[Psh]]+0.15*(1-Table134[[#This Row],[Psh]])))</f>
        <v>0.49175257731958766</v>
      </c>
      <c r="M649" s="14">
        <f>IF(Table134[[#This Row],[check]]=1,0.65,1)</f>
        <v>1</v>
      </c>
      <c r="N649" s="4">
        <v>1</v>
      </c>
      <c r="O649" s="4">
        <f>IF(Table134[[#This Row],[check]]=1,Table134[[#This Row],[مساحت آدرس]]*Table134[[#This Row],[A0 Inc]],Table134[[#This Row],[A_tree]]*Table134[[#This Row],[اصله مستقل]])</f>
        <v>234</v>
      </c>
      <c r="P649" s="11">
        <f>IF(Table134[[#This Row],[check]]=1,Table134[[#This Row],[A0]]/Table134[[#This Row],[اصله مستقل]],Table134[[#This Row],[A_tree]])</f>
        <v>9</v>
      </c>
    </row>
    <row r="650" spans="2:16" ht="18.600000000000001" x14ac:dyDescent="0.3">
      <c r="B650" s="4" t="s">
        <v>906</v>
      </c>
      <c r="C650" s="4">
        <v>155</v>
      </c>
      <c r="D650" s="4">
        <v>155</v>
      </c>
      <c r="E650" s="4">
        <v>155</v>
      </c>
      <c r="F650" s="4">
        <v>322</v>
      </c>
      <c r="G650" s="2" t="s">
        <v>62</v>
      </c>
      <c r="H650" s="4">
        <v>9</v>
      </c>
      <c r="I650" s="4">
        <f>Table134[[#This Row],[اصله مستقل]]*Table134[[#This Row],[A_tree]]</f>
        <v>1395</v>
      </c>
      <c r="J650" s="4">
        <f>IF(Table134[[#This Row],[n * A_tree ]]&gt;Table134[[#This Row],[مساحت آدرس]],1,0)</f>
        <v>1</v>
      </c>
      <c r="K650" s="8">
        <f>IF(Table134[[#This Row],[check]]=1,1,Table134[[#This Row],[A_tree]]*Table134[[#This Row],[اصله مستقل]]/Table134[[#This Row],[مساحت آدرس]])</f>
        <v>1</v>
      </c>
      <c r="L650" s="14">
        <f>IF(Table134[[#This Row],[check]]=1,1,(Table134[[#This Row],[Psh]]+0.15*(1-Table134[[#This Row],[Psh]])))</f>
        <v>1</v>
      </c>
      <c r="M650" s="14">
        <f>IF(Table134[[#This Row],[check]]=1,0.65,1)</f>
        <v>0.65</v>
      </c>
      <c r="N650" s="4">
        <v>1</v>
      </c>
      <c r="O650" s="4">
        <f>IF(Table134[[#This Row],[check]]=1,Table134[[#This Row],[مساحت آدرس]]*Table134[[#This Row],[A0 Inc]],Table134[[#This Row],[A_tree]]*Table134[[#This Row],[اصله مستقل]])</f>
        <v>322</v>
      </c>
      <c r="P650" s="11">
        <f>IF(Table134[[#This Row],[check]]=1,Table134[[#This Row],[A0]]/Table134[[#This Row],[اصله مستقل]],Table134[[#This Row],[A_tree]])</f>
        <v>2.0774193548387099</v>
      </c>
    </row>
    <row r="651" spans="2:16" ht="18.600000000000001" x14ac:dyDescent="0.3">
      <c r="B651" s="4" t="s">
        <v>907</v>
      </c>
      <c r="C651" s="4">
        <v>508</v>
      </c>
      <c r="D651" s="4">
        <v>508</v>
      </c>
      <c r="E651" s="4">
        <v>305</v>
      </c>
      <c r="F651" s="4">
        <v>386</v>
      </c>
      <c r="G651" s="2" t="s">
        <v>62</v>
      </c>
      <c r="H651" s="4">
        <v>9</v>
      </c>
      <c r="I651" s="4">
        <f>Table134[[#This Row],[اصله مستقل]]*Table134[[#This Row],[A_tree]]</f>
        <v>4572</v>
      </c>
      <c r="J651" s="4">
        <f>IF(Table134[[#This Row],[n * A_tree ]]&gt;Table134[[#This Row],[مساحت آدرس]],1,0)</f>
        <v>1</v>
      </c>
      <c r="K651" s="8">
        <f>IF(Table134[[#This Row],[check]]=1,1,Table134[[#This Row],[A_tree]]*Table134[[#This Row],[اصله مستقل]]/Table134[[#This Row],[مساحت آدرس]])</f>
        <v>1</v>
      </c>
      <c r="L651" s="14">
        <f>IF(Table134[[#This Row],[check]]=1,1,(Table134[[#This Row],[Psh]]+0.15*(1-Table134[[#This Row],[Psh]])))</f>
        <v>1</v>
      </c>
      <c r="M651" s="14">
        <f>IF(Table134[[#This Row],[check]]=1,0.65,1)</f>
        <v>0.65</v>
      </c>
      <c r="N651" s="4">
        <v>1</v>
      </c>
      <c r="O651" s="4">
        <f>IF(Table134[[#This Row],[check]]=1,Table134[[#This Row],[مساحت آدرس]]*Table134[[#This Row],[A0 Inc]],Table134[[#This Row],[A_tree]]*Table134[[#This Row],[اصله مستقل]])</f>
        <v>386</v>
      </c>
      <c r="P651" s="11">
        <f>IF(Table134[[#This Row],[check]]=1,Table134[[#This Row],[A0]]/Table134[[#This Row],[اصله مستقل]],Table134[[#This Row],[A_tree]])</f>
        <v>0.75984251968503935</v>
      </c>
    </row>
    <row r="652" spans="2:16" ht="18.600000000000001" x14ac:dyDescent="0.3">
      <c r="B652" s="4" t="s">
        <v>908</v>
      </c>
      <c r="C652" s="4">
        <v>24</v>
      </c>
      <c r="D652" s="4">
        <v>24</v>
      </c>
      <c r="E652" s="4">
        <v>85</v>
      </c>
      <c r="F652" s="4">
        <v>288</v>
      </c>
      <c r="G652" s="2" t="s">
        <v>62</v>
      </c>
      <c r="H652" s="4">
        <v>9</v>
      </c>
      <c r="I652" s="4">
        <f>Table134[[#This Row],[اصله مستقل]]*Table134[[#This Row],[A_tree]]</f>
        <v>216</v>
      </c>
      <c r="J652" s="4">
        <f>IF(Table134[[#This Row],[n * A_tree ]]&gt;Table134[[#This Row],[مساحت آدرس]],1,0)</f>
        <v>0</v>
      </c>
      <c r="K652" s="8">
        <f>IF(Table134[[#This Row],[check]]=1,1,Table134[[#This Row],[A_tree]]*Table134[[#This Row],[اصله مستقل]]/Table134[[#This Row],[مساحت آدرس]])</f>
        <v>0.75</v>
      </c>
      <c r="L652" s="14">
        <f>IF(Table134[[#This Row],[check]]=1,1,(Table134[[#This Row],[Psh]]+0.15*(1-Table134[[#This Row],[Psh]])))</f>
        <v>0.78749999999999998</v>
      </c>
      <c r="M652" s="14">
        <f>IF(Table134[[#This Row],[check]]=1,0.65,1)</f>
        <v>1</v>
      </c>
      <c r="N652" s="4">
        <v>1</v>
      </c>
      <c r="O652" s="4">
        <f>IF(Table134[[#This Row],[check]]=1,Table134[[#This Row],[مساحت آدرس]]*Table134[[#This Row],[A0 Inc]],Table134[[#This Row],[A_tree]]*Table134[[#This Row],[اصله مستقل]])</f>
        <v>216</v>
      </c>
      <c r="P652" s="11">
        <f>IF(Table134[[#This Row],[check]]=1,Table134[[#This Row],[A0]]/Table134[[#This Row],[اصله مستقل]],Table134[[#This Row],[A_tree]])</f>
        <v>9</v>
      </c>
    </row>
    <row r="653" spans="2:16" ht="18.600000000000001" x14ac:dyDescent="0.3">
      <c r="B653" s="4" t="s">
        <v>909</v>
      </c>
      <c r="C653" s="4">
        <v>467</v>
      </c>
      <c r="D653" s="4">
        <v>122</v>
      </c>
      <c r="E653" s="4">
        <v>122</v>
      </c>
      <c r="F653" s="4">
        <v>9218</v>
      </c>
      <c r="G653" s="2" t="s">
        <v>62</v>
      </c>
      <c r="H653" s="4">
        <v>9</v>
      </c>
      <c r="I653" s="4">
        <f>Table134[[#This Row],[اصله مستقل]]*Table134[[#This Row],[A_tree]]</f>
        <v>1098</v>
      </c>
      <c r="J653" s="4">
        <f>IF(Table134[[#This Row],[n * A_tree ]]&gt;Table134[[#This Row],[مساحت آدرس]],1,0)</f>
        <v>0</v>
      </c>
      <c r="K653" s="8">
        <f>IF(Table134[[#This Row],[check]]=1,1,Table134[[#This Row],[A_tree]]*Table134[[#This Row],[اصله مستقل]]/Table134[[#This Row],[مساحت آدرس]])</f>
        <v>0.11911477543935778</v>
      </c>
      <c r="L653" s="14">
        <f>IF(Table134[[#This Row],[check]]=1,1,(Table134[[#This Row],[Psh]]+0.15*(1-Table134[[#This Row],[Psh]])))</f>
        <v>0.25124755912345409</v>
      </c>
      <c r="M653" s="14">
        <f>IF(Table134[[#This Row],[check]]=1,0.65,1)</f>
        <v>1</v>
      </c>
      <c r="N653" s="4">
        <v>1</v>
      </c>
      <c r="O653" s="4">
        <f>IF(Table134[[#This Row],[check]]=1,Table134[[#This Row],[مساحت آدرس]]*Table134[[#This Row],[A0 Inc]],Table134[[#This Row],[A_tree]]*Table134[[#This Row],[اصله مستقل]])</f>
        <v>1098</v>
      </c>
      <c r="P653" s="11">
        <f>IF(Table134[[#This Row],[check]]=1,Table134[[#This Row],[A0]]/Table134[[#This Row],[اصله مستقل]],Table134[[#This Row],[A_tree]])</f>
        <v>9</v>
      </c>
    </row>
    <row r="654" spans="2:16" ht="18.600000000000001" x14ac:dyDescent="0.3">
      <c r="B654" s="4" t="s">
        <v>910</v>
      </c>
      <c r="C654" s="4">
        <v>49</v>
      </c>
      <c r="D654" s="4">
        <v>49</v>
      </c>
      <c r="E654" s="4">
        <v>63</v>
      </c>
      <c r="F654" s="4">
        <v>174</v>
      </c>
      <c r="G654" s="2" t="s">
        <v>62</v>
      </c>
      <c r="H654" s="4">
        <v>9</v>
      </c>
      <c r="I654" s="4">
        <f>Table134[[#This Row],[اصله مستقل]]*Table134[[#This Row],[A_tree]]</f>
        <v>441</v>
      </c>
      <c r="J654" s="4">
        <f>IF(Table134[[#This Row],[n * A_tree ]]&gt;Table134[[#This Row],[مساحت آدرس]],1,0)</f>
        <v>1</v>
      </c>
      <c r="K654" s="8">
        <f>IF(Table134[[#This Row],[check]]=1,1,Table134[[#This Row],[A_tree]]*Table134[[#This Row],[اصله مستقل]]/Table134[[#This Row],[مساحت آدرس]])</f>
        <v>1</v>
      </c>
      <c r="L654" s="14">
        <f>IF(Table134[[#This Row],[check]]=1,1,(Table134[[#This Row],[Psh]]+0.15*(1-Table134[[#This Row],[Psh]])))</f>
        <v>1</v>
      </c>
      <c r="M654" s="14">
        <f>IF(Table134[[#This Row],[check]]=1,0.65,1)</f>
        <v>0.65</v>
      </c>
      <c r="N654" s="4">
        <v>1</v>
      </c>
      <c r="O654" s="4">
        <f>IF(Table134[[#This Row],[check]]=1,Table134[[#This Row],[مساحت آدرس]]*Table134[[#This Row],[A0 Inc]],Table134[[#This Row],[A_tree]]*Table134[[#This Row],[اصله مستقل]])</f>
        <v>174</v>
      </c>
      <c r="P654" s="11">
        <f>IF(Table134[[#This Row],[check]]=1,Table134[[#This Row],[A0]]/Table134[[#This Row],[اصله مستقل]],Table134[[#This Row],[A_tree]])</f>
        <v>3.5510204081632653</v>
      </c>
    </row>
    <row r="655" spans="2:16" ht="18.600000000000001" x14ac:dyDescent="0.3">
      <c r="B655" s="4" t="s">
        <v>917</v>
      </c>
      <c r="C655" s="4">
        <v>4635</v>
      </c>
      <c r="D655" s="4">
        <v>4003</v>
      </c>
      <c r="E655" s="4">
        <v>4003</v>
      </c>
      <c r="F655" s="4">
        <v>4864</v>
      </c>
      <c r="G655" s="2" t="s">
        <v>21</v>
      </c>
      <c r="H655" s="4">
        <v>9</v>
      </c>
      <c r="I655" s="4">
        <f>Table134[[#This Row],[اصله مستقل]]*Table134[[#This Row],[A_tree]]</f>
        <v>36027</v>
      </c>
      <c r="J655" s="4">
        <f>IF(Table134[[#This Row],[n * A_tree ]]&gt;Table134[[#This Row],[مساحت آدرس]],1,0)</f>
        <v>1</v>
      </c>
      <c r="K655" s="8">
        <f>IF(Table134[[#This Row],[check]]=1,1,Table134[[#This Row],[A_tree]]*Table134[[#This Row],[اصله مستقل]]/Table134[[#This Row],[مساحت آدرس]])</f>
        <v>1</v>
      </c>
      <c r="L655" s="14">
        <f>IF(Table134[[#This Row],[check]]=1,1,(Table134[[#This Row],[Psh]]+0.15*(1-Table134[[#This Row],[Psh]])))</f>
        <v>1</v>
      </c>
      <c r="M655" s="14">
        <f>IF(Table134[[#This Row],[check]]=1,0.65,1)</f>
        <v>0.65</v>
      </c>
      <c r="N655" s="4">
        <v>1</v>
      </c>
      <c r="O655" s="4">
        <f>IF(Table134[[#This Row],[check]]=1,Table134[[#This Row],[مساحت آدرس]]*Table134[[#This Row],[A0 Inc]],Table134[[#This Row],[A_tree]]*Table134[[#This Row],[اصله مستقل]])</f>
        <v>4864</v>
      </c>
      <c r="P655" s="11">
        <f>IF(Table134[[#This Row],[check]]=1,Table134[[#This Row],[A0]]/Table134[[#This Row],[اصله مستقل]],Table134[[#This Row],[A_tree]])</f>
        <v>1.2150886834873844</v>
      </c>
    </row>
    <row r="656" spans="2:16" ht="18.600000000000001" x14ac:dyDescent="0.3">
      <c r="B656" s="4" t="s">
        <v>918</v>
      </c>
      <c r="C656" s="4">
        <v>171</v>
      </c>
      <c r="D656" s="4">
        <v>45</v>
      </c>
      <c r="E656" s="4">
        <v>48</v>
      </c>
      <c r="F656" s="4">
        <v>663</v>
      </c>
      <c r="G656" s="2" t="s">
        <v>21</v>
      </c>
      <c r="H656" s="4">
        <v>9</v>
      </c>
      <c r="I656" s="4">
        <f>Table134[[#This Row],[اصله مستقل]]*Table134[[#This Row],[A_tree]]</f>
        <v>405</v>
      </c>
      <c r="J656" s="4">
        <f>IF(Table134[[#This Row],[n * A_tree ]]&gt;Table134[[#This Row],[مساحت آدرس]],1,0)</f>
        <v>0</v>
      </c>
      <c r="K656" s="8">
        <f>IF(Table134[[#This Row],[check]]=1,1,Table134[[#This Row],[A_tree]]*Table134[[#This Row],[اصله مستقل]]/Table134[[#This Row],[مساحت آدرس]])</f>
        <v>0.61085972850678738</v>
      </c>
      <c r="L656" s="14">
        <f>IF(Table134[[#This Row],[check]]=1,1,(Table134[[#This Row],[Psh]]+0.15*(1-Table134[[#This Row],[Psh]])))</f>
        <v>0.6692307692307693</v>
      </c>
      <c r="M656" s="14">
        <f>IF(Table134[[#This Row],[check]]=1,0.65,1)</f>
        <v>1</v>
      </c>
      <c r="N656" s="4">
        <v>1</v>
      </c>
      <c r="O656" s="4">
        <f>IF(Table134[[#This Row],[check]]=1,Table134[[#This Row],[مساحت آدرس]]*Table134[[#This Row],[A0 Inc]],Table134[[#This Row],[A_tree]]*Table134[[#This Row],[اصله مستقل]])</f>
        <v>405</v>
      </c>
      <c r="P656" s="11">
        <f>IF(Table134[[#This Row],[check]]=1,Table134[[#This Row],[A0]]/Table134[[#This Row],[اصله مستقل]],Table134[[#This Row],[A_tree]])</f>
        <v>9</v>
      </c>
    </row>
    <row r="657" spans="2:16" ht="18.600000000000001" x14ac:dyDescent="0.3">
      <c r="B657" s="4" t="s">
        <v>919</v>
      </c>
      <c r="C657" s="4">
        <v>1408</v>
      </c>
      <c r="D657" s="4">
        <v>1408</v>
      </c>
      <c r="E657" s="4">
        <v>25580</v>
      </c>
      <c r="F657" s="4">
        <v>33870</v>
      </c>
      <c r="G657" s="2" t="s">
        <v>283</v>
      </c>
      <c r="H657" s="4">
        <v>9</v>
      </c>
      <c r="I657" s="4">
        <f>Table134[[#This Row],[اصله مستقل]]*Table134[[#This Row],[A_tree]]</f>
        <v>12672</v>
      </c>
      <c r="J657" s="4">
        <f>IF(Table134[[#This Row],[n * A_tree ]]&gt;Table134[[#This Row],[مساحت آدرس]],1,0)</f>
        <v>0</v>
      </c>
      <c r="K657" s="8">
        <f>IF(Table134[[#This Row],[check]]=1,1,Table134[[#This Row],[A_tree]]*Table134[[#This Row],[اصله مستقل]]/Table134[[#This Row],[مساحت آدرس]])</f>
        <v>0.37413640389725422</v>
      </c>
      <c r="L657" s="14">
        <f>IF(Table134[[#This Row],[check]]=1,1,(Table134[[#This Row],[Psh]]+0.15*(1-Table134[[#This Row],[Psh]])))</f>
        <v>0.46801594331266611</v>
      </c>
      <c r="M657" s="14">
        <f>IF(Table134[[#This Row],[check]]=1,0.65,1)</f>
        <v>1</v>
      </c>
      <c r="N657" s="4">
        <v>1</v>
      </c>
      <c r="O657" s="4">
        <f>IF(Table134[[#This Row],[check]]=1,Table134[[#This Row],[مساحت آدرس]]*Table134[[#This Row],[A0 Inc]],Table134[[#This Row],[A_tree]]*Table134[[#This Row],[اصله مستقل]])</f>
        <v>12672</v>
      </c>
      <c r="P657" s="11">
        <f>IF(Table134[[#This Row],[check]]=1,Table134[[#This Row],[A0]]/Table134[[#This Row],[اصله مستقل]],Table134[[#This Row],[A_tree]])</f>
        <v>9</v>
      </c>
    </row>
    <row r="658" spans="2:16" ht="18.600000000000001" x14ac:dyDescent="0.3">
      <c r="B658" s="4" t="s">
        <v>920</v>
      </c>
      <c r="C658" s="4">
        <v>462</v>
      </c>
      <c r="D658" s="4">
        <v>462</v>
      </c>
      <c r="E658" s="4">
        <v>1320</v>
      </c>
      <c r="F658" s="4">
        <v>1570</v>
      </c>
      <c r="G658" s="2" t="s">
        <v>21</v>
      </c>
      <c r="H658" s="4">
        <v>9</v>
      </c>
      <c r="I658" s="4">
        <f>Table134[[#This Row],[اصله مستقل]]*Table134[[#This Row],[A_tree]]</f>
        <v>4158</v>
      </c>
      <c r="J658" s="4">
        <f>IF(Table134[[#This Row],[n * A_tree ]]&gt;Table134[[#This Row],[مساحت آدرس]],1,0)</f>
        <v>1</v>
      </c>
      <c r="K658" s="8">
        <f>IF(Table134[[#This Row],[check]]=1,1,Table134[[#This Row],[A_tree]]*Table134[[#This Row],[اصله مستقل]]/Table134[[#This Row],[مساحت آدرس]])</f>
        <v>1</v>
      </c>
      <c r="L658" s="14">
        <f>IF(Table134[[#This Row],[check]]=1,1,(Table134[[#This Row],[Psh]]+0.15*(1-Table134[[#This Row],[Psh]])))</f>
        <v>1</v>
      </c>
      <c r="M658" s="14">
        <f>IF(Table134[[#This Row],[check]]=1,0.65,1)</f>
        <v>0.65</v>
      </c>
      <c r="N658" s="4">
        <v>1</v>
      </c>
      <c r="O658" s="4">
        <f>IF(Table134[[#This Row],[check]]=1,Table134[[#This Row],[مساحت آدرس]]*Table134[[#This Row],[A0 Inc]],Table134[[#This Row],[A_tree]]*Table134[[#This Row],[اصله مستقل]])</f>
        <v>1570</v>
      </c>
      <c r="P658" s="11">
        <f>IF(Table134[[#This Row],[check]]=1,Table134[[#This Row],[A0]]/Table134[[#This Row],[اصله مستقل]],Table134[[#This Row],[A_tree]])</f>
        <v>3.3982683982683981</v>
      </c>
    </row>
    <row r="659" spans="2:16" ht="18.600000000000001" x14ac:dyDescent="0.3">
      <c r="B659" s="4" t="s">
        <v>921</v>
      </c>
      <c r="C659" s="4">
        <v>1689</v>
      </c>
      <c r="D659" s="4">
        <v>1439</v>
      </c>
      <c r="E659" s="4">
        <v>4180</v>
      </c>
      <c r="F659" s="4">
        <v>4530</v>
      </c>
      <c r="G659" s="2" t="s">
        <v>21</v>
      </c>
      <c r="H659" s="4">
        <v>9</v>
      </c>
      <c r="I659" s="4">
        <f>Table134[[#This Row],[اصله مستقل]]*Table134[[#This Row],[A_tree]]</f>
        <v>12951</v>
      </c>
      <c r="J659" s="4">
        <f>IF(Table134[[#This Row],[n * A_tree ]]&gt;Table134[[#This Row],[مساحت آدرس]],1,0)</f>
        <v>1</v>
      </c>
      <c r="K659" s="8">
        <f>IF(Table134[[#This Row],[check]]=1,1,Table134[[#This Row],[A_tree]]*Table134[[#This Row],[اصله مستقل]]/Table134[[#This Row],[مساحت آدرس]])</f>
        <v>1</v>
      </c>
      <c r="L659" s="14">
        <f>IF(Table134[[#This Row],[check]]=1,1,(Table134[[#This Row],[Psh]]+0.15*(1-Table134[[#This Row],[Psh]])))</f>
        <v>1</v>
      </c>
      <c r="M659" s="14">
        <f>IF(Table134[[#This Row],[check]]=1,0.65,1)</f>
        <v>0.65</v>
      </c>
      <c r="N659" s="4">
        <v>1</v>
      </c>
      <c r="O659" s="4">
        <f>IF(Table134[[#This Row],[check]]=1,Table134[[#This Row],[مساحت آدرس]]*Table134[[#This Row],[A0 Inc]],Table134[[#This Row],[A_tree]]*Table134[[#This Row],[اصله مستقل]])</f>
        <v>4530</v>
      </c>
      <c r="P659" s="11">
        <f>IF(Table134[[#This Row],[check]]=1,Table134[[#This Row],[A0]]/Table134[[#This Row],[اصله مستقل]],Table134[[#This Row],[A_tree]])</f>
        <v>3.1480194579569147</v>
      </c>
    </row>
    <row r="660" spans="2:16" ht="18.600000000000001" x14ac:dyDescent="0.3">
      <c r="B660" s="4" t="s">
        <v>927</v>
      </c>
      <c r="C660" s="4">
        <v>1542</v>
      </c>
      <c r="D660" s="4">
        <v>1100</v>
      </c>
      <c r="E660" s="4">
        <v>11100</v>
      </c>
      <c r="F660" s="4">
        <v>24155</v>
      </c>
      <c r="G660" s="2" t="s">
        <v>300</v>
      </c>
      <c r="H660" s="4">
        <v>9</v>
      </c>
      <c r="I660" s="4">
        <f>Table134[[#This Row],[اصله مستقل]]*Table134[[#This Row],[A_tree]]</f>
        <v>9900</v>
      </c>
      <c r="J660" s="4">
        <f>IF(Table134[[#This Row],[n * A_tree ]]&gt;Table134[[#This Row],[مساحت آدرس]],1,0)</f>
        <v>0</v>
      </c>
      <c r="K660" s="8">
        <f>IF(Table134[[#This Row],[check]]=1,1,Table134[[#This Row],[A_tree]]*Table134[[#This Row],[اصله مستقل]]/Table134[[#This Row],[مساحت آدرس]])</f>
        <v>0.40985303249844751</v>
      </c>
      <c r="L660" s="14">
        <f>IF(Table134[[#This Row],[check]]=1,1,(Table134[[#This Row],[Psh]]+0.15*(1-Table134[[#This Row],[Psh]])))</f>
        <v>0.49837507762368038</v>
      </c>
      <c r="M660" s="14">
        <f>IF(Table134[[#This Row],[check]]=1,0.65,1)</f>
        <v>1</v>
      </c>
      <c r="N660" s="4">
        <v>1</v>
      </c>
      <c r="O660" s="4">
        <f>IF(Table134[[#This Row],[check]]=1,Table134[[#This Row],[مساحت آدرس]]*Table134[[#This Row],[A0 Inc]],Table134[[#This Row],[A_tree]]*Table134[[#This Row],[اصله مستقل]])</f>
        <v>9900</v>
      </c>
      <c r="P660" s="11">
        <f>IF(Table134[[#This Row],[check]]=1,Table134[[#This Row],[A0]]/Table134[[#This Row],[اصله مستقل]],Table134[[#This Row],[A_tree]])</f>
        <v>9</v>
      </c>
    </row>
    <row r="661" spans="2:16" ht="18.600000000000001" x14ac:dyDescent="0.3">
      <c r="B661" s="4" t="s">
        <v>928</v>
      </c>
      <c r="C661" s="4">
        <v>2896</v>
      </c>
      <c r="D661" s="4">
        <v>715</v>
      </c>
      <c r="E661" s="4">
        <v>1185</v>
      </c>
      <c r="F661" s="4">
        <v>54130</v>
      </c>
      <c r="G661" s="2" t="s">
        <v>300</v>
      </c>
      <c r="H661" s="4">
        <v>9</v>
      </c>
      <c r="I661" s="4">
        <f>Table134[[#This Row],[اصله مستقل]]*Table134[[#This Row],[A_tree]]</f>
        <v>6435</v>
      </c>
      <c r="J661" s="4">
        <f>IF(Table134[[#This Row],[n * A_tree ]]&gt;Table134[[#This Row],[مساحت آدرس]],1,0)</f>
        <v>0</v>
      </c>
      <c r="K661" s="8">
        <f>IF(Table134[[#This Row],[check]]=1,1,Table134[[#This Row],[A_tree]]*Table134[[#This Row],[اصله مستقل]]/Table134[[#This Row],[مساحت آدرس]])</f>
        <v>0.11888047293552559</v>
      </c>
      <c r="L661" s="14">
        <f>IF(Table134[[#This Row],[check]]=1,1,(Table134[[#This Row],[Psh]]+0.15*(1-Table134[[#This Row],[Psh]])))</f>
        <v>0.25104840199519673</v>
      </c>
      <c r="M661" s="14">
        <f>IF(Table134[[#This Row],[check]]=1,0.65,1)</f>
        <v>1</v>
      </c>
      <c r="N661" s="4">
        <v>1</v>
      </c>
      <c r="O661" s="4">
        <f>IF(Table134[[#This Row],[check]]=1,Table134[[#This Row],[مساحت آدرس]]*Table134[[#This Row],[A0 Inc]],Table134[[#This Row],[A_tree]]*Table134[[#This Row],[اصله مستقل]])</f>
        <v>6435</v>
      </c>
      <c r="P661" s="11">
        <f>IF(Table134[[#This Row],[check]]=1,Table134[[#This Row],[A0]]/Table134[[#This Row],[اصله مستقل]],Table134[[#This Row],[A_tree]])</f>
        <v>9</v>
      </c>
    </row>
    <row r="662" spans="2:16" ht="18.600000000000001" x14ac:dyDescent="0.3">
      <c r="B662" s="4" t="s">
        <v>929</v>
      </c>
      <c r="C662" s="4">
        <v>108</v>
      </c>
      <c r="D662" s="4">
        <v>108</v>
      </c>
      <c r="E662" s="4">
        <v>387</v>
      </c>
      <c r="F662" s="4">
        <v>487</v>
      </c>
      <c r="G662" s="2" t="s">
        <v>21</v>
      </c>
      <c r="H662" s="4">
        <v>9</v>
      </c>
      <c r="I662" s="4">
        <f>Table134[[#This Row],[اصله مستقل]]*Table134[[#This Row],[A_tree]]</f>
        <v>972</v>
      </c>
      <c r="J662" s="4">
        <f>IF(Table134[[#This Row],[n * A_tree ]]&gt;Table134[[#This Row],[مساحت آدرس]],1,0)</f>
        <v>1</v>
      </c>
      <c r="K662" s="8">
        <f>IF(Table134[[#This Row],[check]]=1,1,Table134[[#This Row],[A_tree]]*Table134[[#This Row],[اصله مستقل]]/Table134[[#This Row],[مساحت آدرس]])</f>
        <v>1</v>
      </c>
      <c r="L662" s="14">
        <f>IF(Table134[[#This Row],[check]]=1,1,(Table134[[#This Row],[Psh]]+0.15*(1-Table134[[#This Row],[Psh]])))</f>
        <v>1</v>
      </c>
      <c r="M662" s="14">
        <f>IF(Table134[[#This Row],[check]]=1,0.65,1)</f>
        <v>0.65</v>
      </c>
      <c r="N662" s="4">
        <v>1</v>
      </c>
      <c r="O662" s="4">
        <f>IF(Table134[[#This Row],[check]]=1,Table134[[#This Row],[مساحت آدرس]]*Table134[[#This Row],[A0 Inc]],Table134[[#This Row],[A_tree]]*Table134[[#This Row],[اصله مستقل]])</f>
        <v>487</v>
      </c>
      <c r="P662" s="11">
        <f>IF(Table134[[#This Row],[check]]=1,Table134[[#This Row],[A0]]/Table134[[#This Row],[اصله مستقل]],Table134[[#This Row],[A_tree]])</f>
        <v>4.5092592592592595</v>
      </c>
    </row>
    <row r="663" spans="2:16" ht="18.600000000000001" x14ac:dyDescent="0.3">
      <c r="B663" s="4" t="s">
        <v>930</v>
      </c>
      <c r="C663" s="4">
        <v>470</v>
      </c>
      <c r="D663" s="4">
        <v>470</v>
      </c>
      <c r="E663" s="4">
        <v>2240</v>
      </c>
      <c r="F663" s="4">
        <v>2470</v>
      </c>
      <c r="G663" s="2" t="s">
        <v>21</v>
      </c>
      <c r="H663" s="4">
        <v>9</v>
      </c>
      <c r="I663" s="4">
        <f>Table134[[#This Row],[اصله مستقل]]*Table134[[#This Row],[A_tree]]</f>
        <v>4230</v>
      </c>
      <c r="J663" s="4">
        <f>IF(Table134[[#This Row],[n * A_tree ]]&gt;Table134[[#This Row],[مساحت آدرس]],1,0)</f>
        <v>1</v>
      </c>
      <c r="K663" s="8">
        <f>IF(Table134[[#This Row],[check]]=1,1,Table134[[#This Row],[A_tree]]*Table134[[#This Row],[اصله مستقل]]/Table134[[#This Row],[مساحت آدرس]])</f>
        <v>1</v>
      </c>
      <c r="L663" s="14">
        <f>IF(Table134[[#This Row],[check]]=1,1,(Table134[[#This Row],[Psh]]+0.15*(1-Table134[[#This Row],[Psh]])))</f>
        <v>1</v>
      </c>
      <c r="M663" s="14">
        <f>IF(Table134[[#This Row],[check]]=1,0.65,1)</f>
        <v>0.65</v>
      </c>
      <c r="N663" s="4">
        <v>1</v>
      </c>
      <c r="O663" s="4">
        <f>IF(Table134[[#This Row],[check]]=1,Table134[[#This Row],[مساحت آدرس]]*Table134[[#This Row],[A0 Inc]],Table134[[#This Row],[A_tree]]*Table134[[#This Row],[اصله مستقل]])</f>
        <v>2470</v>
      </c>
      <c r="P663" s="11">
        <f>IF(Table134[[#This Row],[check]]=1,Table134[[#This Row],[A0]]/Table134[[#This Row],[اصله مستقل]],Table134[[#This Row],[A_tree]])</f>
        <v>5.2553191489361701</v>
      </c>
    </row>
    <row r="664" spans="2:16" ht="18.600000000000001" x14ac:dyDescent="0.3">
      <c r="B664" s="4" t="s">
        <v>931</v>
      </c>
      <c r="C664" s="4">
        <v>1235</v>
      </c>
      <c r="D664" s="4">
        <v>626</v>
      </c>
      <c r="E664" s="4">
        <v>2576</v>
      </c>
      <c r="F664" s="4">
        <v>5229</v>
      </c>
      <c r="G664" s="2" t="s">
        <v>21</v>
      </c>
      <c r="H664" s="4">
        <v>9</v>
      </c>
      <c r="I664" s="4">
        <f>Table134[[#This Row],[اصله مستقل]]*Table134[[#This Row],[A_tree]]</f>
        <v>5634</v>
      </c>
      <c r="J664" s="4">
        <f>IF(Table134[[#This Row],[n * A_tree ]]&gt;Table134[[#This Row],[مساحت آدرس]],1,0)</f>
        <v>1</v>
      </c>
      <c r="K664" s="8">
        <f>IF(Table134[[#This Row],[check]]=1,1,Table134[[#This Row],[A_tree]]*Table134[[#This Row],[اصله مستقل]]/Table134[[#This Row],[مساحت آدرس]])</f>
        <v>1</v>
      </c>
      <c r="L664" s="14">
        <f>IF(Table134[[#This Row],[check]]=1,1,(Table134[[#This Row],[Psh]]+0.15*(1-Table134[[#This Row],[Psh]])))</f>
        <v>1</v>
      </c>
      <c r="M664" s="14">
        <f>IF(Table134[[#This Row],[check]]=1,0.65,1)</f>
        <v>0.65</v>
      </c>
      <c r="N664" s="4">
        <v>1</v>
      </c>
      <c r="O664" s="4">
        <f>IF(Table134[[#This Row],[check]]=1,Table134[[#This Row],[مساحت آدرس]]*Table134[[#This Row],[A0 Inc]],Table134[[#This Row],[A_tree]]*Table134[[#This Row],[اصله مستقل]])</f>
        <v>5229</v>
      </c>
      <c r="P664" s="11">
        <f>IF(Table134[[#This Row],[check]]=1,Table134[[#This Row],[A0]]/Table134[[#This Row],[اصله مستقل]],Table134[[#This Row],[A_tree]])</f>
        <v>8.3530351437699686</v>
      </c>
    </row>
    <row r="665" spans="2:16" ht="18.600000000000001" x14ac:dyDescent="0.3">
      <c r="B665" s="4" t="s">
        <v>932</v>
      </c>
      <c r="C665" s="4">
        <v>72</v>
      </c>
      <c r="D665" s="4">
        <v>72</v>
      </c>
      <c r="E665" s="4">
        <v>350</v>
      </c>
      <c r="F665" s="4">
        <v>350</v>
      </c>
      <c r="G665" s="2" t="s">
        <v>62</v>
      </c>
      <c r="H665" s="4">
        <v>9</v>
      </c>
      <c r="I665" s="4">
        <f>Table134[[#This Row],[اصله مستقل]]*Table134[[#This Row],[A_tree]]</f>
        <v>648</v>
      </c>
      <c r="J665" s="4">
        <f>IF(Table134[[#This Row],[n * A_tree ]]&gt;Table134[[#This Row],[مساحت آدرس]],1,0)</f>
        <v>1</v>
      </c>
      <c r="K665" s="8">
        <f>IF(Table134[[#This Row],[check]]=1,1,Table134[[#This Row],[A_tree]]*Table134[[#This Row],[اصله مستقل]]/Table134[[#This Row],[مساحت آدرس]])</f>
        <v>1</v>
      </c>
      <c r="L665" s="14">
        <f>IF(Table134[[#This Row],[check]]=1,1,(Table134[[#This Row],[Psh]]+0.15*(1-Table134[[#This Row],[Psh]])))</f>
        <v>1</v>
      </c>
      <c r="M665" s="14">
        <f>IF(Table134[[#This Row],[check]]=1,0.65,1)</f>
        <v>0.65</v>
      </c>
      <c r="N665" s="4">
        <v>1</v>
      </c>
      <c r="O665" s="4">
        <f>IF(Table134[[#This Row],[check]]=1,Table134[[#This Row],[مساحت آدرس]]*Table134[[#This Row],[A0 Inc]],Table134[[#This Row],[A_tree]]*Table134[[#This Row],[اصله مستقل]])</f>
        <v>350</v>
      </c>
      <c r="P665" s="11">
        <f>IF(Table134[[#This Row],[check]]=1,Table134[[#This Row],[A0]]/Table134[[#This Row],[اصله مستقل]],Table134[[#This Row],[A_tree]])</f>
        <v>4.8611111111111107</v>
      </c>
    </row>
    <row r="666" spans="2:16" ht="18.600000000000001" x14ac:dyDescent="0.3">
      <c r="B666" s="4" t="s">
        <v>933</v>
      </c>
      <c r="C666" s="4">
        <v>160</v>
      </c>
      <c r="D666" s="4">
        <v>70</v>
      </c>
      <c r="E666" s="4">
        <v>234</v>
      </c>
      <c r="F666" s="4">
        <v>1239</v>
      </c>
      <c r="G666" s="2" t="s">
        <v>62</v>
      </c>
      <c r="H666" s="4">
        <v>9</v>
      </c>
      <c r="I666" s="4">
        <f>Table134[[#This Row],[اصله مستقل]]*Table134[[#This Row],[A_tree]]</f>
        <v>630</v>
      </c>
      <c r="J666" s="4">
        <f>IF(Table134[[#This Row],[n * A_tree ]]&gt;Table134[[#This Row],[مساحت آدرس]],1,0)</f>
        <v>0</v>
      </c>
      <c r="K666" s="8">
        <f>IF(Table134[[#This Row],[check]]=1,1,Table134[[#This Row],[A_tree]]*Table134[[#This Row],[اصله مستقل]]/Table134[[#This Row],[مساحت آدرس]])</f>
        <v>0.50847457627118642</v>
      </c>
      <c r="L666" s="14">
        <f>IF(Table134[[#This Row],[check]]=1,1,(Table134[[#This Row],[Psh]]+0.15*(1-Table134[[#This Row],[Psh]])))</f>
        <v>0.58220338983050846</v>
      </c>
      <c r="M666" s="14">
        <f>IF(Table134[[#This Row],[check]]=1,0.65,1)</f>
        <v>1</v>
      </c>
      <c r="N666" s="4">
        <v>1</v>
      </c>
      <c r="O666" s="4">
        <f>IF(Table134[[#This Row],[check]]=1,Table134[[#This Row],[مساحت آدرس]]*Table134[[#This Row],[A0 Inc]],Table134[[#This Row],[A_tree]]*Table134[[#This Row],[اصله مستقل]])</f>
        <v>630</v>
      </c>
      <c r="P666" s="11">
        <f>IF(Table134[[#This Row],[check]]=1,Table134[[#This Row],[A0]]/Table134[[#This Row],[اصله مستقل]],Table134[[#This Row],[A_tree]])</f>
        <v>9</v>
      </c>
    </row>
    <row r="667" spans="2:16" ht="18.600000000000001" x14ac:dyDescent="0.3">
      <c r="B667" s="4" t="s">
        <v>934</v>
      </c>
      <c r="C667" s="4">
        <v>712</v>
      </c>
      <c r="D667" s="4">
        <v>178</v>
      </c>
      <c r="E667" s="4">
        <v>465</v>
      </c>
      <c r="F667" s="4">
        <v>31521</v>
      </c>
      <c r="G667" s="2" t="s">
        <v>66</v>
      </c>
      <c r="H667" s="4">
        <v>9</v>
      </c>
      <c r="I667" s="4">
        <f>Table134[[#This Row],[اصله مستقل]]*Table134[[#This Row],[A_tree]]</f>
        <v>1602</v>
      </c>
      <c r="J667" s="4">
        <f>IF(Table134[[#This Row],[n * A_tree ]]&gt;Table134[[#This Row],[مساحت آدرس]],1,0)</f>
        <v>0</v>
      </c>
      <c r="K667" s="8">
        <f>IF(Table134[[#This Row],[check]]=1,1,Table134[[#This Row],[A_tree]]*Table134[[#This Row],[اصله مستقل]]/Table134[[#This Row],[مساحت آدرس]])</f>
        <v>5.0823260683353952E-2</v>
      </c>
      <c r="L667" s="14">
        <f>IF(Table134[[#This Row],[check]]=1,1,(Table134[[#This Row],[Psh]]+0.15*(1-Table134[[#This Row],[Psh]])))</f>
        <v>0.19319977158085083</v>
      </c>
      <c r="M667" s="14">
        <f>IF(Table134[[#This Row],[check]]=1,0.65,1)</f>
        <v>1</v>
      </c>
      <c r="N667" s="4">
        <v>1</v>
      </c>
      <c r="O667" s="4">
        <f>IF(Table134[[#This Row],[check]]=1,Table134[[#This Row],[مساحت آدرس]]*Table134[[#This Row],[A0 Inc]],Table134[[#This Row],[A_tree]]*Table134[[#This Row],[اصله مستقل]])</f>
        <v>1602</v>
      </c>
      <c r="P667" s="11">
        <f>IF(Table134[[#This Row],[check]]=1,Table134[[#This Row],[A0]]/Table134[[#This Row],[اصله مستقل]],Table134[[#This Row],[A_tree]])</f>
        <v>9</v>
      </c>
    </row>
    <row r="668" spans="2:16" ht="18.600000000000001" x14ac:dyDescent="0.3">
      <c r="B668" s="4" t="s">
        <v>935</v>
      </c>
      <c r="C668" s="4">
        <v>658</v>
      </c>
      <c r="D668" s="4">
        <v>658</v>
      </c>
      <c r="E668" s="4">
        <v>6204</v>
      </c>
      <c r="F668" s="4">
        <v>8928</v>
      </c>
      <c r="G668" s="2" t="s">
        <v>3</v>
      </c>
      <c r="H668" s="4">
        <v>9</v>
      </c>
      <c r="I668" s="4">
        <f>Table134[[#This Row],[اصله مستقل]]*Table134[[#This Row],[A_tree]]</f>
        <v>5922</v>
      </c>
      <c r="J668" s="4">
        <f>IF(Table134[[#This Row],[n * A_tree ]]&gt;Table134[[#This Row],[مساحت آدرس]],1,0)</f>
        <v>0</v>
      </c>
      <c r="K668" s="8">
        <f>IF(Table134[[#This Row],[check]]=1,1,Table134[[#This Row],[A_tree]]*Table134[[#This Row],[اصله مستقل]]/Table134[[#This Row],[مساحت آدرس]])</f>
        <v>0.66330645161290325</v>
      </c>
      <c r="L668" s="14">
        <f>IF(Table134[[#This Row],[check]]=1,1,(Table134[[#This Row],[Psh]]+0.15*(1-Table134[[#This Row],[Psh]])))</f>
        <v>0.71381048387096779</v>
      </c>
      <c r="M668" s="14">
        <f>IF(Table134[[#This Row],[check]]=1,0.65,1)</f>
        <v>1</v>
      </c>
      <c r="N668" s="4">
        <v>1</v>
      </c>
      <c r="O668" s="4">
        <f>IF(Table134[[#This Row],[check]]=1,Table134[[#This Row],[مساحت آدرس]]*Table134[[#This Row],[A0 Inc]],Table134[[#This Row],[A_tree]]*Table134[[#This Row],[اصله مستقل]])</f>
        <v>5922</v>
      </c>
      <c r="P668" s="11">
        <f>IF(Table134[[#This Row],[check]]=1,Table134[[#This Row],[A0]]/Table134[[#This Row],[اصله مستقل]],Table134[[#This Row],[A_tree]])</f>
        <v>9</v>
      </c>
    </row>
    <row r="669" spans="2:16" ht="18.600000000000001" x14ac:dyDescent="0.3">
      <c r="B669" s="4" t="s">
        <v>936</v>
      </c>
      <c r="C669" s="4">
        <v>419</v>
      </c>
      <c r="D669" s="4">
        <v>419</v>
      </c>
      <c r="E669" s="4">
        <v>419</v>
      </c>
      <c r="F669" s="4">
        <v>419</v>
      </c>
      <c r="G669" s="2" t="s">
        <v>21</v>
      </c>
      <c r="H669" s="4">
        <v>9</v>
      </c>
      <c r="I669" s="4">
        <f>Table134[[#This Row],[اصله مستقل]]*Table134[[#This Row],[A_tree]]</f>
        <v>3771</v>
      </c>
      <c r="J669" s="4">
        <f>IF(Table134[[#This Row],[n * A_tree ]]&gt;Table134[[#This Row],[مساحت آدرس]],1,0)</f>
        <v>1</v>
      </c>
      <c r="K669" s="8">
        <f>IF(Table134[[#This Row],[check]]=1,1,Table134[[#This Row],[A_tree]]*Table134[[#This Row],[اصله مستقل]]/Table134[[#This Row],[مساحت آدرس]])</f>
        <v>1</v>
      </c>
      <c r="L669" s="14">
        <f>IF(Table134[[#This Row],[check]]=1,1,(Table134[[#This Row],[Psh]]+0.15*(1-Table134[[#This Row],[Psh]])))</f>
        <v>1</v>
      </c>
      <c r="M669" s="14">
        <f>IF(Table134[[#This Row],[check]]=1,0.65,1)</f>
        <v>0.65</v>
      </c>
      <c r="N669" s="4">
        <v>1</v>
      </c>
      <c r="O669" s="4">
        <f>IF(Table134[[#This Row],[check]]=1,Table134[[#This Row],[مساحت آدرس]]*Table134[[#This Row],[A0 Inc]],Table134[[#This Row],[A_tree]]*Table134[[#This Row],[اصله مستقل]])</f>
        <v>419</v>
      </c>
      <c r="P669" s="11">
        <f>IF(Table134[[#This Row],[check]]=1,Table134[[#This Row],[A0]]/Table134[[#This Row],[اصله مستقل]],Table134[[#This Row],[A_tree]])</f>
        <v>1</v>
      </c>
    </row>
    <row r="670" spans="2:16" ht="18.600000000000001" x14ac:dyDescent="0.3">
      <c r="B670" s="4" t="s">
        <v>937</v>
      </c>
      <c r="C670" s="4">
        <v>798</v>
      </c>
      <c r="D670" s="4">
        <v>798</v>
      </c>
      <c r="E670" s="4">
        <v>798</v>
      </c>
      <c r="F670" s="4">
        <v>2168</v>
      </c>
      <c r="G670" s="2" t="s">
        <v>21</v>
      </c>
      <c r="H670" s="4">
        <v>9</v>
      </c>
      <c r="I670" s="4">
        <f>Table134[[#This Row],[اصله مستقل]]*Table134[[#This Row],[A_tree]]</f>
        <v>7182</v>
      </c>
      <c r="J670" s="4">
        <f>IF(Table134[[#This Row],[n * A_tree ]]&gt;Table134[[#This Row],[مساحت آدرس]],1,0)</f>
        <v>1</v>
      </c>
      <c r="K670" s="8">
        <f>IF(Table134[[#This Row],[check]]=1,1,Table134[[#This Row],[A_tree]]*Table134[[#This Row],[اصله مستقل]]/Table134[[#This Row],[مساحت آدرس]])</f>
        <v>1</v>
      </c>
      <c r="L670" s="14">
        <f>IF(Table134[[#This Row],[check]]=1,1,(Table134[[#This Row],[Psh]]+0.15*(1-Table134[[#This Row],[Psh]])))</f>
        <v>1</v>
      </c>
      <c r="M670" s="14">
        <f>IF(Table134[[#This Row],[check]]=1,0.65,1)</f>
        <v>0.65</v>
      </c>
      <c r="N670" s="4">
        <v>1</v>
      </c>
      <c r="O670" s="4">
        <f>IF(Table134[[#This Row],[check]]=1,Table134[[#This Row],[مساحت آدرس]]*Table134[[#This Row],[A0 Inc]],Table134[[#This Row],[A_tree]]*Table134[[#This Row],[اصله مستقل]])</f>
        <v>2168</v>
      </c>
      <c r="P670" s="11">
        <f>IF(Table134[[#This Row],[check]]=1,Table134[[#This Row],[A0]]/Table134[[#This Row],[اصله مستقل]],Table134[[#This Row],[A_tree]])</f>
        <v>2.7167919799498748</v>
      </c>
    </row>
    <row r="671" spans="2:16" ht="18.600000000000001" x14ac:dyDescent="0.3">
      <c r="B671" s="4" t="s">
        <v>938</v>
      </c>
      <c r="C671" s="4">
        <v>503</v>
      </c>
      <c r="D671" s="4">
        <v>323</v>
      </c>
      <c r="E671" s="4">
        <v>323</v>
      </c>
      <c r="F671" s="4">
        <v>809</v>
      </c>
      <c r="G671" s="2" t="s">
        <v>21</v>
      </c>
      <c r="H671" s="4">
        <v>9</v>
      </c>
      <c r="I671" s="4">
        <f>Table134[[#This Row],[اصله مستقل]]*Table134[[#This Row],[A_tree]]</f>
        <v>2907</v>
      </c>
      <c r="J671" s="4">
        <f>IF(Table134[[#This Row],[n * A_tree ]]&gt;Table134[[#This Row],[مساحت آدرس]],1,0)</f>
        <v>1</v>
      </c>
      <c r="K671" s="8">
        <f>IF(Table134[[#This Row],[check]]=1,1,Table134[[#This Row],[A_tree]]*Table134[[#This Row],[اصله مستقل]]/Table134[[#This Row],[مساحت آدرس]])</f>
        <v>1</v>
      </c>
      <c r="L671" s="14">
        <f>IF(Table134[[#This Row],[check]]=1,1,(Table134[[#This Row],[Psh]]+0.15*(1-Table134[[#This Row],[Psh]])))</f>
        <v>1</v>
      </c>
      <c r="M671" s="14">
        <f>IF(Table134[[#This Row],[check]]=1,0.65,1)</f>
        <v>0.65</v>
      </c>
      <c r="N671" s="4">
        <v>1</v>
      </c>
      <c r="O671" s="4">
        <f>IF(Table134[[#This Row],[check]]=1,Table134[[#This Row],[مساحت آدرس]]*Table134[[#This Row],[A0 Inc]],Table134[[#This Row],[A_tree]]*Table134[[#This Row],[اصله مستقل]])</f>
        <v>809</v>
      </c>
      <c r="P671" s="11">
        <f>IF(Table134[[#This Row],[check]]=1,Table134[[#This Row],[A0]]/Table134[[#This Row],[اصله مستقل]],Table134[[#This Row],[A_tree]])</f>
        <v>2.5046439628482973</v>
      </c>
    </row>
    <row r="672" spans="2:16" ht="18.600000000000001" x14ac:dyDescent="0.3">
      <c r="B672" s="4" t="s">
        <v>939</v>
      </c>
      <c r="C672" s="4">
        <v>483</v>
      </c>
      <c r="D672" s="4">
        <v>483</v>
      </c>
      <c r="E672" s="4">
        <v>483</v>
      </c>
      <c r="F672" s="4">
        <v>603</v>
      </c>
      <c r="G672" s="2" t="s">
        <v>21</v>
      </c>
      <c r="H672" s="4">
        <v>9</v>
      </c>
      <c r="I672" s="4">
        <f>Table134[[#This Row],[اصله مستقل]]*Table134[[#This Row],[A_tree]]</f>
        <v>4347</v>
      </c>
      <c r="J672" s="4">
        <f>IF(Table134[[#This Row],[n * A_tree ]]&gt;Table134[[#This Row],[مساحت آدرس]],1,0)</f>
        <v>1</v>
      </c>
      <c r="K672" s="8">
        <f>IF(Table134[[#This Row],[check]]=1,1,Table134[[#This Row],[A_tree]]*Table134[[#This Row],[اصله مستقل]]/Table134[[#This Row],[مساحت آدرس]])</f>
        <v>1</v>
      </c>
      <c r="L672" s="14">
        <f>IF(Table134[[#This Row],[check]]=1,1,(Table134[[#This Row],[Psh]]+0.15*(1-Table134[[#This Row],[Psh]])))</f>
        <v>1</v>
      </c>
      <c r="M672" s="14">
        <f>IF(Table134[[#This Row],[check]]=1,0.65,1)</f>
        <v>0.65</v>
      </c>
      <c r="N672" s="4">
        <v>1</v>
      </c>
      <c r="O672" s="4">
        <f>IF(Table134[[#This Row],[check]]=1,Table134[[#This Row],[مساحت آدرس]]*Table134[[#This Row],[A0 Inc]],Table134[[#This Row],[A_tree]]*Table134[[#This Row],[اصله مستقل]])</f>
        <v>603</v>
      </c>
      <c r="P672" s="11">
        <f>IF(Table134[[#This Row],[check]]=1,Table134[[#This Row],[A0]]/Table134[[#This Row],[اصله مستقل]],Table134[[#This Row],[A_tree]])</f>
        <v>1.2484472049689441</v>
      </c>
    </row>
    <row r="673" spans="2:16" ht="18.600000000000001" x14ac:dyDescent="0.3">
      <c r="B673" s="4" t="s">
        <v>940</v>
      </c>
      <c r="C673" s="4">
        <v>801</v>
      </c>
      <c r="D673" s="4">
        <v>66</v>
      </c>
      <c r="E673" s="4">
        <v>600</v>
      </c>
      <c r="F673" s="4">
        <v>3826</v>
      </c>
      <c r="G673" s="2" t="s">
        <v>21</v>
      </c>
      <c r="H673" s="4">
        <v>9</v>
      </c>
      <c r="I673" s="4">
        <f>Table134[[#This Row],[اصله مستقل]]*Table134[[#This Row],[A_tree]]</f>
        <v>594</v>
      </c>
      <c r="J673" s="4">
        <f>IF(Table134[[#This Row],[n * A_tree ]]&gt;Table134[[#This Row],[مساحت آدرس]],1,0)</f>
        <v>0</v>
      </c>
      <c r="K673" s="8">
        <f>IF(Table134[[#This Row],[check]]=1,1,Table134[[#This Row],[A_tree]]*Table134[[#This Row],[اصله مستقل]]/Table134[[#This Row],[مساحت آدرس]])</f>
        <v>0.15525352848928384</v>
      </c>
      <c r="L673" s="14">
        <f>IF(Table134[[#This Row],[check]]=1,1,(Table134[[#This Row],[Psh]]+0.15*(1-Table134[[#This Row],[Psh]])))</f>
        <v>0.28196549921589126</v>
      </c>
      <c r="M673" s="14">
        <f>IF(Table134[[#This Row],[check]]=1,0.65,1)</f>
        <v>1</v>
      </c>
      <c r="N673" s="4">
        <v>1</v>
      </c>
      <c r="O673" s="4">
        <f>IF(Table134[[#This Row],[check]]=1,Table134[[#This Row],[مساحت آدرس]]*Table134[[#This Row],[A0 Inc]],Table134[[#This Row],[A_tree]]*Table134[[#This Row],[اصله مستقل]])</f>
        <v>594</v>
      </c>
      <c r="P673" s="11">
        <f>IF(Table134[[#This Row],[check]]=1,Table134[[#This Row],[A0]]/Table134[[#This Row],[اصله مستقل]],Table134[[#This Row],[A_tree]])</f>
        <v>9</v>
      </c>
    </row>
    <row r="674" spans="2:16" ht="18.600000000000001" x14ac:dyDescent="0.3">
      <c r="B674" s="4" t="s">
        <v>952</v>
      </c>
      <c r="C674" s="4">
        <v>65</v>
      </c>
      <c r="D674" s="4">
        <v>45</v>
      </c>
      <c r="E674" s="4">
        <v>55</v>
      </c>
      <c r="F674" s="4">
        <v>552</v>
      </c>
      <c r="G674" s="2" t="s">
        <v>62</v>
      </c>
      <c r="H674" s="4">
        <v>9</v>
      </c>
      <c r="I674" s="4">
        <f>Table134[[#This Row],[اصله مستقل]]*Table134[[#This Row],[A_tree]]</f>
        <v>405</v>
      </c>
      <c r="J674" s="4">
        <f>IF(Table134[[#This Row],[n * A_tree ]]&gt;Table134[[#This Row],[مساحت آدرس]],1,0)</f>
        <v>0</v>
      </c>
      <c r="K674" s="8">
        <f>IF(Table134[[#This Row],[check]]=1,1,Table134[[#This Row],[A_tree]]*Table134[[#This Row],[اصله مستقل]]/Table134[[#This Row],[مساحت آدرس]])</f>
        <v>0.73369565217391308</v>
      </c>
      <c r="L674" s="14">
        <f>IF(Table134[[#This Row],[check]]=1,1,(Table134[[#This Row],[Psh]]+0.15*(1-Table134[[#This Row],[Psh]])))</f>
        <v>0.77364130434782608</v>
      </c>
      <c r="M674" s="14">
        <f>IF(Table134[[#This Row],[check]]=1,0.65,1)</f>
        <v>1</v>
      </c>
      <c r="N674" s="4">
        <v>1</v>
      </c>
      <c r="O674" s="4">
        <f>IF(Table134[[#This Row],[check]]=1,Table134[[#This Row],[مساحت آدرس]]*Table134[[#This Row],[A0 Inc]],Table134[[#This Row],[A_tree]]*Table134[[#This Row],[اصله مستقل]])</f>
        <v>405</v>
      </c>
      <c r="P674" s="11">
        <f>IF(Table134[[#This Row],[check]]=1,Table134[[#This Row],[A0]]/Table134[[#This Row],[اصله مستقل]],Table134[[#This Row],[A_tree]])</f>
        <v>9</v>
      </c>
    </row>
    <row r="675" spans="2:16" ht="18.600000000000001" x14ac:dyDescent="0.3">
      <c r="B675" s="4" t="s">
        <v>965</v>
      </c>
      <c r="C675" s="4">
        <v>542</v>
      </c>
      <c r="D675" s="4">
        <v>465</v>
      </c>
      <c r="E675" s="4">
        <v>3750</v>
      </c>
      <c r="F675" s="4">
        <v>5049</v>
      </c>
      <c r="G675" s="2" t="s">
        <v>3</v>
      </c>
      <c r="H675" s="4">
        <v>9</v>
      </c>
      <c r="I675" s="4">
        <f>Table134[[#This Row],[اصله مستقل]]*Table134[[#This Row],[A_tree]]</f>
        <v>4185</v>
      </c>
      <c r="J675" s="4">
        <f>IF(Table134[[#This Row],[n * A_tree ]]&gt;Table134[[#This Row],[مساحت آدرس]],1,0)</f>
        <v>0</v>
      </c>
      <c r="K675" s="8">
        <f>IF(Table134[[#This Row],[check]]=1,1,Table134[[#This Row],[A_tree]]*Table134[[#This Row],[اصله مستقل]]/Table134[[#This Row],[مساحت آدرس]])</f>
        <v>0.82887700534759357</v>
      </c>
      <c r="L675" s="14">
        <f>IF(Table134[[#This Row],[check]]=1,1,(Table134[[#This Row],[Psh]]+0.15*(1-Table134[[#This Row],[Psh]])))</f>
        <v>0.8545454545454545</v>
      </c>
      <c r="M675" s="14">
        <f>IF(Table134[[#This Row],[check]]=1,0.65,1)</f>
        <v>1</v>
      </c>
      <c r="N675" s="4">
        <v>1</v>
      </c>
      <c r="O675" s="4">
        <f>IF(Table134[[#This Row],[check]]=1,Table134[[#This Row],[مساحت آدرس]]*Table134[[#This Row],[A0 Inc]],Table134[[#This Row],[A_tree]]*Table134[[#This Row],[اصله مستقل]])</f>
        <v>4185</v>
      </c>
      <c r="P675" s="11">
        <f>IF(Table134[[#This Row],[check]]=1,Table134[[#This Row],[A0]]/Table134[[#This Row],[اصله مستقل]],Table134[[#This Row],[A_tree]])</f>
        <v>9</v>
      </c>
    </row>
    <row r="676" spans="2:16" ht="18.600000000000001" x14ac:dyDescent="0.3">
      <c r="B676" s="4" t="s">
        <v>966</v>
      </c>
      <c r="C676" s="4">
        <v>927</v>
      </c>
      <c r="D676" s="4">
        <v>460</v>
      </c>
      <c r="E676" s="4">
        <v>2150</v>
      </c>
      <c r="F676" s="4">
        <v>8350</v>
      </c>
      <c r="G676" s="2" t="s">
        <v>3</v>
      </c>
      <c r="H676" s="4">
        <v>9</v>
      </c>
      <c r="I676" s="4">
        <f>Table134[[#This Row],[اصله مستقل]]*Table134[[#This Row],[A_tree]]</f>
        <v>4140</v>
      </c>
      <c r="J676" s="4">
        <f>IF(Table134[[#This Row],[n * A_tree ]]&gt;Table134[[#This Row],[مساحت آدرس]],1,0)</f>
        <v>0</v>
      </c>
      <c r="K676" s="8">
        <f>IF(Table134[[#This Row],[check]]=1,1,Table134[[#This Row],[A_tree]]*Table134[[#This Row],[اصله مستقل]]/Table134[[#This Row],[مساحت آدرس]])</f>
        <v>0.49580838323353293</v>
      </c>
      <c r="L676" s="14">
        <f>IF(Table134[[#This Row],[check]]=1,1,(Table134[[#This Row],[Psh]]+0.15*(1-Table134[[#This Row],[Psh]])))</f>
        <v>0.57143712574850303</v>
      </c>
      <c r="M676" s="14">
        <f>IF(Table134[[#This Row],[check]]=1,0.65,1)</f>
        <v>1</v>
      </c>
      <c r="N676" s="4">
        <v>1</v>
      </c>
      <c r="O676" s="4">
        <f>IF(Table134[[#This Row],[check]]=1,Table134[[#This Row],[مساحت آدرس]]*Table134[[#This Row],[A0 Inc]],Table134[[#This Row],[A_tree]]*Table134[[#This Row],[اصله مستقل]])</f>
        <v>4140</v>
      </c>
      <c r="P676" s="11">
        <f>IF(Table134[[#This Row],[check]]=1,Table134[[#This Row],[A0]]/Table134[[#This Row],[اصله مستقل]],Table134[[#This Row],[A_tree]])</f>
        <v>9</v>
      </c>
    </row>
    <row r="677" spans="2:16" ht="18.600000000000001" x14ac:dyDescent="0.3">
      <c r="B677" s="4" t="s">
        <v>967</v>
      </c>
      <c r="C677" s="4">
        <v>476</v>
      </c>
      <c r="D677" s="4">
        <v>354</v>
      </c>
      <c r="E677" s="4">
        <v>4030</v>
      </c>
      <c r="F677" s="4">
        <v>6620</v>
      </c>
      <c r="G677" s="2" t="s">
        <v>3</v>
      </c>
      <c r="H677" s="4">
        <v>9</v>
      </c>
      <c r="I677" s="4">
        <f>Table134[[#This Row],[اصله مستقل]]*Table134[[#This Row],[A_tree]]</f>
        <v>3186</v>
      </c>
      <c r="J677" s="4">
        <f>IF(Table134[[#This Row],[n * A_tree ]]&gt;Table134[[#This Row],[مساحت آدرس]],1,0)</f>
        <v>0</v>
      </c>
      <c r="K677" s="8">
        <f>IF(Table134[[#This Row],[check]]=1,1,Table134[[#This Row],[A_tree]]*Table134[[#This Row],[اصله مستقل]]/Table134[[#This Row],[مساحت آدرس]])</f>
        <v>0.48126888217522656</v>
      </c>
      <c r="L677" s="14">
        <f>IF(Table134[[#This Row],[check]]=1,1,(Table134[[#This Row],[Psh]]+0.15*(1-Table134[[#This Row],[Psh]])))</f>
        <v>0.55907854984894256</v>
      </c>
      <c r="M677" s="14">
        <f>IF(Table134[[#This Row],[check]]=1,0.65,1)</f>
        <v>1</v>
      </c>
      <c r="N677" s="4">
        <v>1</v>
      </c>
      <c r="O677" s="4">
        <f>IF(Table134[[#This Row],[check]]=1,Table134[[#This Row],[مساحت آدرس]]*Table134[[#This Row],[A0 Inc]],Table134[[#This Row],[A_tree]]*Table134[[#This Row],[اصله مستقل]])</f>
        <v>3186</v>
      </c>
      <c r="P677" s="11">
        <f>IF(Table134[[#This Row],[check]]=1,Table134[[#This Row],[A0]]/Table134[[#This Row],[اصله مستقل]],Table134[[#This Row],[A_tree]])</f>
        <v>9</v>
      </c>
    </row>
    <row r="678" spans="2:16" ht="18.600000000000001" x14ac:dyDescent="0.3">
      <c r="B678" s="4" t="s">
        <v>968</v>
      </c>
      <c r="C678" s="4">
        <v>3596</v>
      </c>
      <c r="D678" s="4">
        <v>3596</v>
      </c>
      <c r="E678" s="4">
        <v>28048</v>
      </c>
      <c r="F678" s="4">
        <v>31377</v>
      </c>
      <c r="G678" s="2" t="s">
        <v>3</v>
      </c>
      <c r="H678" s="4">
        <v>9</v>
      </c>
      <c r="I678" s="4">
        <f>Table134[[#This Row],[اصله مستقل]]*Table134[[#This Row],[A_tree]]</f>
        <v>32364</v>
      </c>
      <c r="J678" s="4">
        <f>IF(Table134[[#This Row],[n * A_tree ]]&gt;Table134[[#This Row],[مساحت آدرس]],1,0)</f>
        <v>1</v>
      </c>
      <c r="K678" s="8">
        <f>IF(Table134[[#This Row],[check]]=1,1,Table134[[#This Row],[A_tree]]*Table134[[#This Row],[اصله مستقل]]/Table134[[#This Row],[مساحت آدرس]])</f>
        <v>1</v>
      </c>
      <c r="L678" s="14">
        <f>IF(Table134[[#This Row],[check]]=1,1,(Table134[[#This Row],[Psh]]+0.15*(1-Table134[[#This Row],[Psh]])))</f>
        <v>1</v>
      </c>
      <c r="M678" s="14">
        <f>IF(Table134[[#This Row],[check]]=1,0.65,1)</f>
        <v>0.65</v>
      </c>
      <c r="N678" s="4">
        <v>1</v>
      </c>
      <c r="O678" s="4">
        <f>IF(Table134[[#This Row],[check]]=1,Table134[[#This Row],[مساحت آدرس]]*Table134[[#This Row],[A0 Inc]],Table134[[#This Row],[A_tree]]*Table134[[#This Row],[اصله مستقل]])</f>
        <v>31377</v>
      </c>
      <c r="P678" s="11">
        <f>IF(Table134[[#This Row],[check]]=1,Table134[[#This Row],[A0]]/Table134[[#This Row],[اصله مستقل]],Table134[[#This Row],[A_tree]])</f>
        <v>8.7255283648498327</v>
      </c>
    </row>
    <row r="679" spans="2:16" ht="18.600000000000001" x14ac:dyDescent="0.3">
      <c r="B679" s="4" t="s">
        <v>969</v>
      </c>
      <c r="C679" s="4">
        <v>250</v>
      </c>
      <c r="D679" s="4">
        <v>243</v>
      </c>
      <c r="E679" s="4">
        <v>80</v>
      </c>
      <c r="F679" s="4">
        <v>1920</v>
      </c>
      <c r="G679" s="2" t="s">
        <v>3</v>
      </c>
      <c r="H679" s="4">
        <v>9</v>
      </c>
      <c r="I679" s="4">
        <f>Table134[[#This Row],[اصله مستقل]]*Table134[[#This Row],[A_tree]]</f>
        <v>2187</v>
      </c>
      <c r="J679" s="4">
        <f>IF(Table134[[#This Row],[n * A_tree ]]&gt;Table134[[#This Row],[مساحت آدرس]],1,0)</f>
        <v>1</v>
      </c>
      <c r="K679" s="8">
        <f>IF(Table134[[#This Row],[check]]=1,1,Table134[[#This Row],[A_tree]]*Table134[[#This Row],[اصله مستقل]]/Table134[[#This Row],[مساحت آدرس]])</f>
        <v>1</v>
      </c>
      <c r="L679" s="14">
        <f>IF(Table134[[#This Row],[check]]=1,1,(Table134[[#This Row],[Psh]]+0.15*(1-Table134[[#This Row],[Psh]])))</f>
        <v>1</v>
      </c>
      <c r="M679" s="14">
        <f>IF(Table134[[#This Row],[check]]=1,0.65,1)</f>
        <v>0.65</v>
      </c>
      <c r="N679" s="4">
        <v>1</v>
      </c>
      <c r="O679" s="4">
        <f>IF(Table134[[#This Row],[check]]=1,Table134[[#This Row],[مساحت آدرس]]*Table134[[#This Row],[A0 Inc]],Table134[[#This Row],[A_tree]]*Table134[[#This Row],[اصله مستقل]])</f>
        <v>1920</v>
      </c>
      <c r="P679" s="11">
        <f>IF(Table134[[#This Row],[check]]=1,Table134[[#This Row],[A0]]/Table134[[#This Row],[اصله مستقل]],Table134[[#This Row],[A_tree]])</f>
        <v>7.9012345679012341</v>
      </c>
    </row>
    <row r="680" spans="2:16" ht="18.600000000000001" x14ac:dyDescent="0.3">
      <c r="B680" s="4" t="s">
        <v>973</v>
      </c>
      <c r="C680" s="4">
        <v>908</v>
      </c>
      <c r="D680" s="4">
        <v>570</v>
      </c>
      <c r="E680" s="4">
        <v>2300</v>
      </c>
      <c r="F680" s="4">
        <v>4337</v>
      </c>
      <c r="G680" s="2" t="s">
        <v>21</v>
      </c>
      <c r="H680" s="4">
        <v>9</v>
      </c>
      <c r="I680" s="4">
        <f>Table134[[#This Row],[اصله مستقل]]*Table134[[#This Row],[A_tree]]</f>
        <v>5130</v>
      </c>
      <c r="J680" s="4">
        <f>IF(Table134[[#This Row],[n * A_tree ]]&gt;Table134[[#This Row],[مساحت آدرس]],1,0)</f>
        <v>1</v>
      </c>
      <c r="K680" s="8">
        <f>IF(Table134[[#This Row],[check]]=1,1,Table134[[#This Row],[A_tree]]*Table134[[#This Row],[اصله مستقل]]/Table134[[#This Row],[مساحت آدرس]])</f>
        <v>1</v>
      </c>
      <c r="L680" s="14">
        <f>IF(Table134[[#This Row],[check]]=1,1,(Table134[[#This Row],[Psh]]+0.15*(1-Table134[[#This Row],[Psh]])))</f>
        <v>1</v>
      </c>
      <c r="M680" s="14">
        <f>IF(Table134[[#This Row],[check]]=1,0.65,1)</f>
        <v>0.65</v>
      </c>
      <c r="N680" s="4">
        <v>1</v>
      </c>
      <c r="O680" s="4">
        <f>IF(Table134[[#This Row],[check]]=1,Table134[[#This Row],[مساحت آدرس]]*Table134[[#This Row],[A0 Inc]],Table134[[#This Row],[A_tree]]*Table134[[#This Row],[اصله مستقل]])</f>
        <v>4337</v>
      </c>
      <c r="P680" s="11">
        <f>IF(Table134[[#This Row],[check]]=1,Table134[[#This Row],[A0]]/Table134[[#This Row],[اصله مستقل]],Table134[[#This Row],[A_tree]])</f>
        <v>7.6087719298245613</v>
      </c>
    </row>
    <row r="681" spans="2:16" ht="18.600000000000001" x14ac:dyDescent="0.3">
      <c r="B681" s="4" t="s">
        <v>974</v>
      </c>
      <c r="C681" s="4">
        <v>262</v>
      </c>
      <c r="D681" s="4">
        <v>148</v>
      </c>
      <c r="E681" s="4">
        <v>830</v>
      </c>
      <c r="F681" s="4">
        <v>2310</v>
      </c>
      <c r="G681" s="2" t="s">
        <v>21</v>
      </c>
      <c r="H681" s="4">
        <v>9</v>
      </c>
      <c r="I681" s="4">
        <f>Table134[[#This Row],[اصله مستقل]]*Table134[[#This Row],[A_tree]]</f>
        <v>1332</v>
      </c>
      <c r="J681" s="4">
        <f>IF(Table134[[#This Row],[n * A_tree ]]&gt;Table134[[#This Row],[مساحت آدرس]],1,0)</f>
        <v>0</v>
      </c>
      <c r="K681" s="8">
        <f>IF(Table134[[#This Row],[check]]=1,1,Table134[[#This Row],[A_tree]]*Table134[[#This Row],[اصله مستقل]]/Table134[[#This Row],[مساحت آدرس]])</f>
        <v>0.57662337662337659</v>
      </c>
      <c r="L681" s="14">
        <f>IF(Table134[[#This Row],[check]]=1,1,(Table134[[#This Row],[Psh]]+0.15*(1-Table134[[#This Row],[Psh]])))</f>
        <v>0.6401298701298701</v>
      </c>
      <c r="M681" s="14">
        <f>IF(Table134[[#This Row],[check]]=1,0.65,1)</f>
        <v>1</v>
      </c>
      <c r="N681" s="4">
        <v>1</v>
      </c>
      <c r="O681" s="4">
        <f>IF(Table134[[#This Row],[check]]=1,Table134[[#This Row],[مساحت آدرس]]*Table134[[#This Row],[A0 Inc]],Table134[[#This Row],[A_tree]]*Table134[[#This Row],[اصله مستقل]])</f>
        <v>1332</v>
      </c>
      <c r="P681" s="11">
        <f>IF(Table134[[#This Row],[check]]=1,Table134[[#This Row],[A0]]/Table134[[#This Row],[اصله مستقل]],Table134[[#This Row],[A_tree]])</f>
        <v>9</v>
      </c>
    </row>
    <row r="682" spans="2:16" ht="18.600000000000001" x14ac:dyDescent="0.3">
      <c r="B682" s="4" t="s">
        <v>975</v>
      </c>
      <c r="C682" s="4">
        <v>512</v>
      </c>
      <c r="D682" s="4">
        <v>415</v>
      </c>
      <c r="E682" s="4">
        <v>1565</v>
      </c>
      <c r="F682" s="4">
        <v>2062</v>
      </c>
      <c r="G682" s="2" t="s">
        <v>21</v>
      </c>
      <c r="H682" s="4">
        <v>9</v>
      </c>
      <c r="I682" s="4">
        <f>Table134[[#This Row],[اصله مستقل]]*Table134[[#This Row],[A_tree]]</f>
        <v>3735</v>
      </c>
      <c r="J682" s="4">
        <f>IF(Table134[[#This Row],[n * A_tree ]]&gt;Table134[[#This Row],[مساحت آدرس]],1,0)</f>
        <v>1</v>
      </c>
      <c r="K682" s="8">
        <f>IF(Table134[[#This Row],[check]]=1,1,Table134[[#This Row],[A_tree]]*Table134[[#This Row],[اصله مستقل]]/Table134[[#This Row],[مساحت آدرس]])</f>
        <v>1</v>
      </c>
      <c r="L682" s="14">
        <f>IF(Table134[[#This Row],[check]]=1,1,(Table134[[#This Row],[Psh]]+0.15*(1-Table134[[#This Row],[Psh]])))</f>
        <v>1</v>
      </c>
      <c r="M682" s="14">
        <f>IF(Table134[[#This Row],[check]]=1,0.65,1)</f>
        <v>0.65</v>
      </c>
      <c r="N682" s="4">
        <v>1</v>
      </c>
      <c r="O682" s="4">
        <f>IF(Table134[[#This Row],[check]]=1,Table134[[#This Row],[مساحت آدرس]]*Table134[[#This Row],[A0 Inc]],Table134[[#This Row],[A_tree]]*Table134[[#This Row],[اصله مستقل]])</f>
        <v>2062</v>
      </c>
      <c r="P682" s="11">
        <f>IF(Table134[[#This Row],[check]]=1,Table134[[#This Row],[A0]]/Table134[[#This Row],[اصله مستقل]],Table134[[#This Row],[A_tree]])</f>
        <v>4.9686746987951809</v>
      </c>
    </row>
    <row r="683" spans="2:16" ht="18.600000000000001" x14ac:dyDescent="0.3">
      <c r="B683" s="4" t="s">
        <v>976</v>
      </c>
      <c r="C683" s="4">
        <v>180</v>
      </c>
      <c r="D683" s="4">
        <v>180</v>
      </c>
      <c r="E683" s="4">
        <v>270</v>
      </c>
      <c r="F683" s="4">
        <v>1008</v>
      </c>
      <c r="G683" s="2" t="s">
        <v>21</v>
      </c>
      <c r="H683" s="4">
        <v>9</v>
      </c>
      <c r="I683" s="4">
        <f>Table134[[#This Row],[اصله مستقل]]*Table134[[#This Row],[A_tree]]</f>
        <v>1620</v>
      </c>
      <c r="J683" s="4">
        <f>IF(Table134[[#This Row],[n * A_tree ]]&gt;Table134[[#This Row],[مساحت آدرس]],1,0)</f>
        <v>1</v>
      </c>
      <c r="K683" s="8">
        <f>IF(Table134[[#This Row],[check]]=1,1,Table134[[#This Row],[A_tree]]*Table134[[#This Row],[اصله مستقل]]/Table134[[#This Row],[مساحت آدرس]])</f>
        <v>1</v>
      </c>
      <c r="L683" s="14">
        <f>IF(Table134[[#This Row],[check]]=1,1,(Table134[[#This Row],[Psh]]+0.15*(1-Table134[[#This Row],[Psh]])))</f>
        <v>1</v>
      </c>
      <c r="M683" s="14">
        <f>IF(Table134[[#This Row],[check]]=1,0.65,1)</f>
        <v>0.65</v>
      </c>
      <c r="N683" s="4">
        <v>1</v>
      </c>
      <c r="O683" s="4">
        <f>IF(Table134[[#This Row],[check]]=1,Table134[[#This Row],[مساحت آدرس]]*Table134[[#This Row],[A0 Inc]],Table134[[#This Row],[A_tree]]*Table134[[#This Row],[اصله مستقل]])</f>
        <v>1008</v>
      </c>
      <c r="P683" s="11">
        <f>IF(Table134[[#This Row],[check]]=1,Table134[[#This Row],[A0]]/Table134[[#This Row],[اصله مستقل]],Table134[[#This Row],[A_tree]])</f>
        <v>5.6</v>
      </c>
    </row>
    <row r="684" spans="2:16" ht="18.600000000000001" x14ac:dyDescent="0.3">
      <c r="B684" s="4" t="s">
        <v>977</v>
      </c>
      <c r="C684" s="4">
        <v>155</v>
      </c>
      <c r="D684" s="4">
        <v>155</v>
      </c>
      <c r="E684" s="4">
        <v>300</v>
      </c>
      <c r="F684" s="4">
        <v>300</v>
      </c>
      <c r="G684" s="2" t="s">
        <v>21</v>
      </c>
      <c r="H684" s="4">
        <v>9</v>
      </c>
      <c r="I684" s="4">
        <f>Table134[[#This Row],[اصله مستقل]]*Table134[[#This Row],[A_tree]]</f>
        <v>1395</v>
      </c>
      <c r="J684" s="4">
        <f>IF(Table134[[#This Row],[n * A_tree ]]&gt;Table134[[#This Row],[مساحت آدرس]],1,0)</f>
        <v>1</v>
      </c>
      <c r="K684" s="8">
        <f>IF(Table134[[#This Row],[check]]=1,1,Table134[[#This Row],[A_tree]]*Table134[[#This Row],[اصله مستقل]]/Table134[[#This Row],[مساحت آدرس]])</f>
        <v>1</v>
      </c>
      <c r="L684" s="14">
        <f>IF(Table134[[#This Row],[check]]=1,1,(Table134[[#This Row],[Psh]]+0.15*(1-Table134[[#This Row],[Psh]])))</f>
        <v>1</v>
      </c>
      <c r="M684" s="14">
        <f>IF(Table134[[#This Row],[check]]=1,0.65,1)</f>
        <v>0.65</v>
      </c>
      <c r="N684" s="4">
        <v>1</v>
      </c>
      <c r="O684" s="4">
        <f>IF(Table134[[#This Row],[check]]=1,Table134[[#This Row],[مساحت آدرس]]*Table134[[#This Row],[A0 Inc]],Table134[[#This Row],[A_tree]]*Table134[[#This Row],[اصله مستقل]])</f>
        <v>300</v>
      </c>
      <c r="P684" s="11">
        <f>IF(Table134[[#This Row],[check]]=1,Table134[[#This Row],[A0]]/Table134[[#This Row],[اصله مستقل]],Table134[[#This Row],[A_tree]])</f>
        <v>1.935483870967742</v>
      </c>
    </row>
    <row r="685" spans="2:16" ht="18.600000000000001" x14ac:dyDescent="0.3">
      <c r="B685" s="4" t="s">
        <v>978</v>
      </c>
      <c r="C685" s="4">
        <v>311</v>
      </c>
      <c r="D685" s="4">
        <v>311</v>
      </c>
      <c r="E685" s="4">
        <v>1300</v>
      </c>
      <c r="F685" s="4">
        <v>1300</v>
      </c>
      <c r="G685" s="2" t="s">
        <v>21</v>
      </c>
      <c r="H685" s="4">
        <v>9</v>
      </c>
      <c r="I685" s="4">
        <f>Table134[[#This Row],[اصله مستقل]]*Table134[[#This Row],[A_tree]]</f>
        <v>2799</v>
      </c>
      <c r="J685" s="4">
        <f>IF(Table134[[#This Row],[n * A_tree ]]&gt;Table134[[#This Row],[مساحت آدرس]],1,0)</f>
        <v>1</v>
      </c>
      <c r="K685" s="8">
        <f>IF(Table134[[#This Row],[check]]=1,1,Table134[[#This Row],[A_tree]]*Table134[[#This Row],[اصله مستقل]]/Table134[[#This Row],[مساحت آدرس]])</f>
        <v>1</v>
      </c>
      <c r="L685" s="14">
        <f>IF(Table134[[#This Row],[check]]=1,1,(Table134[[#This Row],[Psh]]+0.15*(1-Table134[[#This Row],[Psh]])))</f>
        <v>1</v>
      </c>
      <c r="M685" s="14">
        <f>IF(Table134[[#This Row],[check]]=1,0.65,1)</f>
        <v>0.65</v>
      </c>
      <c r="N685" s="4">
        <v>1</v>
      </c>
      <c r="O685" s="4">
        <f>IF(Table134[[#This Row],[check]]=1,Table134[[#This Row],[مساحت آدرس]]*Table134[[#This Row],[A0 Inc]],Table134[[#This Row],[A_tree]]*Table134[[#This Row],[اصله مستقل]])</f>
        <v>1300</v>
      </c>
      <c r="P685" s="11">
        <f>IF(Table134[[#This Row],[check]]=1,Table134[[#This Row],[A0]]/Table134[[#This Row],[اصله مستقل]],Table134[[#This Row],[A_tree]])</f>
        <v>4.180064308681672</v>
      </c>
    </row>
    <row r="686" spans="2:16" ht="18.600000000000001" x14ac:dyDescent="0.3">
      <c r="B686" s="4" t="s">
        <v>979</v>
      </c>
      <c r="C686" s="4">
        <v>174</v>
      </c>
      <c r="D686" s="4">
        <v>174</v>
      </c>
      <c r="E686" s="4">
        <v>950</v>
      </c>
      <c r="F686" s="4">
        <v>950</v>
      </c>
      <c r="G686" s="2" t="s">
        <v>21</v>
      </c>
      <c r="H686" s="4">
        <v>9</v>
      </c>
      <c r="I686" s="4">
        <f>Table134[[#This Row],[اصله مستقل]]*Table134[[#This Row],[A_tree]]</f>
        <v>1566</v>
      </c>
      <c r="J686" s="4">
        <f>IF(Table134[[#This Row],[n * A_tree ]]&gt;Table134[[#This Row],[مساحت آدرس]],1,0)</f>
        <v>1</v>
      </c>
      <c r="K686" s="8">
        <f>IF(Table134[[#This Row],[check]]=1,1,Table134[[#This Row],[A_tree]]*Table134[[#This Row],[اصله مستقل]]/Table134[[#This Row],[مساحت آدرس]])</f>
        <v>1</v>
      </c>
      <c r="L686" s="14">
        <f>IF(Table134[[#This Row],[check]]=1,1,(Table134[[#This Row],[Psh]]+0.15*(1-Table134[[#This Row],[Psh]])))</f>
        <v>1</v>
      </c>
      <c r="M686" s="14">
        <f>IF(Table134[[#This Row],[check]]=1,0.65,1)</f>
        <v>0.65</v>
      </c>
      <c r="N686" s="4">
        <v>1</v>
      </c>
      <c r="O686" s="4">
        <f>IF(Table134[[#This Row],[check]]=1,Table134[[#This Row],[مساحت آدرس]]*Table134[[#This Row],[A0 Inc]],Table134[[#This Row],[A_tree]]*Table134[[#This Row],[اصله مستقل]])</f>
        <v>950</v>
      </c>
      <c r="P686" s="11">
        <f>IF(Table134[[#This Row],[check]]=1,Table134[[#This Row],[A0]]/Table134[[#This Row],[اصله مستقل]],Table134[[#This Row],[A_tree]])</f>
        <v>5.4597701149425291</v>
      </c>
    </row>
    <row r="687" spans="2:16" ht="18.600000000000001" x14ac:dyDescent="0.3">
      <c r="B687" s="4" t="s">
        <v>986</v>
      </c>
      <c r="C687" s="4">
        <v>990</v>
      </c>
      <c r="D687" s="4">
        <v>990</v>
      </c>
      <c r="E687" s="4">
        <v>8424</v>
      </c>
      <c r="F687" s="4">
        <v>11946</v>
      </c>
      <c r="G687" s="2" t="s">
        <v>3</v>
      </c>
      <c r="H687" s="4">
        <v>9</v>
      </c>
      <c r="I687" s="4">
        <f>Table134[[#This Row],[اصله مستقل]]*Table134[[#This Row],[A_tree]]</f>
        <v>8910</v>
      </c>
      <c r="J687" s="4">
        <f>IF(Table134[[#This Row],[n * A_tree ]]&gt;Table134[[#This Row],[مساحت آدرس]],1,0)</f>
        <v>0</v>
      </c>
      <c r="K687" s="8">
        <f>IF(Table134[[#This Row],[check]]=1,1,Table134[[#This Row],[A_tree]]*Table134[[#This Row],[اصله مستقل]]/Table134[[#This Row],[مساحت آدرس]])</f>
        <v>0.7458563535911602</v>
      </c>
      <c r="L687" s="14">
        <f>IF(Table134[[#This Row],[check]]=1,1,(Table134[[#This Row],[Psh]]+0.15*(1-Table134[[#This Row],[Psh]])))</f>
        <v>0.78397790055248617</v>
      </c>
      <c r="M687" s="14">
        <f>IF(Table134[[#This Row],[check]]=1,0.65,1)</f>
        <v>1</v>
      </c>
      <c r="N687" s="4">
        <v>1</v>
      </c>
      <c r="O687" s="4">
        <f>IF(Table134[[#This Row],[check]]=1,Table134[[#This Row],[مساحت آدرس]]*Table134[[#This Row],[A0 Inc]],Table134[[#This Row],[A_tree]]*Table134[[#This Row],[اصله مستقل]])</f>
        <v>8910</v>
      </c>
      <c r="P687" s="11">
        <f>IF(Table134[[#This Row],[check]]=1,Table134[[#This Row],[A0]]/Table134[[#This Row],[اصله مستقل]],Table134[[#This Row],[A_tree]])</f>
        <v>9</v>
      </c>
    </row>
    <row r="688" spans="2:16" ht="18.600000000000001" x14ac:dyDescent="0.3">
      <c r="B688" s="4" t="s">
        <v>987</v>
      </c>
      <c r="C688" s="4">
        <v>192</v>
      </c>
      <c r="D688" s="4">
        <v>192</v>
      </c>
      <c r="E688" s="4">
        <v>550</v>
      </c>
      <c r="F688" s="4">
        <v>7690</v>
      </c>
      <c r="G688" s="2" t="s">
        <v>3</v>
      </c>
      <c r="H688" s="4">
        <v>9</v>
      </c>
      <c r="I688" s="4">
        <f>Table134[[#This Row],[اصله مستقل]]*Table134[[#This Row],[A_tree]]</f>
        <v>1728</v>
      </c>
      <c r="J688" s="4">
        <f>IF(Table134[[#This Row],[n * A_tree ]]&gt;Table134[[#This Row],[مساحت آدرس]],1,0)</f>
        <v>0</v>
      </c>
      <c r="K688" s="8">
        <f>IF(Table134[[#This Row],[check]]=1,1,Table134[[#This Row],[A_tree]]*Table134[[#This Row],[اصله مستقل]]/Table134[[#This Row],[مساحت آدرس]])</f>
        <v>0.22470741222366711</v>
      </c>
      <c r="L688" s="14">
        <f>IF(Table134[[#This Row],[check]]=1,1,(Table134[[#This Row],[Psh]]+0.15*(1-Table134[[#This Row],[Psh]])))</f>
        <v>0.34100130039011706</v>
      </c>
      <c r="M688" s="14">
        <f>IF(Table134[[#This Row],[check]]=1,0.65,1)</f>
        <v>1</v>
      </c>
      <c r="N688" s="4">
        <v>1</v>
      </c>
      <c r="O688" s="4">
        <f>IF(Table134[[#This Row],[check]]=1,Table134[[#This Row],[مساحت آدرس]]*Table134[[#This Row],[A0 Inc]],Table134[[#This Row],[A_tree]]*Table134[[#This Row],[اصله مستقل]])</f>
        <v>1728</v>
      </c>
      <c r="P688" s="11">
        <f>IF(Table134[[#This Row],[check]]=1,Table134[[#This Row],[A0]]/Table134[[#This Row],[اصله مستقل]],Table134[[#This Row],[A_tree]])</f>
        <v>9</v>
      </c>
    </row>
    <row r="689" spans="2:16" ht="18.600000000000001" x14ac:dyDescent="0.3">
      <c r="B689" s="4" t="s">
        <v>1003</v>
      </c>
      <c r="C689" s="4">
        <v>447</v>
      </c>
      <c r="D689" s="4">
        <v>410</v>
      </c>
      <c r="E689" s="4">
        <v>3128</v>
      </c>
      <c r="F689" s="4">
        <v>3593</v>
      </c>
      <c r="G689" s="2" t="s">
        <v>21</v>
      </c>
      <c r="H689" s="4">
        <v>9</v>
      </c>
      <c r="I689" s="4">
        <f>Table134[[#This Row],[اصله مستقل]]*Table134[[#This Row],[A_tree]]</f>
        <v>3690</v>
      </c>
      <c r="J689" s="4">
        <f>IF(Table134[[#This Row],[n * A_tree ]]&gt;Table134[[#This Row],[مساحت آدرس]],1,0)</f>
        <v>1</v>
      </c>
      <c r="K689" s="8">
        <f>IF(Table134[[#This Row],[check]]=1,1,Table134[[#This Row],[A_tree]]*Table134[[#This Row],[اصله مستقل]]/Table134[[#This Row],[مساحت آدرس]])</f>
        <v>1</v>
      </c>
      <c r="L689" s="14">
        <f>IF(Table134[[#This Row],[check]]=1,1,(Table134[[#This Row],[Psh]]+0.15*(1-Table134[[#This Row],[Psh]])))</f>
        <v>1</v>
      </c>
      <c r="M689" s="14">
        <f>IF(Table134[[#This Row],[check]]=1,0.65,1)</f>
        <v>0.65</v>
      </c>
      <c r="N689" s="4">
        <v>1</v>
      </c>
      <c r="O689" s="4">
        <f>IF(Table134[[#This Row],[check]]=1,Table134[[#This Row],[مساحت آدرس]]*Table134[[#This Row],[A0 Inc]],Table134[[#This Row],[A_tree]]*Table134[[#This Row],[اصله مستقل]])</f>
        <v>3593</v>
      </c>
      <c r="P689" s="11">
        <f>IF(Table134[[#This Row],[check]]=1,Table134[[#This Row],[A0]]/Table134[[#This Row],[اصله مستقل]],Table134[[#This Row],[A_tree]])</f>
        <v>8.7634146341463417</v>
      </c>
    </row>
    <row r="690" spans="2:16" ht="18.600000000000001" x14ac:dyDescent="0.3">
      <c r="B690" s="4" t="s">
        <v>1004</v>
      </c>
      <c r="C690" s="4">
        <v>422</v>
      </c>
      <c r="D690" s="4">
        <v>422</v>
      </c>
      <c r="E690" s="4">
        <v>445</v>
      </c>
      <c r="F690" s="4">
        <v>625</v>
      </c>
      <c r="G690" s="2" t="s">
        <v>21</v>
      </c>
      <c r="H690" s="4">
        <v>9</v>
      </c>
      <c r="I690" s="4">
        <f>Table134[[#This Row],[اصله مستقل]]*Table134[[#This Row],[A_tree]]</f>
        <v>3798</v>
      </c>
      <c r="J690" s="4">
        <f>IF(Table134[[#This Row],[n * A_tree ]]&gt;Table134[[#This Row],[مساحت آدرس]],1,0)</f>
        <v>1</v>
      </c>
      <c r="K690" s="8">
        <f>IF(Table134[[#This Row],[check]]=1,1,Table134[[#This Row],[A_tree]]*Table134[[#This Row],[اصله مستقل]]/Table134[[#This Row],[مساحت آدرس]])</f>
        <v>1</v>
      </c>
      <c r="L690" s="14">
        <f>IF(Table134[[#This Row],[check]]=1,1,(Table134[[#This Row],[Psh]]+0.15*(1-Table134[[#This Row],[Psh]])))</f>
        <v>1</v>
      </c>
      <c r="M690" s="14">
        <f>IF(Table134[[#This Row],[check]]=1,0.65,1)</f>
        <v>0.65</v>
      </c>
      <c r="N690" s="4">
        <v>1</v>
      </c>
      <c r="O690" s="4">
        <f>IF(Table134[[#This Row],[check]]=1,Table134[[#This Row],[مساحت آدرس]]*Table134[[#This Row],[A0 Inc]],Table134[[#This Row],[A_tree]]*Table134[[#This Row],[اصله مستقل]])</f>
        <v>625</v>
      </c>
      <c r="P690" s="11">
        <f>IF(Table134[[#This Row],[check]]=1,Table134[[#This Row],[A0]]/Table134[[#This Row],[اصله مستقل]],Table134[[#This Row],[A_tree]])</f>
        <v>1.481042654028436</v>
      </c>
    </row>
    <row r="691" spans="2:16" ht="18.600000000000001" x14ac:dyDescent="0.3">
      <c r="B691" s="4" t="s">
        <v>1005</v>
      </c>
      <c r="C691" s="4">
        <v>374</v>
      </c>
      <c r="D691" s="4">
        <v>297</v>
      </c>
      <c r="E691" s="4">
        <v>3040</v>
      </c>
      <c r="F691" s="4">
        <v>3040</v>
      </c>
      <c r="G691" s="2" t="s">
        <v>21</v>
      </c>
      <c r="H691" s="4">
        <v>9</v>
      </c>
      <c r="I691" s="4">
        <f>Table134[[#This Row],[اصله مستقل]]*Table134[[#This Row],[A_tree]]</f>
        <v>2673</v>
      </c>
      <c r="J691" s="4">
        <f>IF(Table134[[#This Row],[n * A_tree ]]&gt;Table134[[#This Row],[مساحت آدرس]],1,0)</f>
        <v>0</v>
      </c>
      <c r="K691" s="8">
        <f>IF(Table134[[#This Row],[check]]=1,1,Table134[[#This Row],[A_tree]]*Table134[[#This Row],[اصله مستقل]]/Table134[[#This Row],[مساحت آدرس]])</f>
        <v>0.87927631578947374</v>
      </c>
      <c r="L691" s="14">
        <f>IF(Table134[[#This Row],[check]]=1,1,(Table134[[#This Row],[Psh]]+0.15*(1-Table134[[#This Row],[Psh]])))</f>
        <v>0.89738486842105269</v>
      </c>
      <c r="M691" s="14">
        <f>IF(Table134[[#This Row],[check]]=1,0.65,1)</f>
        <v>1</v>
      </c>
      <c r="N691" s="4">
        <v>1</v>
      </c>
      <c r="O691" s="4">
        <f>IF(Table134[[#This Row],[check]]=1,Table134[[#This Row],[مساحت آدرس]]*Table134[[#This Row],[A0 Inc]],Table134[[#This Row],[A_tree]]*Table134[[#This Row],[اصله مستقل]])</f>
        <v>2673</v>
      </c>
      <c r="P691" s="11">
        <f>IF(Table134[[#This Row],[check]]=1,Table134[[#This Row],[A0]]/Table134[[#This Row],[اصله مستقل]],Table134[[#This Row],[A_tree]])</f>
        <v>9</v>
      </c>
    </row>
    <row r="692" spans="2:16" ht="18.600000000000001" x14ac:dyDescent="0.3">
      <c r="B692" s="4" t="s">
        <v>1006</v>
      </c>
      <c r="C692" s="4">
        <v>213</v>
      </c>
      <c r="D692" s="4">
        <v>230</v>
      </c>
      <c r="E692" s="4">
        <v>920</v>
      </c>
      <c r="F692" s="4">
        <v>4692</v>
      </c>
      <c r="G692" s="2" t="s">
        <v>3</v>
      </c>
      <c r="H692" s="4">
        <v>9</v>
      </c>
      <c r="I692" s="4">
        <f>Table134[[#This Row],[اصله مستقل]]*Table134[[#This Row],[A_tree]]</f>
        <v>2070</v>
      </c>
      <c r="J692" s="4">
        <f>IF(Table134[[#This Row],[n * A_tree ]]&gt;Table134[[#This Row],[مساحت آدرس]],1,0)</f>
        <v>0</v>
      </c>
      <c r="K692" s="8">
        <f>IF(Table134[[#This Row],[check]]=1,1,Table134[[#This Row],[A_tree]]*Table134[[#This Row],[اصله مستقل]]/Table134[[#This Row],[مساحت آدرس]])</f>
        <v>0.44117647058823528</v>
      </c>
      <c r="L692" s="14">
        <f>IF(Table134[[#This Row],[check]]=1,1,(Table134[[#This Row],[Psh]]+0.15*(1-Table134[[#This Row],[Psh]])))</f>
        <v>0.52500000000000002</v>
      </c>
      <c r="M692" s="14">
        <f>IF(Table134[[#This Row],[check]]=1,0.65,1)</f>
        <v>1</v>
      </c>
      <c r="N692" s="4">
        <v>1</v>
      </c>
      <c r="O692" s="4">
        <f>IF(Table134[[#This Row],[check]]=1,Table134[[#This Row],[مساحت آدرس]]*Table134[[#This Row],[A0 Inc]],Table134[[#This Row],[A_tree]]*Table134[[#This Row],[اصله مستقل]])</f>
        <v>2070</v>
      </c>
      <c r="P692" s="11">
        <f>IF(Table134[[#This Row],[check]]=1,Table134[[#This Row],[A0]]/Table134[[#This Row],[اصله مستقل]],Table134[[#This Row],[A_tree]])</f>
        <v>9</v>
      </c>
    </row>
    <row r="693" spans="2:16" ht="18.600000000000001" x14ac:dyDescent="0.3">
      <c r="B693" s="4" t="s">
        <v>1007</v>
      </c>
      <c r="C693" s="4">
        <v>247</v>
      </c>
      <c r="D693" s="4">
        <v>247</v>
      </c>
      <c r="E693" s="4">
        <v>1474</v>
      </c>
      <c r="F693" s="4">
        <v>7824</v>
      </c>
      <c r="G693" s="2" t="s">
        <v>3</v>
      </c>
      <c r="H693" s="4">
        <v>9</v>
      </c>
      <c r="I693" s="4">
        <f>Table134[[#This Row],[اصله مستقل]]*Table134[[#This Row],[A_tree]]</f>
        <v>2223</v>
      </c>
      <c r="J693" s="4">
        <f>IF(Table134[[#This Row],[n * A_tree ]]&gt;Table134[[#This Row],[مساحت آدرس]],1,0)</f>
        <v>0</v>
      </c>
      <c r="K693" s="8">
        <f>IF(Table134[[#This Row],[check]]=1,1,Table134[[#This Row],[A_tree]]*Table134[[#This Row],[اصله مستقل]]/Table134[[#This Row],[مساحت آدرس]])</f>
        <v>0.28412576687116564</v>
      </c>
      <c r="L693" s="14">
        <f>IF(Table134[[#This Row],[check]]=1,1,(Table134[[#This Row],[Psh]]+0.15*(1-Table134[[#This Row],[Psh]])))</f>
        <v>0.39150690184049081</v>
      </c>
      <c r="M693" s="14">
        <f>IF(Table134[[#This Row],[check]]=1,0.65,1)</f>
        <v>1</v>
      </c>
      <c r="N693" s="4">
        <v>1</v>
      </c>
      <c r="O693" s="4">
        <f>IF(Table134[[#This Row],[check]]=1,Table134[[#This Row],[مساحت آدرس]]*Table134[[#This Row],[A0 Inc]],Table134[[#This Row],[A_tree]]*Table134[[#This Row],[اصله مستقل]])</f>
        <v>2223</v>
      </c>
      <c r="P693" s="11">
        <f>IF(Table134[[#This Row],[check]]=1,Table134[[#This Row],[A0]]/Table134[[#This Row],[اصله مستقل]],Table134[[#This Row],[A_tree]])</f>
        <v>9</v>
      </c>
    </row>
    <row r="694" spans="2:16" ht="18.600000000000001" x14ac:dyDescent="0.3">
      <c r="B694" s="4" t="s">
        <v>1008</v>
      </c>
      <c r="C694" s="4">
        <v>187</v>
      </c>
      <c r="D694" s="4">
        <v>187</v>
      </c>
      <c r="E694" s="4">
        <v>1240</v>
      </c>
      <c r="F694" s="4">
        <v>1240</v>
      </c>
      <c r="G694" s="2" t="s">
        <v>3</v>
      </c>
      <c r="H694" s="4">
        <v>9</v>
      </c>
      <c r="I694" s="4">
        <f>Table134[[#This Row],[اصله مستقل]]*Table134[[#This Row],[A_tree]]</f>
        <v>1683</v>
      </c>
      <c r="J694" s="4">
        <f>IF(Table134[[#This Row],[n * A_tree ]]&gt;Table134[[#This Row],[مساحت آدرس]],1,0)</f>
        <v>1</v>
      </c>
      <c r="K694" s="8">
        <f>IF(Table134[[#This Row],[check]]=1,1,Table134[[#This Row],[A_tree]]*Table134[[#This Row],[اصله مستقل]]/Table134[[#This Row],[مساحت آدرس]])</f>
        <v>1</v>
      </c>
      <c r="L694" s="14">
        <f>IF(Table134[[#This Row],[check]]=1,1,(Table134[[#This Row],[Psh]]+0.15*(1-Table134[[#This Row],[Psh]])))</f>
        <v>1</v>
      </c>
      <c r="M694" s="14">
        <f>IF(Table134[[#This Row],[check]]=1,0.65,1)</f>
        <v>0.65</v>
      </c>
      <c r="N694" s="4">
        <v>1</v>
      </c>
      <c r="O694" s="4">
        <f>IF(Table134[[#This Row],[check]]=1,Table134[[#This Row],[مساحت آدرس]]*Table134[[#This Row],[A0 Inc]],Table134[[#This Row],[A_tree]]*Table134[[#This Row],[اصله مستقل]])</f>
        <v>1240</v>
      </c>
      <c r="P694" s="11">
        <f>IF(Table134[[#This Row],[check]]=1,Table134[[#This Row],[A0]]/Table134[[#This Row],[اصله مستقل]],Table134[[#This Row],[A_tree]])</f>
        <v>6.6310160427807485</v>
      </c>
    </row>
    <row r="695" spans="2:16" ht="18.600000000000001" x14ac:dyDescent="0.3">
      <c r="B695" s="4" t="s">
        <v>1009</v>
      </c>
      <c r="C695" s="4">
        <v>279</v>
      </c>
      <c r="D695" s="4">
        <v>279</v>
      </c>
      <c r="E695" s="4">
        <v>565</v>
      </c>
      <c r="F695" s="4">
        <v>649</v>
      </c>
      <c r="G695" s="2" t="s">
        <v>21</v>
      </c>
      <c r="H695" s="4">
        <v>9</v>
      </c>
      <c r="I695" s="4">
        <f>Table134[[#This Row],[اصله مستقل]]*Table134[[#This Row],[A_tree]]</f>
        <v>2511</v>
      </c>
      <c r="J695" s="4">
        <f>IF(Table134[[#This Row],[n * A_tree ]]&gt;Table134[[#This Row],[مساحت آدرس]],1,0)</f>
        <v>1</v>
      </c>
      <c r="K695" s="8">
        <f>IF(Table134[[#This Row],[check]]=1,1,Table134[[#This Row],[A_tree]]*Table134[[#This Row],[اصله مستقل]]/Table134[[#This Row],[مساحت آدرس]])</f>
        <v>1</v>
      </c>
      <c r="L695" s="14">
        <f>IF(Table134[[#This Row],[check]]=1,1,(Table134[[#This Row],[Psh]]+0.15*(1-Table134[[#This Row],[Psh]])))</f>
        <v>1</v>
      </c>
      <c r="M695" s="14">
        <f>IF(Table134[[#This Row],[check]]=1,0.65,1)</f>
        <v>0.65</v>
      </c>
      <c r="N695" s="4">
        <v>1</v>
      </c>
      <c r="O695" s="4">
        <f>IF(Table134[[#This Row],[check]]=1,Table134[[#This Row],[مساحت آدرس]]*Table134[[#This Row],[A0 Inc]],Table134[[#This Row],[A_tree]]*Table134[[#This Row],[اصله مستقل]])</f>
        <v>649</v>
      </c>
      <c r="P695" s="11">
        <f>IF(Table134[[#This Row],[check]]=1,Table134[[#This Row],[A0]]/Table134[[#This Row],[اصله مستقل]],Table134[[#This Row],[A_tree]])</f>
        <v>2.3261648745519712</v>
      </c>
    </row>
    <row r="696" spans="2:16" ht="18.600000000000001" x14ac:dyDescent="0.3">
      <c r="B696" s="4" t="s">
        <v>1010</v>
      </c>
      <c r="C696" s="4">
        <v>687</v>
      </c>
      <c r="D696" s="4">
        <v>191</v>
      </c>
      <c r="E696" s="4">
        <v>535</v>
      </c>
      <c r="F696" s="4">
        <v>3285</v>
      </c>
      <c r="G696" s="2" t="s">
        <v>21</v>
      </c>
      <c r="H696" s="4">
        <v>9</v>
      </c>
      <c r="I696" s="4">
        <f>Table134[[#This Row],[اصله مستقل]]*Table134[[#This Row],[A_tree]]</f>
        <v>1719</v>
      </c>
      <c r="J696" s="4">
        <f>IF(Table134[[#This Row],[n * A_tree ]]&gt;Table134[[#This Row],[مساحت آدرس]],1,0)</f>
        <v>0</v>
      </c>
      <c r="K696" s="8">
        <f>IF(Table134[[#This Row],[check]]=1,1,Table134[[#This Row],[A_tree]]*Table134[[#This Row],[اصله مستقل]]/Table134[[#This Row],[مساحت آدرس]])</f>
        <v>0.52328767123287667</v>
      </c>
      <c r="L696" s="14">
        <f>IF(Table134[[#This Row],[check]]=1,1,(Table134[[#This Row],[Psh]]+0.15*(1-Table134[[#This Row],[Psh]])))</f>
        <v>0.59479452054794513</v>
      </c>
      <c r="M696" s="14">
        <f>IF(Table134[[#This Row],[check]]=1,0.65,1)</f>
        <v>1</v>
      </c>
      <c r="N696" s="4">
        <v>1</v>
      </c>
      <c r="O696" s="4">
        <f>IF(Table134[[#This Row],[check]]=1,Table134[[#This Row],[مساحت آدرس]]*Table134[[#This Row],[A0 Inc]],Table134[[#This Row],[A_tree]]*Table134[[#This Row],[اصله مستقل]])</f>
        <v>1719</v>
      </c>
      <c r="P696" s="11">
        <f>IF(Table134[[#This Row],[check]]=1,Table134[[#This Row],[A0]]/Table134[[#This Row],[اصله مستقل]],Table134[[#This Row],[A_tree]])</f>
        <v>9</v>
      </c>
    </row>
    <row r="697" spans="2:16" ht="18.600000000000001" x14ac:dyDescent="0.3">
      <c r="B697" s="4" t="s">
        <v>1011</v>
      </c>
      <c r="C697" s="4">
        <v>1177</v>
      </c>
      <c r="D697" s="4">
        <v>1204</v>
      </c>
      <c r="E697" s="4">
        <v>3120</v>
      </c>
      <c r="F697" s="4">
        <v>6559</v>
      </c>
      <c r="G697" s="2" t="s">
        <v>21</v>
      </c>
      <c r="H697" s="4">
        <v>9</v>
      </c>
      <c r="I697" s="4">
        <f>Table134[[#This Row],[اصله مستقل]]*Table134[[#This Row],[A_tree]]</f>
        <v>10836</v>
      </c>
      <c r="J697" s="4">
        <f>IF(Table134[[#This Row],[n * A_tree ]]&gt;Table134[[#This Row],[مساحت آدرس]],1,0)</f>
        <v>1</v>
      </c>
      <c r="K697" s="8">
        <f>IF(Table134[[#This Row],[check]]=1,1,Table134[[#This Row],[A_tree]]*Table134[[#This Row],[اصله مستقل]]/Table134[[#This Row],[مساحت آدرس]])</f>
        <v>1</v>
      </c>
      <c r="L697" s="14">
        <f>IF(Table134[[#This Row],[check]]=1,1,(Table134[[#This Row],[Psh]]+0.15*(1-Table134[[#This Row],[Psh]])))</f>
        <v>1</v>
      </c>
      <c r="M697" s="14">
        <f>IF(Table134[[#This Row],[check]]=1,0.65,1)</f>
        <v>0.65</v>
      </c>
      <c r="N697" s="4">
        <v>1</v>
      </c>
      <c r="O697" s="4">
        <f>IF(Table134[[#This Row],[check]]=1,Table134[[#This Row],[مساحت آدرس]]*Table134[[#This Row],[A0 Inc]],Table134[[#This Row],[A_tree]]*Table134[[#This Row],[اصله مستقل]])</f>
        <v>6559</v>
      </c>
      <c r="P697" s="11">
        <f>IF(Table134[[#This Row],[check]]=1,Table134[[#This Row],[A0]]/Table134[[#This Row],[اصله مستقل]],Table134[[#This Row],[A_tree]])</f>
        <v>5.4476744186046515</v>
      </c>
    </row>
    <row r="698" spans="2:16" ht="18.600000000000001" x14ac:dyDescent="0.3">
      <c r="B698" s="4" t="s">
        <v>1012</v>
      </c>
      <c r="C698" s="4">
        <v>1778</v>
      </c>
      <c r="D698" s="4">
        <v>763</v>
      </c>
      <c r="E698" s="4">
        <v>2366</v>
      </c>
      <c r="F698" s="4">
        <v>8095</v>
      </c>
      <c r="G698" s="2" t="s">
        <v>21</v>
      </c>
      <c r="H698" s="4">
        <v>9</v>
      </c>
      <c r="I698" s="4">
        <f>Table134[[#This Row],[اصله مستقل]]*Table134[[#This Row],[A_tree]]</f>
        <v>6867</v>
      </c>
      <c r="J698" s="4">
        <f>IF(Table134[[#This Row],[n * A_tree ]]&gt;Table134[[#This Row],[مساحت آدرس]],1,0)</f>
        <v>0</v>
      </c>
      <c r="K698" s="8">
        <f>IF(Table134[[#This Row],[check]]=1,1,Table134[[#This Row],[A_tree]]*Table134[[#This Row],[اصله مستقل]]/Table134[[#This Row],[مساحت آدرس]])</f>
        <v>0.84830142063001857</v>
      </c>
      <c r="L698" s="14">
        <f>IF(Table134[[#This Row],[check]]=1,1,(Table134[[#This Row],[Psh]]+0.15*(1-Table134[[#This Row],[Psh]])))</f>
        <v>0.87105620753551583</v>
      </c>
      <c r="M698" s="14">
        <f>IF(Table134[[#This Row],[check]]=1,0.65,1)</f>
        <v>1</v>
      </c>
      <c r="N698" s="4">
        <v>1</v>
      </c>
      <c r="O698" s="4">
        <f>IF(Table134[[#This Row],[check]]=1,Table134[[#This Row],[مساحت آدرس]]*Table134[[#This Row],[A0 Inc]],Table134[[#This Row],[A_tree]]*Table134[[#This Row],[اصله مستقل]])</f>
        <v>6867</v>
      </c>
      <c r="P698" s="11">
        <f>IF(Table134[[#This Row],[check]]=1,Table134[[#This Row],[A0]]/Table134[[#This Row],[اصله مستقل]],Table134[[#This Row],[A_tree]])</f>
        <v>9</v>
      </c>
    </row>
    <row r="699" spans="2:16" ht="18.600000000000001" x14ac:dyDescent="0.3">
      <c r="B699" s="4" t="s">
        <v>1013</v>
      </c>
      <c r="C699" s="4">
        <v>277</v>
      </c>
      <c r="D699" s="4">
        <v>277</v>
      </c>
      <c r="E699" s="4">
        <v>1599</v>
      </c>
      <c r="F699" s="4">
        <v>1807</v>
      </c>
      <c r="G699" s="2" t="s">
        <v>21</v>
      </c>
      <c r="H699" s="4">
        <v>9</v>
      </c>
      <c r="I699" s="4">
        <f>Table134[[#This Row],[اصله مستقل]]*Table134[[#This Row],[A_tree]]</f>
        <v>2493</v>
      </c>
      <c r="J699" s="4">
        <f>IF(Table134[[#This Row],[n * A_tree ]]&gt;Table134[[#This Row],[مساحت آدرس]],1,0)</f>
        <v>1</v>
      </c>
      <c r="K699" s="8">
        <f>IF(Table134[[#This Row],[check]]=1,1,Table134[[#This Row],[A_tree]]*Table134[[#This Row],[اصله مستقل]]/Table134[[#This Row],[مساحت آدرس]])</f>
        <v>1</v>
      </c>
      <c r="L699" s="14">
        <f>IF(Table134[[#This Row],[check]]=1,1,(Table134[[#This Row],[Psh]]+0.15*(1-Table134[[#This Row],[Psh]])))</f>
        <v>1</v>
      </c>
      <c r="M699" s="14">
        <f>IF(Table134[[#This Row],[check]]=1,0.65,1)</f>
        <v>0.65</v>
      </c>
      <c r="N699" s="4">
        <v>1</v>
      </c>
      <c r="O699" s="4">
        <f>IF(Table134[[#This Row],[check]]=1,Table134[[#This Row],[مساحت آدرس]]*Table134[[#This Row],[A0 Inc]],Table134[[#This Row],[A_tree]]*Table134[[#This Row],[اصله مستقل]])</f>
        <v>1807</v>
      </c>
      <c r="P699" s="11">
        <f>IF(Table134[[#This Row],[check]]=1,Table134[[#This Row],[A0]]/Table134[[#This Row],[اصله مستقل]],Table134[[#This Row],[A_tree]])</f>
        <v>6.5234657039711195</v>
      </c>
    </row>
    <row r="700" spans="2:16" ht="18.600000000000001" x14ac:dyDescent="0.3">
      <c r="B700" s="4" t="s">
        <v>1014</v>
      </c>
      <c r="C700" s="4">
        <v>1371</v>
      </c>
      <c r="D700" s="4">
        <v>610</v>
      </c>
      <c r="E700" s="4">
        <v>2244</v>
      </c>
      <c r="F700" s="4">
        <v>8303</v>
      </c>
      <c r="G700" s="2" t="s">
        <v>21</v>
      </c>
      <c r="H700" s="4">
        <v>9</v>
      </c>
      <c r="I700" s="4">
        <f>Table134[[#This Row],[اصله مستقل]]*Table134[[#This Row],[A_tree]]</f>
        <v>5490</v>
      </c>
      <c r="J700" s="4">
        <f>IF(Table134[[#This Row],[n * A_tree ]]&gt;Table134[[#This Row],[مساحت آدرس]],1,0)</f>
        <v>0</v>
      </c>
      <c r="K700" s="8">
        <f>IF(Table134[[#This Row],[check]]=1,1,Table134[[#This Row],[A_tree]]*Table134[[#This Row],[اصله مستقل]]/Table134[[#This Row],[مساحت آدرس]])</f>
        <v>0.66120679272552085</v>
      </c>
      <c r="L700" s="14">
        <f>IF(Table134[[#This Row],[check]]=1,1,(Table134[[#This Row],[Psh]]+0.15*(1-Table134[[#This Row],[Psh]])))</f>
        <v>0.71202577381669274</v>
      </c>
      <c r="M700" s="14">
        <f>IF(Table134[[#This Row],[check]]=1,0.65,1)</f>
        <v>1</v>
      </c>
      <c r="N700" s="4">
        <v>1</v>
      </c>
      <c r="O700" s="4">
        <f>IF(Table134[[#This Row],[check]]=1,Table134[[#This Row],[مساحت آدرس]]*Table134[[#This Row],[A0 Inc]],Table134[[#This Row],[A_tree]]*Table134[[#This Row],[اصله مستقل]])</f>
        <v>5490</v>
      </c>
      <c r="P700" s="11">
        <f>IF(Table134[[#This Row],[check]]=1,Table134[[#This Row],[A0]]/Table134[[#This Row],[اصله مستقل]],Table134[[#This Row],[A_tree]])</f>
        <v>9</v>
      </c>
    </row>
    <row r="701" spans="2:16" ht="18.600000000000001" x14ac:dyDescent="0.3">
      <c r="B701" s="4" t="s">
        <v>1015</v>
      </c>
      <c r="C701" s="4">
        <v>857</v>
      </c>
      <c r="D701" s="4">
        <v>399</v>
      </c>
      <c r="E701" s="4">
        <v>877</v>
      </c>
      <c r="F701" s="4">
        <v>4591</v>
      </c>
      <c r="G701" s="2" t="s">
        <v>21</v>
      </c>
      <c r="H701" s="4">
        <v>9</v>
      </c>
      <c r="I701" s="4">
        <f>Table134[[#This Row],[اصله مستقل]]*Table134[[#This Row],[A_tree]]</f>
        <v>3591</v>
      </c>
      <c r="J701" s="4">
        <f>IF(Table134[[#This Row],[n * A_tree ]]&gt;Table134[[#This Row],[مساحت آدرس]],1,0)</f>
        <v>0</v>
      </c>
      <c r="K701" s="8">
        <f>IF(Table134[[#This Row],[check]]=1,1,Table134[[#This Row],[A_tree]]*Table134[[#This Row],[اصله مستقل]]/Table134[[#This Row],[مساحت آدرس]])</f>
        <v>0.78218253103898938</v>
      </c>
      <c r="L701" s="14">
        <f>IF(Table134[[#This Row],[check]]=1,1,(Table134[[#This Row],[Psh]]+0.15*(1-Table134[[#This Row],[Psh]])))</f>
        <v>0.81485515138314102</v>
      </c>
      <c r="M701" s="14">
        <f>IF(Table134[[#This Row],[check]]=1,0.65,1)</f>
        <v>1</v>
      </c>
      <c r="N701" s="4">
        <v>1</v>
      </c>
      <c r="O701" s="4">
        <f>IF(Table134[[#This Row],[check]]=1,Table134[[#This Row],[مساحت آدرس]]*Table134[[#This Row],[A0 Inc]],Table134[[#This Row],[A_tree]]*Table134[[#This Row],[اصله مستقل]])</f>
        <v>3591</v>
      </c>
      <c r="P701" s="11">
        <f>IF(Table134[[#This Row],[check]]=1,Table134[[#This Row],[A0]]/Table134[[#This Row],[اصله مستقل]],Table134[[#This Row],[A_tree]])</f>
        <v>9</v>
      </c>
    </row>
    <row r="702" spans="2:16" ht="18.600000000000001" x14ac:dyDescent="0.3">
      <c r="B702" s="4" t="s">
        <v>1027</v>
      </c>
      <c r="C702" s="4">
        <v>308</v>
      </c>
      <c r="D702" s="4">
        <v>150</v>
      </c>
      <c r="E702" s="4">
        <v>610</v>
      </c>
      <c r="F702" s="4">
        <v>875</v>
      </c>
      <c r="G702" s="2" t="s">
        <v>21</v>
      </c>
      <c r="H702" s="4">
        <v>9</v>
      </c>
      <c r="I702" s="4">
        <f>Table134[[#This Row],[اصله مستقل]]*Table134[[#This Row],[A_tree]]</f>
        <v>1350</v>
      </c>
      <c r="J702" s="4">
        <f>IF(Table134[[#This Row],[n * A_tree ]]&gt;Table134[[#This Row],[مساحت آدرس]],1,0)</f>
        <v>1</v>
      </c>
      <c r="K702" s="8">
        <f>IF(Table134[[#This Row],[check]]=1,1,Table134[[#This Row],[A_tree]]*Table134[[#This Row],[اصله مستقل]]/Table134[[#This Row],[مساحت آدرس]])</f>
        <v>1</v>
      </c>
      <c r="L702" s="14">
        <f>IF(Table134[[#This Row],[check]]=1,1,(Table134[[#This Row],[Psh]]+0.15*(1-Table134[[#This Row],[Psh]])))</f>
        <v>1</v>
      </c>
      <c r="M702" s="14">
        <f>IF(Table134[[#This Row],[check]]=1,0.65,1)</f>
        <v>0.65</v>
      </c>
      <c r="N702" s="4">
        <v>1</v>
      </c>
      <c r="O702" s="4">
        <f>IF(Table134[[#This Row],[check]]=1,Table134[[#This Row],[مساحت آدرس]]*Table134[[#This Row],[A0 Inc]],Table134[[#This Row],[A_tree]]*Table134[[#This Row],[اصله مستقل]])</f>
        <v>875</v>
      </c>
      <c r="P702" s="11">
        <f>IF(Table134[[#This Row],[check]]=1,Table134[[#This Row],[A0]]/Table134[[#This Row],[اصله مستقل]],Table134[[#This Row],[A_tree]])</f>
        <v>5.833333333333333</v>
      </c>
    </row>
    <row r="703" spans="2:16" ht="18.600000000000001" x14ac:dyDescent="0.3">
      <c r="B703" s="4" t="s">
        <v>1028</v>
      </c>
      <c r="C703" s="4">
        <v>94</v>
      </c>
      <c r="D703" s="4">
        <v>91</v>
      </c>
      <c r="E703" s="4">
        <v>240</v>
      </c>
      <c r="F703" s="4">
        <v>305</v>
      </c>
      <c r="G703" s="2" t="s">
        <v>21</v>
      </c>
      <c r="H703" s="4">
        <v>9</v>
      </c>
      <c r="I703" s="4">
        <f>Table134[[#This Row],[اصله مستقل]]*Table134[[#This Row],[A_tree]]</f>
        <v>819</v>
      </c>
      <c r="J703" s="4">
        <f>IF(Table134[[#This Row],[n * A_tree ]]&gt;Table134[[#This Row],[مساحت آدرس]],1,0)</f>
        <v>1</v>
      </c>
      <c r="K703" s="8">
        <f>IF(Table134[[#This Row],[check]]=1,1,Table134[[#This Row],[A_tree]]*Table134[[#This Row],[اصله مستقل]]/Table134[[#This Row],[مساحت آدرس]])</f>
        <v>1</v>
      </c>
      <c r="L703" s="14">
        <f>IF(Table134[[#This Row],[check]]=1,1,(Table134[[#This Row],[Psh]]+0.15*(1-Table134[[#This Row],[Psh]])))</f>
        <v>1</v>
      </c>
      <c r="M703" s="14">
        <f>IF(Table134[[#This Row],[check]]=1,0.65,1)</f>
        <v>0.65</v>
      </c>
      <c r="N703" s="4">
        <v>1</v>
      </c>
      <c r="O703" s="4">
        <f>IF(Table134[[#This Row],[check]]=1,Table134[[#This Row],[مساحت آدرس]]*Table134[[#This Row],[A0 Inc]],Table134[[#This Row],[A_tree]]*Table134[[#This Row],[اصله مستقل]])</f>
        <v>305</v>
      </c>
      <c r="P703" s="11">
        <f>IF(Table134[[#This Row],[check]]=1,Table134[[#This Row],[A0]]/Table134[[#This Row],[اصله مستقل]],Table134[[#This Row],[A_tree]])</f>
        <v>3.3516483516483517</v>
      </c>
    </row>
    <row r="704" spans="2:16" ht="18.600000000000001" x14ac:dyDescent="0.3">
      <c r="B704" s="4" t="s">
        <v>1029</v>
      </c>
      <c r="C704" s="4">
        <v>259</v>
      </c>
      <c r="D704" s="4">
        <v>122</v>
      </c>
      <c r="E704" s="4">
        <v>141</v>
      </c>
      <c r="F704" s="4">
        <v>1182</v>
      </c>
      <c r="G704" s="2" t="s">
        <v>21</v>
      </c>
      <c r="H704" s="4">
        <v>9</v>
      </c>
      <c r="I704" s="4">
        <f>Table134[[#This Row],[اصله مستقل]]*Table134[[#This Row],[A_tree]]</f>
        <v>1098</v>
      </c>
      <c r="J704" s="4">
        <f>IF(Table134[[#This Row],[n * A_tree ]]&gt;Table134[[#This Row],[مساحت آدرس]],1,0)</f>
        <v>0</v>
      </c>
      <c r="K704" s="8">
        <f>IF(Table134[[#This Row],[check]]=1,1,Table134[[#This Row],[A_tree]]*Table134[[#This Row],[اصله مستقل]]/Table134[[#This Row],[مساحت آدرس]])</f>
        <v>0.92893401015228427</v>
      </c>
      <c r="L704" s="14">
        <f>IF(Table134[[#This Row],[check]]=1,1,(Table134[[#This Row],[Psh]]+0.15*(1-Table134[[#This Row],[Psh]])))</f>
        <v>0.93959390862944159</v>
      </c>
      <c r="M704" s="14">
        <f>IF(Table134[[#This Row],[check]]=1,0.65,1)</f>
        <v>1</v>
      </c>
      <c r="N704" s="4">
        <v>1</v>
      </c>
      <c r="O704" s="4">
        <f>IF(Table134[[#This Row],[check]]=1,Table134[[#This Row],[مساحت آدرس]]*Table134[[#This Row],[A0 Inc]],Table134[[#This Row],[A_tree]]*Table134[[#This Row],[اصله مستقل]])</f>
        <v>1098</v>
      </c>
      <c r="P704" s="11">
        <f>IF(Table134[[#This Row],[check]]=1,Table134[[#This Row],[A0]]/Table134[[#This Row],[اصله مستقل]],Table134[[#This Row],[A_tree]])</f>
        <v>9</v>
      </c>
    </row>
    <row r="705" spans="2:16" ht="18.600000000000001" x14ac:dyDescent="0.3">
      <c r="B705" s="4" t="s">
        <v>1030</v>
      </c>
      <c r="C705" s="4">
        <v>328</v>
      </c>
      <c r="D705" s="4">
        <v>375</v>
      </c>
      <c r="E705" s="4">
        <v>3150</v>
      </c>
      <c r="F705" s="4">
        <v>3150</v>
      </c>
      <c r="G705" s="2" t="s">
        <v>21</v>
      </c>
      <c r="H705" s="4">
        <v>9</v>
      </c>
      <c r="I705" s="4">
        <f>Table134[[#This Row],[اصله مستقل]]*Table134[[#This Row],[A_tree]]</f>
        <v>3375</v>
      </c>
      <c r="J705" s="4">
        <f>IF(Table134[[#This Row],[n * A_tree ]]&gt;Table134[[#This Row],[مساحت آدرس]],1,0)</f>
        <v>1</v>
      </c>
      <c r="K705" s="8">
        <f>IF(Table134[[#This Row],[check]]=1,1,Table134[[#This Row],[A_tree]]*Table134[[#This Row],[اصله مستقل]]/Table134[[#This Row],[مساحت آدرس]])</f>
        <v>1</v>
      </c>
      <c r="L705" s="14">
        <f>IF(Table134[[#This Row],[check]]=1,1,(Table134[[#This Row],[Psh]]+0.15*(1-Table134[[#This Row],[Psh]])))</f>
        <v>1</v>
      </c>
      <c r="M705" s="14">
        <f>IF(Table134[[#This Row],[check]]=1,0.65,1)</f>
        <v>0.65</v>
      </c>
      <c r="N705" s="4">
        <v>1</v>
      </c>
      <c r="O705" s="4">
        <f>IF(Table134[[#This Row],[check]]=1,Table134[[#This Row],[مساحت آدرس]]*Table134[[#This Row],[A0 Inc]],Table134[[#This Row],[A_tree]]*Table134[[#This Row],[اصله مستقل]])</f>
        <v>3150</v>
      </c>
      <c r="P705" s="11">
        <f>IF(Table134[[#This Row],[check]]=1,Table134[[#This Row],[A0]]/Table134[[#This Row],[اصله مستقل]],Table134[[#This Row],[A_tree]])</f>
        <v>8.4</v>
      </c>
    </row>
    <row r="706" spans="2:16" ht="18.600000000000001" x14ac:dyDescent="0.3">
      <c r="B706" s="4" t="s">
        <v>1031</v>
      </c>
      <c r="C706" s="4">
        <v>224</v>
      </c>
      <c r="D706" s="4">
        <v>185</v>
      </c>
      <c r="E706" s="4">
        <v>323</v>
      </c>
      <c r="F706" s="4">
        <v>423</v>
      </c>
      <c r="G706" s="2" t="s">
        <v>21</v>
      </c>
      <c r="H706" s="4">
        <v>9</v>
      </c>
      <c r="I706" s="4">
        <f>Table134[[#This Row],[اصله مستقل]]*Table134[[#This Row],[A_tree]]</f>
        <v>1665</v>
      </c>
      <c r="J706" s="4">
        <f>IF(Table134[[#This Row],[n * A_tree ]]&gt;Table134[[#This Row],[مساحت آدرس]],1,0)</f>
        <v>1</v>
      </c>
      <c r="K706" s="8">
        <f>IF(Table134[[#This Row],[check]]=1,1,Table134[[#This Row],[A_tree]]*Table134[[#This Row],[اصله مستقل]]/Table134[[#This Row],[مساحت آدرس]])</f>
        <v>1</v>
      </c>
      <c r="L706" s="14">
        <f>IF(Table134[[#This Row],[check]]=1,1,(Table134[[#This Row],[Psh]]+0.15*(1-Table134[[#This Row],[Psh]])))</f>
        <v>1</v>
      </c>
      <c r="M706" s="14">
        <f>IF(Table134[[#This Row],[check]]=1,0.65,1)</f>
        <v>0.65</v>
      </c>
      <c r="N706" s="4">
        <v>1</v>
      </c>
      <c r="O706" s="4">
        <f>IF(Table134[[#This Row],[check]]=1,Table134[[#This Row],[مساحت آدرس]]*Table134[[#This Row],[A0 Inc]],Table134[[#This Row],[A_tree]]*Table134[[#This Row],[اصله مستقل]])</f>
        <v>423</v>
      </c>
      <c r="P706" s="11">
        <f>IF(Table134[[#This Row],[check]]=1,Table134[[#This Row],[A0]]/Table134[[#This Row],[اصله مستقل]],Table134[[#This Row],[A_tree]])</f>
        <v>2.2864864864864867</v>
      </c>
    </row>
    <row r="707" spans="2:16" ht="18.600000000000001" x14ac:dyDescent="0.3">
      <c r="B707" s="4" t="s">
        <v>1032</v>
      </c>
      <c r="C707" s="4">
        <v>193</v>
      </c>
      <c r="D707" s="4">
        <v>142</v>
      </c>
      <c r="E707" s="4">
        <v>1680</v>
      </c>
      <c r="F707" s="4">
        <v>2143</v>
      </c>
      <c r="G707" s="2" t="s">
        <v>21</v>
      </c>
      <c r="H707" s="4">
        <v>9</v>
      </c>
      <c r="I707" s="4">
        <f>Table134[[#This Row],[اصله مستقل]]*Table134[[#This Row],[A_tree]]</f>
        <v>1278</v>
      </c>
      <c r="J707" s="4">
        <f>IF(Table134[[#This Row],[n * A_tree ]]&gt;Table134[[#This Row],[مساحت آدرس]],1,0)</f>
        <v>0</v>
      </c>
      <c r="K707" s="8">
        <f>IF(Table134[[#This Row],[check]]=1,1,Table134[[#This Row],[A_tree]]*Table134[[#This Row],[اصله مستقل]]/Table134[[#This Row],[مساحت آدرس]])</f>
        <v>0.59636024265048992</v>
      </c>
      <c r="L707" s="14">
        <f>IF(Table134[[#This Row],[check]]=1,1,(Table134[[#This Row],[Psh]]+0.15*(1-Table134[[#This Row],[Psh]])))</f>
        <v>0.6569062062529164</v>
      </c>
      <c r="M707" s="14">
        <f>IF(Table134[[#This Row],[check]]=1,0.65,1)</f>
        <v>1</v>
      </c>
      <c r="N707" s="4">
        <v>1</v>
      </c>
      <c r="O707" s="4">
        <f>IF(Table134[[#This Row],[check]]=1,Table134[[#This Row],[مساحت آدرس]]*Table134[[#This Row],[A0 Inc]],Table134[[#This Row],[A_tree]]*Table134[[#This Row],[اصله مستقل]])</f>
        <v>1278</v>
      </c>
      <c r="P707" s="11">
        <f>IF(Table134[[#This Row],[check]]=1,Table134[[#This Row],[A0]]/Table134[[#This Row],[اصله مستقل]],Table134[[#This Row],[A_tree]])</f>
        <v>9</v>
      </c>
    </row>
    <row r="708" spans="2:16" ht="18.600000000000001" x14ac:dyDescent="0.3">
      <c r="B708" s="4" t="s">
        <v>1033</v>
      </c>
      <c r="C708" s="4">
        <v>116</v>
      </c>
      <c r="D708" s="4">
        <v>116</v>
      </c>
      <c r="E708" s="4">
        <v>425</v>
      </c>
      <c r="F708" s="4">
        <v>491</v>
      </c>
      <c r="G708" s="2" t="s">
        <v>21</v>
      </c>
      <c r="H708" s="4">
        <v>9</v>
      </c>
      <c r="I708" s="4">
        <f>Table134[[#This Row],[اصله مستقل]]*Table134[[#This Row],[A_tree]]</f>
        <v>1044</v>
      </c>
      <c r="J708" s="4">
        <f>IF(Table134[[#This Row],[n * A_tree ]]&gt;Table134[[#This Row],[مساحت آدرس]],1,0)</f>
        <v>1</v>
      </c>
      <c r="K708" s="8">
        <f>IF(Table134[[#This Row],[check]]=1,1,Table134[[#This Row],[A_tree]]*Table134[[#This Row],[اصله مستقل]]/Table134[[#This Row],[مساحت آدرس]])</f>
        <v>1</v>
      </c>
      <c r="L708" s="14">
        <f>IF(Table134[[#This Row],[check]]=1,1,(Table134[[#This Row],[Psh]]+0.15*(1-Table134[[#This Row],[Psh]])))</f>
        <v>1</v>
      </c>
      <c r="M708" s="14">
        <f>IF(Table134[[#This Row],[check]]=1,0.65,1)</f>
        <v>0.65</v>
      </c>
      <c r="N708" s="4">
        <v>1</v>
      </c>
      <c r="O708" s="4">
        <f>IF(Table134[[#This Row],[check]]=1,Table134[[#This Row],[مساحت آدرس]]*Table134[[#This Row],[A0 Inc]],Table134[[#This Row],[A_tree]]*Table134[[#This Row],[اصله مستقل]])</f>
        <v>491</v>
      </c>
      <c r="P708" s="11">
        <f>IF(Table134[[#This Row],[check]]=1,Table134[[#This Row],[A0]]/Table134[[#This Row],[اصله مستقل]],Table134[[#This Row],[A_tree]])</f>
        <v>4.2327586206896548</v>
      </c>
    </row>
    <row r="709" spans="2:16" ht="18.600000000000001" x14ac:dyDescent="0.3">
      <c r="B709" s="4" t="s">
        <v>1034</v>
      </c>
      <c r="C709" s="4">
        <v>256</v>
      </c>
      <c r="D709" s="4">
        <v>250</v>
      </c>
      <c r="E709" s="4">
        <v>1190</v>
      </c>
      <c r="F709" s="4">
        <v>1190</v>
      </c>
      <c r="G709" s="2" t="s">
        <v>21</v>
      </c>
      <c r="H709" s="4">
        <v>9</v>
      </c>
      <c r="I709" s="4">
        <f>Table134[[#This Row],[اصله مستقل]]*Table134[[#This Row],[A_tree]]</f>
        <v>2250</v>
      </c>
      <c r="J709" s="4">
        <f>IF(Table134[[#This Row],[n * A_tree ]]&gt;Table134[[#This Row],[مساحت آدرس]],1,0)</f>
        <v>1</v>
      </c>
      <c r="K709" s="8">
        <f>IF(Table134[[#This Row],[check]]=1,1,Table134[[#This Row],[A_tree]]*Table134[[#This Row],[اصله مستقل]]/Table134[[#This Row],[مساحت آدرس]])</f>
        <v>1</v>
      </c>
      <c r="L709" s="14">
        <f>IF(Table134[[#This Row],[check]]=1,1,(Table134[[#This Row],[Psh]]+0.15*(1-Table134[[#This Row],[Psh]])))</f>
        <v>1</v>
      </c>
      <c r="M709" s="14">
        <f>IF(Table134[[#This Row],[check]]=1,0.65,1)</f>
        <v>0.65</v>
      </c>
      <c r="N709" s="4">
        <v>1</v>
      </c>
      <c r="O709" s="4">
        <f>IF(Table134[[#This Row],[check]]=1,Table134[[#This Row],[مساحت آدرس]]*Table134[[#This Row],[A0 Inc]],Table134[[#This Row],[A_tree]]*Table134[[#This Row],[اصله مستقل]])</f>
        <v>1190</v>
      </c>
      <c r="P709" s="11">
        <f>IF(Table134[[#This Row],[check]]=1,Table134[[#This Row],[A0]]/Table134[[#This Row],[اصله مستقل]],Table134[[#This Row],[A_tree]])</f>
        <v>4.76</v>
      </c>
    </row>
    <row r="710" spans="2:16" ht="18.600000000000001" x14ac:dyDescent="0.3">
      <c r="B710" s="4" t="s">
        <v>1035</v>
      </c>
      <c r="C710" s="4">
        <v>347</v>
      </c>
      <c r="D710" s="4">
        <v>205</v>
      </c>
      <c r="E710" s="4">
        <v>1650</v>
      </c>
      <c r="F710" s="4">
        <v>1850</v>
      </c>
      <c r="G710" s="2" t="s">
        <v>21</v>
      </c>
      <c r="H710" s="4">
        <v>9</v>
      </c>
      <c r="I710" s="4">
        <f>Table134[[#This Row],[اصله مستقل]]*Table134[[#This Row],[A_tree]]</f>
        <v>1845</v>
      </c>
      <c r="J710" s="4">
        <f>IF(Table134[[#This Row],[n * A_tree ]]&gt;Table134[[#This Row],[مساحت آدرس]],1,0)</f>
        <v>0</v>
      </c>
      <c r="K710" s="8">
        <f>IF(Table134[[#This Row],[check]]=1,1,Table134[[#This Row],[A_tree]]*Table134[[#This Row],[اصله مستقل]]/Table134[[#This Row],[مساحت آدرس]])</f>
        <v>0.99729729729729732</v>
      </c>
      <c r="L710" s="14">
        <f>IF(Table134[[#This Row],[check]]=1,1,(Table134[[#This Row],[Psh]]+0.15*(1-Table134[[#This Row],[Psh]])))</f>
        <v>0.99770270270270278</v>
      </c>
      <c r="M710" s="14">
        <f>IF(Table134[[#This Row],[check]]=1,0.65,1)</f>
        <v>1</v>
      </c>
      <c r="N710" s="4">
        <v>1</v>
      </c>
      <c r="O710" s="4">
        <f>IF(Table134[[#This Row],[check]]=1,Table134[[#This Row],[مساحت آدرس]]*Table134[[#This Row],[A0 Inc]],Table134[[#This Row],[A_tree]]*Table134[[#This Row],[اصله مستقل]])</f>
        <v>1845</v>
      </c>
      <c r="P710" s="11">
        <f>IF(Table134[[#This Row],[check]]=1,Table134[[#This Row],[A0]]/Table134[[#This Row],[اصله مستقل]],Table134[[#This Row],[A_tree]])</f>
        <v>9</v>
      </c>
    </row>
    <row r="711" spans="2:16" ht="18.600000000000001" x14ac:dyDescent="0.3">
      <c r="B711" s="4" t="s">
        <v>1036</v>
      </c>
      <c r="C711" s="4">
        <v>370</v>
      </c>
      <c r="D711" s="4">
        <v>185</v>
      </c>
      <c r="E711" s="4">
        <v>1450</v>
      </c>
      <c r="F711" s="4">
        <v>1538</v>
      </c>
      <c r="G711" s="2" t="s">
        <v>21</v>
      </c>
      <c r="H711" s="4">
        <v>9</v>
      </c>
      <c r="I711" s="4">
        <f>Table134[[#This Row],[اصله مستقل]]*Table134[[#This Row],[A_tree]]</f>
        <v>1665</v>
      </c>
      <c r="J711" s="4">
        <f>IF(Table134[[#This Row],[n * A_tree ]]&gt;Table134[[#This Row],[مساحت آدرس]],1,0)</f>
        <v>1</v>
      </c>
      <c r="K711" s="8">
        <f>IF(Table134[[#This Row],[check]]=1,1,Table134[[#This Row],[A_tree]]*Table134[[#This Row],[اصله مستقل]]/Table134[[#This Row],[مساحت آدرس]])</f>
        <v>1</v>
      </c>
      <c r="L711" s="14">
        <f>IF(Table134[[#This Row],[check]]=1,1,(Table134[[#This Row],[Psh]]+0.15*(1-Table134[[#This Row],[Psh]])))</f>
        <v>1</v>
      </c>
      <c r="M711" s="14">
        <f>IF(Table134[[#This Row],[check]]=1,0.65,1)</f>
        <v>0.65</v>
      </c>
      <c r="N711" s="4">
        <v>1</v>
      </c>
      <c r="O711" s="4">
        <f>IF(Table134[[#This Row],[check]]=1,Table134[[#This Row],[مساحت آدرس]]*Table134[[#This Row],[A0 Inc]],Table134[[#This Row],[A_tree]]*Table134[[#This Row],[اصله مستقل]])</f>
        <v>1538</v>
      </c>
      <c r="P711" s="11">
        <f>IF(Table134[[#This Row],[check]]=1,Table134[[#This Row],[A0]]/Table134[[#This Row],[اصله مستقل]],Table134[[#This Row],[A_tree]])</f>
        <v>8.313513513513513</v>
      </c>
    </row>
    <row r="712" spans="2:16" ht="18.600000000000001" x14ac:dyDescent="0.3">
      <c r="B712" s="4" t="s">
        <v>1037</v>
      </c>
      <c r="C712" s="4">
        <v>336</v>
      </c>
      <c r="D712" s="4">
        <v>336</v>
      </c>
      <c r="E712" s="4">
        <v>1344</v>
      </c>
      <c r="F712" s="4">
        <v>4750</v>
      </c>
      <c r="G712" s="2" t="s">
        <v>3</v>
      </c>
      <c r="H712" s="4">
        <v>9</v>
      </c>
      <c r="I712" s="4">
        <f>Table134[[#This Row],[اصله مستقل]]*Table134[[#This Row],[A_tree]]</f>
        <v>3024</v>
      </c>
      <c r="J712" s="4">
        <f>IF(Table134[[#This Row],[n * A_tree ]]&gt;Table134[[#This Row],[مساحت آدرس]],1,0)</f>
        <v>0</v>
      </c>
      <c r="K712" s="8">
        <f>IF(Table134[[#This Row],[check]]=1,1,Table134[[#This Row],[A_tree]]*Table134[[#This Row],[اصله مستقل]]/Table134[[#This Row],[مساحت آدرس]])</f>
        <v>0.63663157894736844</v>
      </c>
      <c r="L712" s="14">
        <f>IF(Table134[[#This Row],[check]]=1,1,(Table134[[#This Row],[Psh]]+0.15*(1-Table134[[#This Row],[Psh]])))</f>
        <v>0.69113684210526316</v>
      </c>
      <c r="M712" s="14">
        <f>IF(Table134[[#This Row],[check]]=1,0.65,1)</f>
        <v>1</v>
      </c>
      <c r="N712" s="4">
        <v>1</v>
      </c>
      <c r="O712" s="4">
        <f>IF(Table134[[#This Row],[check]]=1,Table134[[#This Row],[مساحت آدرس]]*Table134[[#This Row],[A0 Inc]],Table134[[#This Row],[A_tree]]*Table134[[#This Row],[اصله مستقل]])</f>
        <v>3024</v>
      </c>
      <c r="P712" s="11">
        <f>IF(Table134[[#This Row],[check]]=1,Table134[[#This Row],[A0]]/Table134[[#This Row],[اصله مستقل]],Table134[[#This Row],[A_tree]])</f>
        <v>9</v>
      </c>
    </row>
    <row r="713" spans="2:16" ht="18.600000000000001" x14ac:dyDescent="0.3">
      <c r="B713" s="4" t="s">
        <v>1045</v>
      </c>
      <c r="C713" s="4">
        <v>101</v>
      </c>
      <c r="D713" s="4">
        <v>86</v>
      </c>
      <c r="E713" s="4">
        <v>115</v>
      </c>
      <c r="F713" s="4">
        <v>3624</v>
      </c>
      <c r="G713" s="2" t="s">
        <v>3</v>
      </c>
      <c r="H713" s="4">
        <v>9</v>
      </c>
      <c r="I713" s="4">
        <f>Table134[[#This Row],[اصله مستقل]]*Table134[[#This Row],[A_tree]]</f>
        <v>774</v>
      </c>
      <c r="J713" s="4">
        <f>IF(Table134[[#This Row],[n * A_tree ]]&gt;Table134[[#This Row],[مساحت آدرس]],1,0)</f>
        <v>0</v>
      </c>
      <c r="K713" s="8">
        <f>IF(Table134[[#This Row],[check]]=1,1,Table134[[#This Row],[A_tree]]*Table134[[#This Row],[اصله مستقل]]/Table134[[#This Row],[مساحت آدرس]])</f>
        <v>0.21357615894039736</v>
      </c>
      <c r="L713" s="14">
        <f>IF(Table134[[#This Row],[check]]=1,1,(Table134[[#This Row],[Psh]]+0.15*(1-Table134[[#This Row],[Psh]])))</f>
        <v>0.33153973509933776</v>
      </c>
      <c r="M713" s="14">
        <f>IF(Table134[[#This Row],[check]]=1,0.65,1)</f>
        <v>1</v>
      </c>
      <c r="N713" s="4">
        <v>1</v>
      </c>
      <c r="O713" s="4">
        <f>IF(Table134[[#This Row],[check]]=1,Table134[[#This Row],[مساحت آدرس]]*Table134[[#This Row],[A0 Inc]],Table134[[#This Row],[A_tree]]*Table134[[#This Row],[اصله مستقل]])</f>
        <v>774</v>
      </c>
      <c r="P713" s="11">
        <f>IF(Table134[[#This Row],[check]]=1,Table134[[#This Row],[A0]]/Table134[[#This Row],[اصله مستقل]],Table134[[#This Row],[A_tree]])</f>
        <v>9</v>
      </c>
    </row>
    <row r="714" spans="2:16" ht="18.600000000000001" x14ac:dyDescent="0.3">
      <c r="B714" s="4" t="s">
        <v>1046</v>
      </c>
      <c r="C714" s="4">
        <v>2403</v>
      </c>
      <c r="D714" s="4">
        <v>2403</v>
      </c>
      <c r="E714" s="4">
        <v>18350</v>
      </c>
      <c r="F714" s="4">
        <v>24719</v>
      </c>
      <c r="G714" s="2" t="s">
        <v>3</v>
      </c>
      <c r="H714" s="4">
        <v>9</v>
      </c>
      <c r="I714" s="4">
        <f>Table134[[#This Row],[اصله مستقل]]*Table134[[#This Row],[A_tree]]</f>
        <v>21627</v>
      </c>
      <c r="J714" s="4">
        <f>IF(Table134[[#This Row],[n * A_tree ]]&gt;Table134[[#This Row],[مساحت آدرس]],1,0)</f>
        <v>0</v>
      </c>
      <c r="K714" s="8">
        <f>IF(Table134[[#This Row],[check]]=1,1,Table134[[#This Row],[A_tree]]*Table134[[#This Row],[اصله مستقل]]/Table134[[#This Row],[مساحت آدرس]])</f>
        <v>0.87491403373922894</v>
      </c>
      <c r="L714" s="14">
        <f>IF(Table134[[#This Row],[check]]=1,1,(Table134[[#This Row],[Psh]]+0.15*(1-Table134[[#This Row],[Psh]])))</f>
        <v>0.89367692867834458</v>
      </c>
      <c r="M714" s="14">
        <f>IF(Table134[[#This Row],[check]]=1,0.65,1)</f>
        <v>1</v>
      </c>
      <c r="N714" s="4">
        <v>1</v>
      </c>
      <c r="O714" s="4">
        <f>IF(Table134[[#This Row],[check]]=1,Table134[[#This Row],[مساحت آدرس]]*Table134[[#This Row],[A0 Inc]],Table134[[#This Row],[A_tree]]*Table134[[#This Row],[اصله مستقل]])</f>
        <v>21627</v>
      </c>
      <c r="P714" s="11">
        <f>IF(Table134[[#This Row],[check]]=1,Table134[[#This Row],[A0]]/Table134[[#This Row],[اصله مستقل]],Table134[[#This Row],[A_tree]])</f>
        <v>9</v>
      </c>
    </row>
    <row r="715" spans="2:16" ht="18.600000000000001" x14ac:dyDescent="0.3">
      <c r="B715" s="4" t="s">
        <v>1047</v>
      </c>
      <c r="C715" s="4">
        <v>298</v>
      </c>
      <c r="D715" s="4">
        <v>268</v>
      </c>
      <c r="E715" s="4">
        <v>310</v>
      </c>
      <c r="F715" s="4">
        <v>3884</v>
      </c>
      <c r="G715" s="2" t="s">
        <v>3</v>
      </c>
      <c r="H715" s="4">
        <v>9</v>
      </c>
      <c r="I715" s="4">
        <f>Table134[[#This Row],[اصله مستقل]]*Table134[[#This Row],[A_tree]]</f>
        <v>2412</v>
      </c>
      <c r="J715" s="4">
        <f>IF(Table134[[#This Row],[n * A_tree ]]&gt;Table134[[#This Row],[مساحت آدرس]],1,0)</f>
        <v>0</v>
      </c>
      <c r="K715" s="8">
        <f>IF(Table134[[#This Row],[check]]=1,1,Table134[[#This Row],[A_tree]]*Table134[[#This Row],[اصله مستقل]]/Table134[[#This Row],[مساحت آدرس]])</f>
        <v>0.62100926879505669</v>
      </c>
      <c r="L715" s="14">
        <f>IF(Table134[[#This Row],[check]]=1,1,(Table134[[#This Row],[Psh]]+0.15*(1-Table134[[#This Row],[Psh]])))</f>
        <v>0.67785787847579815</v>
      </c>
      <c r="M715" s="14">
        <f>IF(Table134[[#This Row],[check]]=1,0.65,1)</f>
        <v>1</v>
      </c>
      <c r="N715" s="4">
        <v>1</v>
      </c>
      <c r="O715" s="4">
        <f>IF(Table134[[#This Row],[check]]=1,Table134[[#This Row],[مساحت آدرس]]*Table134[[#This Row],[A0 Inc]],Table134[[#This Row],[A_tree]]*Table134[[#This Row],[اصله مستقل]])</f>
        <v>2412</v>
      </c>
      <c r="P715" s="11">
        <f>IF(Table134[[#This Row],[check]]=1,Table134[[#This Row],[A0]]/Table134[[#This Row],[اصله مستقل]],Table134[[#This Row],[A_tree]])</f>
        <v>9</v>
      </c>
    </row>
    <row r="716" spans="2:16" ht="18.600000000000001" x14ac:dyDescent="0.3">
      <c r="B716" s="4" t="s">
        <v>1048</v>
      </c>
      <c r="C716" s="4">
        <v>1041</v>
      </c>
      <c r="D716" s="4">
        <v>1041</v>
      </c>
      <c r="E716" s="4">
        <v>4550</v>
      </c>
      <c r="F716" s="4">
        <v>5515</v>
      </c>
      <c r="G716" s="2" t="s">
        <v>3</v>
      </c>
      <c r="H716" s="4">
        <v>9</v>
      </c>
      <c r="I716" s="4">
        <f>Table134[[#This Row],[اصله مستقل]]*Table134[[#This Row],[A_tree]]</f>
        <v>9369</v>
      </c>
      <c r="J716" s="4">
        <f>IF(Table134[[#This Row],[n * A_tree ]]&gt;Table134[[#This Row],[مساحت آدرس]],1,0)</f>
        <v>1</v>
      </c>
      <c r="K716" s="8">
        <f>IF(Table134[[#This Row],[check]]=1,1,Table134[[#This Row],[A_tree]]*Table134[[#This Row],[اصله مستقل]]/Table134[[#This Row],[مساحت آدرس]])</f>
        <v>1</v>
      </c>
      <c r="L716" s="14">
        <f>IF(Table134[[#This Row],[check]]=1,1,(Table134[[#This Row],[Psh]]+0.15*(1-Table134[[#This Row],[Psh]])))</f>
        <v>1</v>
      </c>
      <c r="M716" s="14">
        <f>IF(Table134[[#This Row],[check]]=1,0.65,1)</f>
        <v>0.65</v>
      </c>
      <c r="N716" s="4">
        <v>1</v>
      </c>
      <c r="O716" s="4">
        <f>IF(Table134[[#This Row],[check]]=1,Table134[[#This Row],[مساحت آدرس]]*Table134[[#This Row],[A0 Inc]],Table134[[#This Row],[A_tree]]*Table134[[#This Row],[اصله مستقل]])</f>
        <v>5515</v>
      </c>
      <c r="P716" s="11">
        <f>IF(Table134[[#This Row],[check]]=1,Table134[[#This Row],[A0]]/Table134[[#This Row],[اصله مستقل]],Table134[[#This Row],[A_tree]])</f>
        <v>5.2977905859750241</v>
      </c>
    </row>
    <row r="717" spans="2:16" ht="18.600000000000001" x14ac:dyDescent="0.3">
      <c r="B717" s="4" t="s">
        <v>1049</v>
      </c>
      <c r="C717" s="4">
        <v>103</v>
      </c>
      <c r="D717" s="4">
        <v>84</v>
      </c>
      <c r="E717" s="4">
        <v>490</v>
      </c>
      <c r="F717" s="4">
        <v>3593</v>
      </c>
      <c r="G717" s="2" t="s">
        <v>3</v>
      </c>
      <c r="H717" s="4">
        <v>9</v>
      </c>
      <c r="I717" s="4">
        <f>Table134[[#This Row],[اصله مستقل]]*Table134[[#This Row],[A_tree]]</f>
        <v>756</v>
      </c>
      <c r="J717" s="4">
        <f>IF(Table134[[#This Row],[n * A_tree ]]&gt;Table134[[#This Row],[مساحت آدرس]],1,0)</f>
        <v>0</v>
      </c>
      <c r="K717" s="8">
        <f>IF(Table134[[#This Row],[check]]=1,1,Table134[[#This Row],[A_tree]]*Table134[[#This Row],[اصله مستقل]]/Table134[[#This Row],[مساحت آدرس]])</f>
        <v>0.21040912886167548</v>
      </c>
      <c r="L717" s="14">
        <f>IF(Table134[[#This Row],[check]]=1,1,(Table134[[#This Row],[Psh]]+0.15*(1-Table134[[#This Row],[Psh]])))</f>
        <v>0.32884775953242418</v>
      </c>
      <c r="M717" s="14">
        <f>IF(Table134[[#This Row],[check]]=1,0.65,1)</f>
        <v>1</v>
      </c>
      <c r="N717" s="4">
        <v>1</v>
      </c>
      <c r="O717" s="4">
        <f>IF(Table134[[#This Row],[check]]=1,Table134[[#This Row],[مساحت آدرس]]*Table134[[#This Row],[A0 Inc]],Table134[[#This Row],[A_tree]]*Table134[[#This Row],[اصله مستقل]])</f>
        <v>756</v>
      </c>
      <c r="P717" s="11">
        <f>IF(Table134[[#This Row],[check]]=1,Table134[[#This Row],[A0]]/Table134[[#This Row],[اصله مستقل]],Table134[[#This Row],[A_tree]])</f>
        <v>9</v>
      </c>
    </row>
    <row r="718" spans="2:16" ht="18.600000000000001" x14ac:dyDescent="0.3">
      <c r="B718" s="4" t="s">
        <v>1050</v>
      </c>
      <c r="C718" s="4">
        <v>340</v>
      </c>
      <c r="D718" s="4">
        <v>148</v>
      </c>
      <c r="E718" s="4">
        <v>207</v>
      </c>
      <c r="F718" s="4">
        <v>4335</v>
      </c>
      <c r="G718" s="2" t="s">
        <v>3</v>
      </c>
      <c r="H718" s="4">
        <v>9</v>
      </c>
      <c r="I718" s="4">
        <f>Table134[[#This Row],[اصله مستقل]]*Table134[[#This Row],[A_tree]]</f>
        <v>1332</v>
      </c>
      <c r="J718" s="4">
        <f>IF(Table134[[#This Row],[n * A_tree ]]&gt;Table134[[#This Row],[مساحت آدرس]],1,0)</f>
        <v>0</v>
      </c>
      <c r="K718" s="8">
        <f>IF(Table134[[#This Row],[check]]=1,1,Table134[[#This Row],[A_tree]]*Table134[[#This Row],[اصله مستقل]]/Table134[[#This Row],[مساحت آدرس]])</f>
        <v>0.30726643598615916</v>
      </c>
      <c r="L718" s="14">
        <f>IF(Table134[[#This Row],[check]]=1,1,(Table134[[#This Row],[Psh]]+0.15*(1-Table134[[#This Row],[Psh]])))</f>
        <v>0.41117647058823525</v>
      </c>
      <c r="M718" s="14">
        <f>IF(Table134[[#This Row],[check]]=1,0.65,1)</f>
        <v>1</v>
      </c>
      <c r="N718" s="4">
        <v>1</v>
      </c>
      <c r="O718" s="4">
        <f>IF(Table134[[#This Row],[check]]=1,Table134[[#This Row],[مساحت آدرس]]*Table134[[#This Row],[A0 Inc]],Table134[[#This Row],[A_tree]]*Table134[[#This Row],[اصله مستقل]])</f>
        <v>1332</v>
      </c>
      <c r="P718" s="11">
        <f>IF(Table134[[#This Row],[check]]=1,Table134[[#This Row],[A0]]/Table134[[#This Row],[اصله مستقل]],Table134[[#This Row],[A_tree]])</f>
        <v>9</v>
      </c>
    </row>
    <row r="719" spans="2:16" ht="18.600000000000001" x14ac:dyDescent="0.3">
      <c r="B719" s="4" t="s">
        <v>1051</v>
      </c>
      <c r="C719" s="4">
        <v>545</v>
      </c>
      <c r="D719" s="4">
        <v>45</v>
      </c>
      <c r="E719" s="4">
        <v>60</v>
      </c>
      <c r="F719" s="4">
        <v>7254</v>
      </c>
      <c r="G719" s="2" t="s">
        <v>3</v>
      </c>
      <c r="H719" s="4">
        <v>9</v>
      </c>
      <c r="I719" s="4">
        <f>Table134[[#This Row],[اصله مستقل]]*Table134[[#This Row],[A_tree]]</f>
        <v>405</v>
      </c>
      <c r="J719" s="4">
        <f>IF(Table134[[#This Row],[n * A_tree ]]&gt;Table134[[#This Row],[مساحت آدرس]],1,0)</f>
        <v>0</v>
      </c>
      <c r="K719" s="8">
        <f>IF(Table134[[#This Row],[check]]=1,1,Table134[[#This Row],[A_tree]]*Table134[[#This Row],[اصله مستقل]]/Table134[[#This Row],[مساحت آدرس]])</f>
        <v>5.5831265508684863E-2</v>
      </c>
      <c r="L719" s="14">
        <f>IF(Table134[[#This Row],[check]]=1,1,(Table134[[#This Row],[Psh]]+0.15*(1-Table134[[#This Row],[Psh]])))</f>
        <v>0.19745657568238212</v>
      </c>
      <c r="M719" s="14">
        <f>IF(Table134[[#This Row],[check]]=1,0.65,1)</f>
        <v>1</v>
      </c>
      <c r="N719" s="4">
        <v>1</v>
      </c>
      <c r="O719" s="4">
        <f>IF(Table134[[#This Row],[check]]=1,Table134[[#This Row],[مساحت آدرس]]*Table134[[#This Row],[A0 Inc]],Table134[[#This Row],[A_tree]]*Table134[[#This Row],[اصله مستقل]])</f>
        <v>405</v>
      </c>
      <c r="P719" s="11">
        <f>IF(Table134[[#This Row],[check]]=1,Table134[[#This Row],[A0]]/Table134[[#This Row],[اصله مستقل]],Table134[[#This Row],[A_tree]])</f>
        <v>9</v>
      </c>
    </row>
    <row r="720" spans="2:16" ht="18.600000000000001" x14ac:dyDescent="0.3">
      <c r="B720" s="4" t="s">
        <v>1052</v>
      </c>
      <c r="C720" s="4">
        <v>675</v>
      </c>
      <c r="D720" s="4">
        <v>575</v>
      </c>
      <c r="E720" s="4">
        <v>670</v>
      </c>
      <c r="F720" s="4">
        <v>11349</v>
      </c>
      <c r="G720" s="2" t="s">
        <v>3</v>
      </c>
      <c r="H720" s="4">
        <v>9</v>
      </c>
      <c r="I720" s="4">
        <f>Table134[[#This Row],[اصله مستقل]]*Table134[[#This Row],[A_tree]]</f>
        <v>5175</v>
      </c>
      <c r="J720" s="4">
        <f>IF(Table134[[#This Row],[n * A_tree ]]&gt;Table134[[#This Row],[مساحت آدرس]],1,0)</f>
        <v>0</v>
      </c>
      <c r="K720" s="8">
        <f>IF(Table134[[#This Row],[check]]=1,1,Table134[[#This Row],[A_tree]]*Table134[[#This Row],[اصله مستقل]]/Table134[[#This Row],[مساحت آدرس]])</f>
        <v>0.45598731165741474</v>
      </c>
      <c r="L720" s="14">
        <f>IF(Table134[[#This Row],[check]]=1,1,(Table134[[#This Row],[Psh]]+0.15*(1-Table134[[#This Row],[Psh]])))</f>
        <v>0.53758921490880252</v>
      </c>
      <c r="M720" s="14">
        <f>IF(Table134[[#This Row],[check]]=1,0.65,1)</f>
        <v>1</v>
      </c>
      <c r="N720" s="4">
        <v>1</v>
      </c>
      <c r="O720" s="4">
        <f>IF(Table134[[#This Row],[check]]=1,Table134[[#This Row],[مساحت آدرس]]*Table134[[#This Row],[A0 Inc]],Table134[[#This Row],[A_tree]]*Table134[[#This Row],[اصله مستقل]])</f>
        <v>5175</v>
      </c>
      <c r="P720" s="11">
        <f>IF(Table134[[#This Row],[check]]=1,Table134[[#This Row],[A0]]/Table134[[#This Row],[اصله مستقل]],Table134[[#This Row],[A_tree]])</f>
        <v>9</v>
      </c>
    </row>
    <row r="721" spans="2:16" ht="18.600000000000001" x14ac:dyDescent="0.3">
      <c r="B721" s="4" t="s">
        <v>1053</v>
      </c>
      <c r="C721" s="4">
        <v>425</v>
      </c>
      <c r="D721" s="4">
        <v>415</v>
      </c>
      <c r="E721" s="4">
        <v>980</v>
      </c>
      <c r="F721" s="4">
        <v>1130</v>
      </c>
      <c r="G721" s="2" t="s">
        <v>3</v>
      </c>
      <c r="H721" s="4">
        <v>9</v>
      </c>
      <c r="I721" s="4">
        <f>Table134[[#This Row],[اصله مستقل]]*Table134[[#This Row],[A_tree]]</f>
        <v>3735</v>
      </c>
      <c r="J721" s="4">
        <f>IF(Table134[[#This Row],[n * A_tree ]]&gt;Table134[[#This Row],[مساحت آدرس]],1,0)</f>
        <v>1</v>
      </c>
      <c r="K721" s="8">
        <f>IF(Table134[[#This Row],[check]]=1,1,Table134[[#This Row],[A_tree]]*Table134[[#This Row],[اصله مستقل]]/Table134[[#This Row],[مساحت آدرس]])</f>
        <v>1</v>
      </c>
      <c r="L721" s="14">
        <f>IF(Table134[[#This Row],[check]]=1,1,(Table134[[#This Row],[Psh]]+0.15*(1-Table134[[#This Row],[Psh]])))</f>
        <v>1</v>
      </c>
      <c r="M721" s="14">
        <f>IF(Table134[[#This Row],[check]]=1,0.65,1)</f>
        <v>0.65</v>
      </c>
      <c r="N721" s="4">
        <v>1</v>
      </c>
      <c r="O721" s="4">
        <f>IF(Table134[[#This Row],[check]]=1,Table134[[#This Row],[مساحت آدرس]]*Table134[[#This Row],[A0 Inc]],Table134[[#This Row],[A_tree]]*Table134[[#This Row],[اصله مستقل]])</f>
        <v>1130</v>
      </c>
      <c r="P721" s="11">
        <f>IF(Table134[[#This Row],[check]]=1,Table134[[#This Row],[A0]]/Table134[[#This Row],[اصله مستقل]],Table134[[#This Row],[A_tree]])</f>
        <v>2.7228915662650603</v>
      </c>
    </row>
    <row r="722" spans="2:16" ht="18.600000000000001" x14ac:dyDescent="0.3">
      <c r="B722" s="4" t="s">
        <v>1054</v>
      </c>
      <c r="C722" s="4">
        <v>389</v>
      </c>
      <c r="D722" s="4">
        <v>389</v>
      </c>
      <c r="E722" s="4">
        <v>1530</v>
      </c>
      <c r="F722" s="4">
        <v>1830</v>
      </c>
      <c r="G722" s="2" t="s">
        <v>21</v>
      </c>
      <c r="H722" s="4">
        <v>9</v>
      </c>
      <c r="I722" s="4">
        <f>Table134[[#This Row],[اصله مستقل]]*Table134[[#This Row],[A_tree]]</f>
        <v>3501</v>
      </c>
      <c r="J722" s="4">
        <f>IF(Table134[[#This Row],[n * A_tree ]]&gt;Table134[[#This Row],[مساحت آدرس]],1,0)</f>
        <v>1</v>
      </c>
      <c r="K722" s="8">
        <f>IF(Table134[[#This Row],[check]]=1,1,Table134[[#This Row],[A_tree]]*Table134[[#This Row],[اصله مستقل]]/Table134[[#This Row],[مساحت آدرس]])</f>
        <v>1</v>
      </c>
      <c r="L722" s="14">
        <f>IF(Table134[[#This Row],[check]]=1,1,(Table134[[#This Row],[Psh]]+0.15*(1-Table134[[#This Row],[Psh]])))</f>
        <v>1</v>
      </c>
      <c r="M722" s="14">
        <f>IF(Table134[[#This Row],[check]]=1,0.65,1)</f>
        <v>0.65</v>
      </c>
      <c r="N722" s="4">
        <v>1</v>
      </c>
      <c r="O722" s="4">
        <f>IF(Table134[[#This Row],[check]]=1,Table134[[#This Row],[مساحت آدرس]]*Table134[[#This Row],[A0 Inc]],Table134[[#This Row],[A_tree]]*Table134[[#This Row],[اصله مستقل]])</f>
        <v>1830</v>
      </c>
      <c r="P722" s="11">
        <f>IF(Table134[[#This Row],[check]]=1,Table134[[#This Row],[A0]]/Table134[[#This Row],[اصله مستقل]],Table134[[#This Row],[A_tree]])</f>
        <v>4.7043701799485858</v>
      </c>
    </row>
    <row r="723" spans="2:16" ht="18.600000000000001" x14ac:dyDescent="0.3">
      <c r="B723" s="4" t="s">
        <v>1055</v>
      </c>
      <c r="C723" s="4">
        <v>6638</v>
      </c>
      <c r="D723" s="4">
        <v>6325</v>
      </c>
      <c r="E723" s="4">
        <v>10890</v>
      </c>
      <c r="F723" s="4">
        <v>16995</v>
      </c>
      <c r="G723" s="2" t="s">
        <v>21</v>
      </c>
      <c r="H723" s="4">
        <v>9</v>
      </c>
      <c r="I723" s="4">
        <f>Table134[[#This Row],[اصله مستقل]]*Table134[[#This Row],[A_tree]]</f>
        <v>56925</v>
      </c>
      <c r="J723" s="4">
        <f>IF(Table134[[#This Row],[n * A_tree ]]&gt;Table134[[#This Row],[مساحت آدرس]],1,0)</f>
        <v>1</v>
      </c>
      <c r="K723" s="8">
        <f>IF(Table134[[#This Row],[check]]=1,1,Table134[[#This Row],[A_tree]]*Table134[[#This Row],[اصله مستقل]]/Table134[[#This Row],[مساحت آدرس]])</f>
        <v>1</v>
      </c>
      <c r="L723" s="14">
        <f>IF(Table134[[#This Row],[check]]=1,1,(Table134[[#This Row],[Psh]]+0.15*(1-Table134[[#This Row],[Psh]])))</f>
        <v>1</v>
      </c>
      <c r="M723" s="14">
        <f>IF(Table134[[#This Row],[check]]=1,0.65,1)</f>
        <v>0.65</v>
      </c>
      <c r="N723" s="4">
        <v>1</v>
      </c>
      <c r="O723" s="4">
        <f>IF(Table134[[#This Row],[check]]=1,Table134[[#This Row],[مساحت آدرس]]*Table134[[#This Row],[A0 Inc]],Table134[[#This Row],[A_tree]]*Table134[[#This Row],[اصله مستقل]])</f>
        <v>16995</v>
      </c>
      <c r="P723" s="11">
        <f>IF(Table134[[#This Row],[check]]=1,Table134[[#This Row],[A0]]/Table134[[#This Row],[اصله مستقل]],Table134[[#This Row],[A_tree]])</f>
        <v>2.6869565217391305</v>
      </c>
    </row>
    <row r="724" spans="2:16" ht="18.600000000000001" x14ac:dyDescent="0.3">
      <c r="B724" s="4" t="s">
        <v>1056</v>
      </c>
      <c r="C724" s="4">
        <v>812</v>
      </c>
      <c r="D724" s="4">
        <v>777</v>
      </c>
      <c r="E724" s="4">
        <v>2331</v>
      </c>
      <c r="F724" s="4">
        <v>2707</v>
      </c>
      <c r="G724" s="2" t="s">
        <v>21</v>
      </c>
      <c r="H724" s="4">
        <v>9</v>
      </c>
      <c r="I724" s="4">
        <f>Table134[[#This Row],[اصله مستقل]]*Table134[[#This Row],[A_tree]]</f>
        <v>6993</v>
      </c>
      <c r="J724" s="4">
        <f>IF(Table134[[#This Row],[n * A_tree ]]&gt;Table134[[#This Row],[مساحت آدرس]],1,0)</f>
        <v>1</v>
      </c>
      <c r="K724" s="8">
        <f>IF(Table134[[#This Row],[check]]=1,1,Table134[[#This Row],[A_tree]]*Table134[[#This Row],[اصله مستقل]]/Table134[[#This Row],[مساحت آدرس]])</f>
        <v>1</v>
      </c>
      <c r="L724" s="14">
        <f>IF(Table134[[#This Row],[check]]=1,1,(Table134[[#This Row],[Psh]]+0.15*(1-Table134[[#This Row],[Psh]])))</f>
        <v>1</v>
      </c>
      <c r="M724" s="14">
        <f>IF(Table134[[#This Row],[check]]=1,0.65,1)</f>
        <v>0.65</v>
      </c>
      <c r="N724" s="4">
        <v>1</v>
      </c>
      <c r="O724" s="4">
        <f>IF(Table134[[#This Row],[check]]=1,Table134[[#This Row],[مساحت آدرس]]*Table134[[#This Row],[A0 Inc]],Table134[[#This Row],[A_tree]]*Table134[[#This Row],[اصله مستقل]])</f>
        <v>2707</v>
      </c>
      <c r="P724" s="11">
        <f>IF(Table134[[#This Row],[check]]=1,Table134[[#This Row],[A0]]/Table134[[#This Row],[اصله مستقل]],Table134[[#This Row],[A_tree]])</f>
        <v>3.483912483912484</v>
      </c>
    </row>
    <row r="725" spans="2:16" ht="18.600000000000001" x14ac:dyDescent="0.3">
      <c r="B725" s="4" t="s">
        <v>1057</v>
      </c>
      <c r="C725" s="4">
        <v>213</v>
      </c>
      <c r="D725" s="4">
        <v>213</v>
      </c>
      <c r="E725" s="4">
        <v>880</v>
      </c>
      <c r="F725" s="4">
        <v>880</v>
      </c>
      <c r="G725" s="2" t="s">
        <v>21</v>
      </c>
      <c r="H725" s="4">
        <v>9</v>
      </c>
      <c r="I725" s="4">
        <f>Table134[[#This Row],[اصله مستقل]]*Table134[[#This Row],[A_tree]]</f>
        <v>1917</v>
      </c>
      <c r="J725" s="4">
        <f>IF(Table134[[#This Row],[n * A_tree ]]&gt;Table134[[#This Row],[مساحت آدرس]],1,0)</f>
        <v>1</v>
      </c>
      <c r="K725" s="8">
        <f>IF(Table134[[#This Row],[check]]=1,1,Table134[[#This Row],[A_tree]]*Table134[[#This Row],[اصله مستقل]]/Table134[[#This Row],[مساحت آدرس]])</f>
        <v>1</v>
      </c>
      <c r="L725" s="14">
        <f>IF(Table134[[#This Row],[check]]=1,1,(Table134[[#This Row],[Psh]]+0.15*(1-Table134[[#This Row],[Psh]])))</f>
        <v>1</v>
      </c>
      <c r="M725" s="14">
        <f>IF(Table134[[#This Row],[check]]=1,0.65,1)</f>
        <v>0.65</v>
      </c>
      <c r="N725" s="4">
        <v>1</v>
      </c>
      <c r="O725" s="4">
        <f>IF(Table134[[#This Row],[check]]=1,Table134[[#This Row],[مساحت آدرس]]*Table134[[#This Row],[A0 Inc]],Table134[[#This Row],[A_tree]]*Table134[[#This Row],[اصله مستقل]])</f>
        <v>880</v>
      </c>
      <c r="P725" s="11">
        <f>IF(Table134[[#This Row],[check]]=1,Table134[[#This Row],[A0]]/Table134[[#This Row],[اصله مستقل]],Table134[[#This Row],[A_tree]])</f>
        <v>4.131455399061033</v>
      </c>
    </row>
    <row r="726" spans="2:16" ht="18.600000000000001" x14ac:dyDescent="0.3">
      <c r="B726" s="4" t="s">
        <v>1058</v>
      </c>
      <c r="C726" s="4">
        <v>260</v>
      </c>
      <c r="D726" s="4">
        <v>260</v>
      </c>
      <c r="E726" s="4">
        <v>1200</v>
      </c>
      <c r="F726" s="4">
        <v>1200</v>
      </c>
      <c r="G726" s="2" t="s">
        <v>21</v>
      </c>
      <c r="H726" s="4">
        <v>9</v>
      </c>
      <c r="I726" s="4">
        <f>Table134[[#This Row],[اصله مستقل]]*Table134[[#This Row],[A_tree]]</f>
        <v>2340</v>
      </c>
      <c r="J726" s="4">
        <f>IF(Table134[[#This Row],[n * A_tree ]]&gt;Table134[[#This Row],[مساحت آدرس]],1,0)</f>
        <v>1</v>
      </c>
      <c r="K726" s="8">
        <f>IF(Table134[[#This Row],[check]]=1,1,Table134[[#This Row],[A_tree]]*Table134[[#This Row],[اصله مستقل]]/Table134[[#This Row],[مساحت آدرس]])</f>
        <v>1</v>
      </c>
      <c r="L726" s="14">
        <f>IF(Table134[[#This Row],[check]]=1,1,(Table134[[#This Row],[Psh]]+0.15*(1-Table134[[#This Row],[Psh]])))</f>
        <v>1</v>
      </c>
      <c r="M726" s="14">
        <f>IF(Table134[[#This Row],[check]]=1,0.65,1)</f>
        <v>0.65</v>
      </c>
      <c r="N726" s="4">
        <v>1</v>
      </c>
      <c r="O726" s="4">
        <f>IF(Table134[[#This Row],[check]]=1,Table134[[#This Row],[مساحت آدرس]]*Table134[[#This Row],[A0 Inc]],Table134[[#This Row],[A_tree]]*Table134[[#This Row],[اصله مستقل]])</f>
        <v>1200</v>
      </c>
      <c r="P726" s="11">
        <f>IF(Table134[[#This Row],[check]]=1,Table134[[#This Row],[A0]]/Table134[[#This Row],[اصله مستقل]],Table134[[#This Row],[A_tree]])</f>
        <v>4.615384615384615</v>
      </c>
    </row>
    <row r="727" spans="2:16" ht="18.600000000000001" x14ac:dyDescent="0.3">
      <c r="B727" s="4" t="s">
        <v>1059</v>
      </c>
      <c r="C727" s="4">
        <v>360</v>
      </c>
      <c r="D727" s="4">
        <v>360</v>
      </c>
      <c r="E727" s="4">
        <v>1080</v>
      </c>
      <c r="F727" s="4">
        <v>1080</v>
      </c>
      <c r="G727" s="2" t="s">
        <v>21</v>
      </c>
      <c r="H727" s="4">
        <v>9</v>
      </c>
      <c r="I727" s="4">
        <f>Table134[[#This Row],[اصله مستقل]]*Table134[[#This Row],[A_tree]]</f>
        <v>3240</v>
      </c>
      <c r="J727" s="4">
        <f>IF(Table134[[#This Row],[n * A_tree ]]&gt;Table134[[#This Row],[مساحت آدرس]],1,0)</f>
        <v>1</v>
      </c>
      <c r="K727" s="8">
        <f>IF(Table134[[#This Row],[check]]=1,1,Table134[[#This Row],[A_tree]]*Table134[[#This Row],[اصله مستقل]]/Table134[[#This Row],[مساحت آدرس]])</f>
        <v>1</v>
      </c>
      <c r="L727" s="14">
        <f>IF(Table134[[#This Row],[check]]=1,1,(Table134[[#This Row],[Psh]]+0.15*(1-Table134[[#This Row],[Psh]])))</f>
        <v>1</v>
      </c>
      <c r="M727" s="14">
        <f>IF(Table134[[#This Row],[check]]=1,0.65,1)</f>
        <v>0.65</v>
      </c>
      <c r="N727" s="4">
        <v>1</v>
      </c>
      <c r="O727" s="4">
        <f>IF(Table134[[#This Row],[check]]=1,Table134[[#This Row],[مساحت آدرس]]*Table134[[#This Row],[A0 Inc]],Table134[[#This Row],[A_tree]]*Table134[[#This Row],[اصله مستقل]])</f>
        <v>1080</v>
      </c>
      <c r="P727" s="11">
        <f>IF(Table134[[#This Row],[check]]=1,Table134[[#This Row],[A0]]/Table134[[#This Row],[اصله مستقل]],Table134[[#This Row],[A_tree]])</f>
        <v>3</v>
      </c>
    </row>
    <row r="728" spans="2:16" ht="18.600000000000001" x14ac:dyDescent="0.3">
      <c r="B728" s="4" t="s">
        <v>1060</v>
      </c>
      <c r="C728" s="4">
        <v>731</v>
      </c>
      <c r="D728" s="4">
        <v>170</v>
      </c>
      <c r="E728" s="4">
        <v>340</v>
      </c>
      <c r="F728" s="4">
        <v>6081</v>
      </c>
      <c r="G728" s="2" t="s">
        <v>21</v>
      </c>
      <c r="H728" s="4">
        <v>9</v>
      </c>
      <c r="I728" s="4">
        <f>Table134[[#This Row],[اصله مستقل]]*Table134[[#This Row],[A_tree]]</f>
        <v>1530</v>
      </c>
      <c r="J728" s="4">
        <f>IF(Table134[[#This Row],[n * A_tree ]]&gt;Table134[[#This Row],[مساحت آدرس]],1,0)</f>
        <v>0</v>
      </c>
      <c r="K728" s="8">
        <f>IF(Table134[[#This Row],[check]]=1,1,Table134[[#This Row],[A_tree]]*Table134[[#This Row],[اصله مستقل]]/Table134[[#This Row],[مساحت آدرس]])</f>
        <v>0.25160335471139617</v>
      </c>
      <c r="L728" s="14">
        <f>IF(Table134[[#This Row],[check]]=1,1,(Table134[[#This Row],[Psh]]+0.15*(1-Table134[[#This Row],[Psh]])))</f>
        <v>0.36386285150468672</v>
      </c>
      <c r="M728" s="14">
        <f>IF(Table134[[#This Row],[check]]=1,0.65,1)</f>
        <v>1</v>
      </c>
      <c r="N728" s="4">
        <v>1</v>
      </c>
      <c r="O728" s="4">
        <f>IF(Table134[[#This Row],[check]]=1,Table134[[#This Row],[مساحت آدرس]]*Table134[[#This Row],[A0 Inc]],Table134[[#This Row],[A_tree]]*Table134[[#This Row],[اصله مستقل]])</f>
        <v>1530</v>
      </c>
      <c r="P728" s="11">
        <f>IF(Table134[[#This Row],[check]]=1,Table134[[#This Row],[A0]]/Table134[[#This Row],[اصله مستقل]],Table134[[#This Row],[A_tree]])</f>
        <v>9</v>
      </c>
    </row>
    <row r="729" spans="2:16" ht="18.600000000000001" x14ac:dyDescent="0.3">
      <c r="B729" s="4" t="s">
        <v>1061</v>
      </c>
      <c r="C729" s="4">
        <v>1042</v>
      </c>
      <c r="D729" s="4">
        <v>835.06666666666661</v>
      </c>
      <c r="E729" s="4">
        <v>3065</v>
      </c>
      <c r="F729" s="4">
        <v>4215</v>
      </c>
      <c r="G729" s="2" t="s">
        <v>21</v>
      </c>
      <c r="H729" s="4">
        <v>9</v>
      </c>
      <c r="I729" s="4">
        <f>Table134[[#This Row],[اصله مستقل]]*Table134[[#This Row],[A_tree]]</f>
        <v>7515.5999999999995</v>
      </c>
      <c r="J729" s="4">
        <f>IF(Table134[[#This Row],[n * A_tree ]]&gt;Table134[[#This Row],[مساحت آدرس]],1,0)</f>
        <v>1</v>
      </c>
      <c r="K729" s="8">
        <f>IF(Table134[[#This Row],[check]]=1,1,Table134[[#This Row],[A_tree]]*Table134[[#This Row],[اصله مستقل]]/Table134[[#This Row],[مساحت آدرس]])</f>
        <v>1</v>
      </c>
      <c r="L729" s="14">
        <f>IF(Table134[[#This Row],[check]]=1,1,(Table134[[#This Row],[Psh]]+0.15*(1-Table134[[#This Row],[Psh]])))</f>
        <v>1</v>
      </c>
      <c r="M729" s="14">
        <f>IF(Table134[[#This Row],[check]]=1,0.65,1)</f>
        <v>0.65</v>
      </c>
      <c r="N729" s="4">
        <v>1</v>
      </c>
      <c r="O729" s="4">
        <f>IF(Table134[[#This Row],[check]]=1,Table134[[#This Row],[مساحت آدرس]]*Table134[[#This Row],[A0 Inc]],Table134[[#This Row],[A_tree]]*Table134[[#This Row],[اصله مستقل]])</f>
        <v>4215</v>
      </c>
      <c r="P729" s="11">
        <f>IF(Table134[[#This Row],[check]]=1,Table134[[#This Row],[A0]]/Table134[[#This Row],[اصله مستقل]],Table134[[#This Row],[A_tree]])</f>
        <v>5.047501197509181</v>
      </c>
    </row>
    <row r="730" spans="2:16" ht="18.600000000000001" x14ac:dyDescent="0.3">
      <c r="B730" s="4" t="s">
        <v>1062</v>
      </c>
      <c r="C730" s="4">
        <v>1715</v>
      </c>
      <c r="D730" s="4">
        <v>1664.5333333333333</v>
      </c>
      <c r="E730" s="4">
        <v>3992</v>
      </c>
      <c r="F730" s="4">
        <v>5347</v>
      </c>
      <c r="G730" s="2" t="s">
        <v>21</v>
      </c>
      <c r="H730" s="4">
        <v>9</v>
      </c>
      <c r="I730" s="4">
        <f>Table134[[#This Row],[اصله مستقل]]*Table134[[#This Row],[A_tree]]</f>
        <v>14980.8</v>
      </c>
      <c r="J730" s="4">
        <f>IF(Table134[[#This Row],[n * A_tree ]]&gt;Table134[[#This Row],[مساحت آدرس]],1,0)</f>
        <v>1</v>
      </c>
      <c r="K730" s="8">
        <f>IF(Table134[[#This Row],[check]]=1,1,Table134[[#This Row],[A_tree]]*Table134[[#This Row],[اصله مستقل]]/Table134[[#This Row],[مساحت آدرس]])</f>
        <v>1</v>
      </c>
      <c r="L730" s="14">
        <f>IF(Table134[[#This Row],[check]]=1,1,(Table134[[#This Row],[Psh]]+0.15*(1-Table134[[#This Row],[Psh]])))</f>
        <v>1</v>
      </c>
      <c r="M730" s="14">
        <f>IF(Table134[[#This Row],[check]]=1,0.65,1)</f>
        <v>0.65</v>
      </c>
      <c r="N730" s="4">
        <v>1</v>
      </c>
      <c r="O730" s="4">
        <f>IF(Table134[[#This Row],[check]]=1,Table134[[#This Row],[مساحت آدرس]]*Table134[[#This Row],[A0 Inc]],Table134[[#This Row],[A_tree]]*Table134[[#This Row],[اصله مستقل]])</f>
        <v>5347</v>
      </c>
      <c r="P730" s="11">
        <f>IF(Table134[[#This Row],[check]]=1,Table134[[#This Row],[A0]]/Table134[[#This Row],[اصله مستقل]],Table134[[#This Row],[A_tree]])</f>
        <v>3.2123117590515862</v>
      </c>
    </row>
    <row r="731" spans="2:16" ht="18.600000000000001" x14ac:dyDescent="0.3">
      <c r="B731" s="4" t="s">
        <v>1063</v>
      </c>
      <c r="C731" s="4">
        <v>1595</v>
      </c>
      <c r="D731" s="4">
        <v>565</v>
      </c>
      <c r="E731" s="4">
        <v>4124</v>
      </c>
      <c r="F731" s="4">
        <v>8760</v>
      </c>
      <c r="G731" s="2" t="s">
        <v>21</v>
      </c>
      <c r="H731" s="4">
        <v>9</v>
      </c>
      <c r="I731" s="4">
        <f>Table134[[#This Row],[اصله مستقل]]*Table134[[#This Row],[A_tree]]</f>
        <v>5085</v>
      </c>
      <c r="J731" s="4">
        <f>IF(Table134[[#This Row],[n * A_tree ]]&gt;Table134[[#This Row],[مساحت آدرس]],1,0)</f>
        <v>0</v>
      </c>
      <c r="K731" s="8">
        <f>IF(Table134[[#This Row],[check]]=1,1,Table134[[#This Row],[A_tree]]*Table134[[#This Row],[اصله مستقل]]/Table134[[#This Row],[مساحت آدرس]])</f>
        <v>0.58047945205479456</v>
      </c>
      <c r="L731" s="14">
        <f>IF(Table134[[#This Row],[check]]=1,1,(Table134[[#This Row],[Psh]]+0.15*(1-Table134[[#This Row],[Psh]])))</f>
        <v>0.64340753424657537</v>
      </c>
      <c r="M731" s="14">
        <f>IF(Table134[[#This Row],[check]]=1,0.65,1)</f>
        <v>1</v>
      </c>
      <c r="N731" s="4">
        <v>1</v>
      </c>
      <c r="O731" s="4">
        <f>IF(Table134[[#This Row],[check]]=1,Table134[[#This Row],[مساحت آدرس]]*Table134[[#This Row],[A0 Inc]],Table134[[#This Row],[A_tree]]*Table134[[#This Row],[اصله مستقل]])</f>
        <v>5085</v>
      </c>
      <c r="P731" s="11">
        <f>IF(Table134[[#This Row],[check]]=1,Table134[[#This Row],[A0]]/Table134[[#This Row],[اصله مستقل]],Table134[[#This Row],[A_tree]])</f>
        <v>9</v>
      </c>
    </row>
    <row r="732" spans="2:16" ht="18.600000000000001" x14ac:dyDescent="0.3">
      <c r="B732" s="4" t="s">
        <v>1064</v>
      </c>
      <c r="C732" s="4">
        <v>1644</v>
      </c>
      <c r="D732" s="4">
        <v>885</v>
      </c>
      <c r="E732" s="4">
        <v>2749</v>
      </c>
      <c r="F732" s="4">
        <v>9019</v>
      </c>
      <c r="G732" s="2" t="s">
        <v>21</v>
      </c>
      <c r="H732" s="4">
        <v>9</v>
      </c>
      <c r="I732" s="4">
        <f>Table134[[#This Row],[اصله مستقل]]*Table134[[#This Row],[A_tree]]</f>
        <v>7965</v>
      </c>
      <c r="J732" s="4">
        <f>IF(Table134[[#This Row],[n * A_tree ]]&gt;Table134[[#This Row],[مساحت آدرس]],1,0)</f>
        <v>0</v>
      </c>
      <c r="K732" s="8">
        <f>IF(Table134[[#This Row],[check]]=1,1,Table134[[#This Row],[A_tree]]*Table134[[#This Row],[اصله مستقل]]/Table134[[#This Row],[مساحت آدرس]])</f>
        <v>0.8831356026166981</v>
      </c>
      <c r="L732" s="14">
        <f>IF(Table134[[#This Row],[check]]=1,1,(Table134[[#This Row],[Psh]]+0.15*(1-Table134[[#This Row],[Psh]])))</f>
        <v>0.90066526222419341</v>
      </c>
      <c r="M732" s="14">
        <f>IF(Table134[[#This Row],[check]]=1,0.65,1)</f>
        <v>1</v>
      </c>
      <c r="N732" s="4">
        <v>1</v>
      </c>
      <c r="O732" s="4">
        <f>IF(Table134[[#This Row],[check]]=1,Table134[[#This Row],[مساحت آدرس]]*Table134[[#This Row],[A0 Inc]],Table134[[#This Row],[A_tree]]*Table134[[#This Row],[اصله مستقل]])</f>
        <v>7965</v>
      </c>
      <c r="P732" s="11">
        <f>IF(Table134[[#This Row],[check]]=1,Table134[[#This Row],[A0]]/Table134[[#This Row],[اصله مستقل]],Table134[[#This Row],[A_tree]])</f>
        <v>9</v>
      </c>
    </row>
    <row r="733" spans="2:16" ht="18.600000000000001" x14ac:dyDescent="0.3">
      <c r="B733" s="4" t="s">
        <v>1065</v>
      </c>
      <c r="C733" s="4">
        <v>857</v>
      </c>
      <c r="D733" s="4">
        <v>857</v>
      </c>
      <c r="E733" s="4">
        <v>2876</v>
      </c>
      <c r="F733" s="4">
        <v>3246</v>
      </c>
      <c r="G733" s="2" t="s">
        <v>21</v>
      </c>
      <c r="H733" s="4">
        <v>9</v>
      </c>
      <c r="I733" s="4">
        <f>Table134[[#This Row],[اصله مستقل]]*Table134[[#This Row],[A_tree]]</f>
        <v>7713</v>
      </c>
      <c r="J733" s="4">
        <f>IF(Table134[[#This Row],[n * A_tree ]]&gt;Table134[[#This Row],[مساحت آدرس]],1,0)</f>
        <v>1</v>
      </c>
      <c r="K733" s="8">
        <f>IF(Table134[[#This Row],[check]]=1,1,Table134[[#This Row],[A_tree]]*Table134[[#This Row],[اصله مستقل]]/Table134[[#This Row],[مساحت آدرس]])</f>
        <v>1</v>
      </c>
      <c r="L733" s="14">
        <f>IF(Table134[[#This Row],[check]]=1,1,(Table134[[#This Row],[Psh]]+0.15*(1-Table134[[#This Row],[Psh]])))</f>
        <v>1</v>
      </c>
      <c r="M733" s="14">
        <f>IF(Table134[[#This Row],[check]]=1,0.65,1)</f>
        <v>0.65</v>
      </c>
      <c r="N733" s="4">
        <v>1</v>
      </c>
      <c r="O733" s="4">
        <f>IF(Table134[[#This Row],[check]]=1,Table134[[#This Row],[مساحت آدرس]]*Table134[[#This Row],[A0 Inc]],Table134[[#This Row],[A_tree]]*Table134[[#This Row],[اصله مستقل]])</f>
        <v>3246</v>
      </c>
      <c r="P733" s="11">
        <f>IF(Table134[[#This Row],[check]]=1,Table134[[#This Row],[A0]]/Table134[[#This Row],[اصله مستقل]],Table134[[#This Row],[A_tree]])</f>
        <v>3.7876312718786465</v>
      </c>
    </row>
    <row r="734" spans="2:16" ht="18.600000000000001" x14ac:dyDescent="0.3">
      <c r="B734" s="4" t="s">
        <v>1090</v>
      </c>
      <c r="C734" s="4">
        <v>13142</v>
      </c>
      <c r="D734" s="4">
        <v>10375</v>
      </c>
      <c r="E734" s="4">
        <v>57697</v>
      </c>
      <c r="F734" s="4">
        <v>159098</v>
      </c>
      <c r="G734" s="2" t="s">
        <v>283</v>
      </c>
      <c r="H734" s="4">
        <v>9</v>
      </c>
      <c r="I734" s="4">
        <f>Table134[[#This Row],[اصله مستقل]]*Table134[[#This Row],[A_tree]]</f>
        <v>93375</v>
      </c>
      <c r="J734" s="4">
        <f>IF(Table134[[#This Row],[n * A_tree ]]&gt;Table134[[#This Row],[مساحت آدرس]],1,0)</f>
        <v>0</v>
      </c>
      <c r="K734" s="8">
        <f>IF(Table134[[#This Row],[check]]=1,1,Table134[[#This Row],[A_tree]]*Table134[[#This Row],[اصله مستقل]]/Table134[[#This Row],[مساحت آدرس]])</f>
        <v>0.58690241234962104</v>
      </c>
      <c r="L734" s="14">
        <f>IF(Table134[[#This Row],[check]]=1,1,(Table134[[#This Row],[Psh]]+0.15*(1-Table134[[#This Row],[Psh]])))</f>
        <v>0.64886705049717786</v>
      </c>
      <c r="M734" s="14">
        <f>IF(Table134[[#This Row],[check]]=1,0.65,1)</f>
        <v>1</v>
      </c>
      <c r="N734" s="4">
        <v>1</v>
      </c>
      <c r="O734" s="4">
        <f>IF(Table134[[#This Row],[check]]=1,Table134[[#This Row],[مساحت آدرس]]*Table134[[#This Row],[A0 Inc]],Table134[[#This Row],[A_tree]]*Table134[[#This Row],[اصله مستقل]])</f>
        <v>93375</v>
      </c>
      <c r="P734" s="11">
        <f>IF(Table134[[#This Row],[check]]=1,Table134[[#This Row],[A0]]/Table134[[#This Row],[اصله مستقل]],Table134[[#This Row],[A_tree]])</f>
        <v>9</v>
      </c>
    </row>
    <row r="735" spans="2:16" ht="18.600000000000001" x14ac:dyDescent="0.3">
      <c r="B735" s="4" t="s">
        <v>1091</v>
      </c>
      <c r="C735" s="4">
        <v>6196</v>
      </c>
      <c r="D735" s="4">
        <v>3616</v>
      </c>
      <c r="E735" s="4">
        <v>14202</v>
      </c>
      <c r="F735" s="4">
        <v>28772</v>
      </c>
      <c r="G735" s="2" t="s">
        <v>300</v>
      </c>
      <c r="H735" s="4">
        <v>9</v>
      </c>
      <c r="I735" s="4">
        <f>Table134[[#This Row],[اصله مستقل]]*Table134[[#This Row],[A_tree]]</f>
        <v>32544</v>
      </c>
      <c r="J735" s="4">
        <f>IF(Table134[[#This Row],[n * A_tree ]]&gt;Table134[[#This Row],[مساحت آدرس]],1,0)</f>
        <v>1</v>
      </c>
      <c r="K735" s="8">
        <f>IF(Table134[[#This Row],[check]]=1,1,Table134[[#This Row],[A_tree]]*Table134[[#This Row],[اصله مستقل]]/Table134[[#This Row],[مساحت آدرس]])</f>
        <v>1</v>
      </c>
      <c r="L735" s="14">
        <f>IF(Table134[[#This Row],[check]]=1,1,(Table134[[#This Row],[Psh]]+0.15*(1-Table134[[#This Row],[Psh]])))</f>
        <v>1</v>
      </c>
      <c r="M735" s="14">
        <f>IF(Table134[[#This Row],[check]]=1,0.65,1)</f>
        <v>0.65</v>
      </c>
      <c r="N735" s="4">
        <v>1</v>
      </c>
      <c r="O735" s="4">
        <f>IF(Table134[[#This Row],[check]]=1,Table134[[#This Row],[مساحت آدرس]]*Table134[[#This Row],[A0 Inc]],Table134[[#This Row],[A_tree]]*Table134[[#This Row],[اصله مستقل]])</f>
        <v>28772</v>
      </c>
      <c r="P735" s="11">
        <f>IF(Table134[[#This Row],[check]]=1,Table134[[#This Row],[A0]]/Table134[[#This Row],[اصله مستقل]],Table134[[#This Row],[A_tree]])</f>
        <v>7.956858407079646</v>
      </c>
    </row>
    <row r="736" spans="2:16" ht="18.600000000000001" x14ac:dyDescent="0.3">
      <c r="B736" s="4" t="s">
        <v>1092</v>
      </c>
      <c r="C736" s="4">
        <v>502</v>
      </c>
      <c r="D736" s="4">
        <v>130</v>
      </c>
      <c r="E736" s="4">
        <v>155</v>
      </c>
      <c r="F736" s="4">
        <v>10654</v>
      </c>
      <c r="G736" s="2" t="s">
        <v>66</v>
      </c>
      <c r="H736" s="4">
        <v>9</v>
      </c>
      <c r="I736" s="4">
        <f>Table134[[#This Row],[اصله مستقل]]*Table134[[#This Row],[A_tree]]</f>
        <v>1170</v>
      </c>
      <c r="J736" s="4">
        <f>IF(Table134[[#This Row],[n * A_tree ]]&gt;Table134[[#This Row],[مساحت آدرس]],1,0)</f>
        <v>0</v>
      </c>
      <c r="K736" s="8">
        <f>IF(Table134[[#This Row],[check]]=1,1,Table134[[#This Row],[A_tree]]*Table134[[#This Row],[اصله مستقل]]/Table134[[#This Row],[مساحت آدرس]])</f>
        <v>0.10981790876666041</v>
      </c>
      <c r="L736" s="14">
        <f>IF(Table134[[#This Row],[check]]=1,1,(Table134[[#This Row],[Psh]]+0.15*(1-Table134[[#This Row],[Psh]])))</f>
        <v>0.24334522245166135</v>
      </c>
      <c r="M736" s="14">
        <f>IF(Table134[[#This Row],[check]]=1,0.65,1)</f>
        <v>1</v>
      </c>
      <c r="N736" s="4">
        <v>1</v>
      </c>
      <c r="O736" s="4">
        <f>IF(Table134[[#This Row],[check]]=1,Table134[[#This Row],[مساحت آدرس]]*Table134[[#This Row],[A0 Inc]],Table134[[#This Row],[A_tree]]*Table134[[#This Row],[اصله مستقل]])</f>
        <v>1170</v>
      </c>
      <c r="P736" s="11">
        <f>IF(Table134[[#This Row],[check]]=1,Table134[[#This Row],[A0]]/Table134[[#This Row],[اصله مستقل]],Table134[[#This Row],[A_tree]])</f>
        <v>9</v>
      </c>
    </row>
    <row r="737" spans="2:16" ht="18.600000000000001" x14ac:dyDescent="0.3">
      <c r="B737" s="4" t="s">
        <v>1093</v>
      </c>
      <c r="C737" s="4">
        <v>510</v>
      </c>
      <c r="D737" s="4">
        <v>310</v>
      </c>
      <c r="E737" s="4">
        <v>971</v>
      </c>
      <c r="F737" s="4">
        <v>3501</v>
      </c>
      <c r="G737" s="2" t="s">
        <v>3</v>
      </c>
      <c r="H737" s="4">
        <v>9</v>
      </c>
      <c r="I737" s="4">
        <f>Table134[[#This Row],[اصله مستقل]]*Table134[[#This Row],[A_tree]]</f>
        <v>2790</v>
      </c>
      <c r="J737" s="4">
        <f>IF(Table134[[#This Row],[n * A_tree ]]&gt;Table134[[#This Row],[مساحت آدرس]],1,0)</f>
        <v>0</v>
      </c>
      <c r="K737" s="8">
        <f>IF(Table134[[#This Row],[check]]=1,1,Table134[[#This Row],[A_tree]]*Table134[[#This Row],[اصله مستقل]]/Table134[[#This Row],[مساحت آدرس]])</f>
        <v>0.79691516709511567</v>
      </c>
      <c r="L737" s="14">
        <f>IF(Table134[[#This Row],[check]]=1,1,(Table134[[#This Row],[Psh]]+0.15*(1-Table134[[#This Row],[Psh]])))</f>
        <v>0.82737789203084833</v>
      </c>
      <c r="M737" s="14">
        <f>IF(Table134[[#This Row],[check]]=1,0.65,1)</f>
        <v>1</v>
      </c>
      <c r="N737" s="4">
        <v>1</v>
      </c>
      <c r="O737" s="4">
        <f>IF(Table134[[#This Row],[check]]=1,Table134[[#This Row],[مساحت آدرس]]*Table134[[#This Row],[A0 Inc]],Table134[[#This Row],[A_tree]]*Table134[[#This Row],[اصله مستقل]])</f>
        <v>2790</v>
      </c>
      <c r="P737" s="11">
        <f>IF(Table134[[#This Row],[check]]=1,Table134[[#This Row],[A0]]/Table134[[#This Row],[اصله مستقل]],Table134[[#This Row],[A_tree]])</f>
        <v>9</v>
      </c>
    </row>
    <row r="738" spans="2:16" ht="18.600000000000001" x14ac:dyDescent="0.3">
      <c r="B738" s="4" t="s">
        <v>1094</v>
      </c>
      <c r="C738" s="4">
        <v>212</v>
      </c>
      <c r="D738" s="4">
        <v>212</v>
      </c>
      <c r="E738" s="4">
        <v>1378</v>
      </c>
      <c r="F738" s="4">
        <v>2892</v>
      </c>
      <c r="G738" s="2" t="s">
        <v>3</v>
      </c>
      <c r="H738" s="4">
        <v>9</v>
      </c>
      <c r="I738" s="4">
        <f>Table134[[#This Row],[اصله مستقل]]*Table134[[#This Row],[A_tree]]</f>
        <v>1908</v>
      </c>
      <c r="J738" s="4">
        <f>IF(Table134[[#This Row],[n * A_tree ]]&gt;Table134[[#This Row],[مساحت آدرس]],1,0)</f>
        <v>0</v>
      </c>
      <c r="K738" s="8">
        <f>IF(Table134[[#This Row],[check]]=1,1,Table134[[#This Row],[A_tree]]*Table134[[#This Row],[اصله مستقل]]/Table134[[#This Row],[مساحت آدرس]])</f>
        <v>0.65975103734439833</v>
      </c>
      <c r="L738" s="14">
        <f>IF(Table134[[#This Row],[check]]=1,1,(Table134[[#This Row],[Psh]]+0.15*(1-Table134[[#This Row],[Psh]])))</f>
        <v>0.71078838174273862</v>
      </c>
      <c r="M738" s="14">
        <f>IF(Table134[[#This Row],[check]]=1,0.65,1)</f>
        <v>1</v>
      </c>
      <c r="N738" s="4">
        <v>1</v>
      </c>
      <c r="O738" s="4">
        <f>IF(Table134[[#This Row],[check]]=1,Table134[[#This Row],[مساحت آدرس]]*Table134[[#This Row],[A0 Inc]],Table134[[#This Row],[A_tree]]*Table134[[#This Row],[اصله مستقل]])</f>
        <v>1908</v>
      </c>
      <c r="P738" s="11">
        <f>IF(Table134[[#This Row],[check]]=1,Table134[[#This Row],[A0]]/Table134[[#This Row],[اصله مستقل]],Table134[[#This Row],[A_tree]])</f>
        <v>9</v>
      </c>
    </row>
    <row r="739" spans="2:16" ht="18.600000000000001" x14ac:dyDescent="0.3">
      <c r="B739" s="4" t="s">
        <v>1095</v>
      </c>
      <c r="C739" s="4">
        <v>1075</v>
      </c>
      <c r="D739" s="4">
        <v>786</v>
      </c>
      <c r="E739" s="4">
        <v>786</v>
      </c>
      <c r="F739" s="4">
        <v>5886</v>
      </c>
      <c r="G739" s="2" t="s">
        <v>3</v>
      </c>
      <c r="H739" s="4">
        <v>9</v>
      </c>
      <c r="I739" s="4">
        <f>Table134[[#This Row],[اصله مستقل]]*Table134[[#This Row],[A_tree]]</f>
        <v>7074</v>
      </c>
      <c r="J739" s="4">
        <f>IF(Table134[[#This Row],[n * A_tree ]]&gt;Table134[[#This Row],[مساحت آدرس]],1,0)</f>
        <v>1</v>
      </c>
      <c r="K739" s="8">
        <f>IF(Table134[[#This Row],[check]]=1,1,Table134[[#This Row],[A_tree]]*Table134[[#This Row],[اصله مستقل]]/Table134[[#This Row],[مساحت آدرس]])</f>
        <v>1</v>
      </c>
      <c r="L739" s="14">
        <f>IF(Table134[[#This Row],[check]]=1,1,(Table134[[#This Row],[Psh]]+0.15*(1-Table134[[#This Row],[Psh]])))</f>
        <v>1</v>
      </c>
      <c r="M739" s="14">
        <f>IF(Table134[[#This Row],[check]]=1,0.65,1)</f>
        <v>0.65</v>
      </c>
      <c r="N739" s="4">
        <v>1</v>
      </c>
      <c r="O739" s="4">
        <f>IF(Table134[[#This Row],[check]]=1,Table134[[#This Row],[مساحت آدرس]]*Table134[[#This Row],[A0 Inc]],Table134[[#This Row],[A_tree]]*Table134[[#This Row],[اصله مستقل]])</f>
        <v>5886</v>
      </c>
      <c r="P739" s="11">
        <f>IF(Table134[[#This Row],[check]]=1,Table134[[#This Row],[A0]]/Table134[[#This Row],[اصله مستقل]],Table134[[#This Row],[A_tree]])</f>
        <v>7.4885496183206106</v>
      </c>
    </row>
    <row r="740" spans="2:16" ht="18.600000000000001" x14ac:dyDescent="0.3">
      <c r="B740" s="4" t="s">
        <v>1096</v>
      </c>
      <c r="C740" s="4">
        <v>180</v>
      </c>
      <c r="D740" s="4">
        <v>153</v>
      </c>
      <c r="E740" s="4">
        <v>301</v>
      </c>
      <c r="F740" s="4">
        <v>2560</v>
      </c>
      <c r="G740" s="2" t="s">
        <v>3</v>
      </c>
      <c r="H740" s="4">
        <v>9</v>
      </c>
      <c r="I740" s="4">
        <f>Table134[[#This Row],[اصله مستقل]]*Table134[[#This Row],[A_tree]]</f>
        <v>1377</v>
      </c>
      <c r="J740" s="4">
        <f>IF(Table134[[#This Row],[n * A_tree ]]&gt;Table134[[#This Row],[مساحت آدرس]],1,0)</f>
        <v>0</v>
      </c>
      <c r="K740" s="8">
        <f>IF(Table134[[#This Row],[check]]=1,1,Table134[[#This Row],[A_tree]]*Table134[[#This Row],[اصله مستقل]]/Table134[[#This Row],[مساحت آدرس]])</f>
        <v>0.53789062499999996</v>
      </c>
      <c r="L740" s="14">
        <f>IF(Table134[[#This Row],[check]]=1,1,(Table134[[#This Row],[Psh]]+0.15*(1-Table134[[#This Row],[Psh]])))</f>
        <v>0.60720703124999997</v>
      </c>
      <c r="M740" s="14">
        <f>IF(Table134[[#This Row],[check]]=1,0.65,1)</f>
        <v>1</v>
      </c>
      <c r="N740" s="4">
        <v>1</v>
      </c>
      <c r="O740" s="4">
        <f>IF(Table134[[#This Row],[check]]=1,Table134[[#This Row],[مساحت آدرس]]*Table134[[#This Row],[A0 Inc]],Table134[[#This Row],[A_tree]]*Table134[[#This Row],[اصله مستقل]])</f>
        <v>1377</v>
      </c>
      <c r="P740" s="11">
        <f>IF(Table134[[#This Row],[check]]=1,Table134[[#This Row],[A0]]/Table134[[#This Row],[اصله مستقل]],Table134[[#This Row],[A_tree]])</f>
        <v>9</v>
      </c>
    </row>
    <row r="741" spans="2:16" ht="18.600000000000001" x14ac:dyDescent="0.3">
      <c r="B741" s="4" t="s">
        <v>1104</v>
      </c>
      <c r="C741" s="4">
        <v>403</v>
      </c>
      <c r="D741" s="4">
        <v>543</v>
      </c>
      <c r="E741" s="4">
        <v>1881</v>
      </c>
      <c r="F741" s="4">
        <v>1881</v>
      </c>
      <c r="G741" s="2" t="s">
        <v>21</v>
      </c>
      <c r="H741" s="4">
        <v>9</v>
      </c>
      <c r="I741" s="4">
        <f>Table134[[#This Row],[اصله مستقل]]*Table134[[#This Row],[A_tree]]</f>
        <v>4887</v>
      </c>
      <c r="J741" s="4">
        <f>IF(Table134[[#This Row],[n * A_tree ]]&gt;Table134[[#This Row],[مساحت آدرس]],1,0)</f>
        <v>1</v>
      </c>
      <c r="K741" s="8">
        <f>IF(Table134[[#This Row],[check]]=1,1,Table134[[#This Row],[A_tree]]*Table134[[#This Row],[اصله مستقل]]/Table134[[#This Row],[مساحت آدرس]])</f>
        <v>1</v>
      </c>
      <c r="L741" s="14">
        <f>IF(Table134[[#This Row],[check]]=1,1,(Table134[[#This Row],[Psh]]+0.15*(1-Table134[[#This Row],[Psh]])))</f>
        <v>1</v>
      </c>
      <c r="M741" s="14">
        <f>IF(Table134[[#This Row],[check]]=1,0.65,1)</f>
        <v>0.65</v>
      </c>
      <c r="N741" s="4">
        <v>1</v>
      </c>
      <c r="O741" s="4">
        <f>IF(Table134[[#This Row],[check]]=1,Table134[[#This Row],[مساحت آدرس]]*Table134[[#This Row],[A0 Inc]],Table134[[#This Row],[A_tree]]*Table134[[#This Row],[اصله مستقل]])</f>
        <v>1881</v>
      </c>
      <c r="P741" s="11">
        <f>IF(Table134[[#This Row],[check]]=1,Table134[[#This Row],[A0]]/Table134[[#This Row],[اصله مستقل]],Table134[[#This Row],[A_tree]])</f>
        <v>3.4640883977900554</v>
      </c>
    </row>
    <row r="742" spans="2:16" ht="18.600000000000001" x14ac:dyDescent="0.3">
      <c r="B742" s="4" t="s">
        <v>1105</v>
      </c>
      <c r="C742" s="4">
        <v>1205</v>
      </c>
      <c r="D742" s="4">
        <v>664</v>
      </c>
      <c r="E742" s="4">
        <v>2571</v>
      </c>
      <c r="F742" s="4">
        <v>3426</v>
      </c>
      <c r="G742" s="2" t="s">
        <v>21</v>
      </c>
      <c r="H742" s="4">
        <v>9</v>
      </c>
      <c r="I742" s="4">
        <f>Table134[[#This Row],[اصله مستقل]]*Table134[[#This Row],[A_tree]]</f>
        <v>5976</v>
      </c>
      <c r="J742" s="4">
        <f>IF(Table134[[#This Row],[n * A_tree ]]&gt;Table134[[#This Row],[مساحت آدرس]],1,0)</f>
        <v>1</v>
      </c>
      <c r="K742" s="8">
        <f>IF(Table134[[#This Row],[check]]=1,1,Table134[[#This Row],[A_tree]]*Table134[[#This Row],[اصله مستقل]]/Table134[[#This Row],[مساحت آدرس]])</f>
        <v>1</v>
      </c>
      <c r="L742" s="14">
        <f>IF(Table134[[#This Row],[check]]=1,1,(Table134[[#This Row],[Psh]]+0.15*(1-Table134[[#This Row],[Psh]])))</f>
        <v>1</v>
      </c>
      <c r="M742" s="14">
        <f>IF(Table134[[#This Row],[check]]=1,0.65,1)</f>
        <v>0.65</v>
      </c>
      <c r="N742" s="4">
        <v>1</v>
      </c>
      <c r="O742" s="4">
        <f>IF(Table134[[#This Row],[check]]=1,Table134[[#This Row],[مساحت آدرس]]*Table134[[#This Row],[A0 Inc]],Table134[[#This Row],[A_tree]]*Table134[[#This Row],[اصله مستقل]])</f>
        <v>3426</v>
      </c>
      <c r="P742" s="11">
        <f>IF(Table134[[#This Row],[check]]=1,Table134[[#This Row],[A0]]/Table134[[#This Row],[اصله مستقل]],Table134[[#This Row],[A_tree]])</f>
        <v>5.1596385542168672</v>
      </c>
    </row>
    <row r="743" spans="2:16" ht="18.600000000000001" x14ac:dyDescent="0.3">
      <c r="B743" s="4" t="s">
        <v>1106</v>
      </c>
      <c r="C743" s="4">
        <v>1890</v>
      </c>
      <c r="D743" s="4">
        <v>939</v>
      </c>
      <c r="E743" s="4">
        <v>3392</v>
      </c>
      <c r="F743" s="4">
        <v>8313</v>
      </c>
      <c r="G743" s="2" t="s">
        <v>21</v>
      </c>
      <c r="H743" s="4">
        <v>9</v>
      </c>
      <c r="I743" s="4">
        <f>Table134[[#This Row],[اصله مستقل]]*Table134[[#This Row],[A_tree]]</f>
        <v>8451</v>
      </c>
      <c r="J743" s="4">
        <f>IF(Table134[[#This Row],[n * A_tree ]]&gt;Table134[[#This Row],[مساحت آدرس]],1,0)</f>
        <v>1</v>
      </c>
      <c r="K743" s="8">
        <f>IF(Table134[[#This Row],[check]]=1,1,Table134[[#This Row],[A_tree]]*Table134[[#This Row],[اصله مستقل]]/Table134[[#This Row],[مساحت آدرس]])</f>
        <v>1</v>
      </c>
      <c r="L743" s="14">
        <f>IF(Table134[[#This Row],[check]]=1,1,(Table134[[#This Row],[Psh]]+0.15*(1-Table134[[#This Row],[Psh]])))</f>
        <v>1</v>
      </c>
      <c r="M743" s="14">
        <f>IF(Table134[[#This Row],[check]]=1,0.65,1)</f>
        <v>0.65</v>
      </c>
      <c r="N743" s="4">
        <v>1</v>
      </c>
      <c r="O743" s="4">
        <f>IF(Table134[[#This Row],[check]]=1,Table134[[#This Row],[مساحت آدرس]]*Table134[[#This Row],[A0 Inc]],Table134[[#This Row],[A_tree]]*Table134[[#This Row],[اصله مستقل]])</f>
        <v>8313</v>
      </c>
      <c r="P743" s="11">
        <f>IF(Table134[[#This Row],[check]]=1,Table134[[#This Row],[A0]]/Table134[[#This Row],[اصله مستقل]],Table134[[#This Row],[A_tree]])</f>
        <v>8.8530351437699686</v>
      </c>
    </row>
    <row r="744" spans="2:16" ht="18.600000000000001" x14ac:dyDescent="0.3">
      <c r="B744" s="4" t="s">
        <v>1107</v>
      </c>
      <c r="C744" s="4">
        <v>1786</v>
      </c>
      <c r="D744" s="4">
        <v>428</v>
      </c>
      <c r="E744" s="4">
        <v>3200</v>
      </c>
      <c r="F744" s="4">
        <v>10185</v>
      </c>
      <c r="G744" s="2" t="s">
        <v>21</v>
      </c>
      <c r="H744" s="4">
        <v>9</v>
      </c>
      <c r="I744" s="4">
        <f>Table134[[#This Row],[اصله مستقل]]*Table134[[#This Row],[A_tree]]</f>
        <v>3852</v>
      </c>
      <c r="J744" s="4">
        <f>IF(Table134[[#This Row],[n * A_tree ]]&gt;Table134[[#This Row],[مساحت آدرس]],1,0)</f>
        <v>0</v>
      </c>
      <c r="K744" s="8">
        <f>IF(Table134[[#This Row],[check]]=1,1,Table134[[#This Row],[A_tree]]*Table134[[#This Row],[اصله مستقل]]/Table134[[#This Row],[مساحت آدرس]])</f>
        <v>0.37820324005891015</v>
      </c>
      <c r="L744" s="14">
        <f>IF(Table134[[#This Row],[check]]=1,1,(Table134[[#This Row],[Psh]]+0.15*(1-Table134[[#This Row],[Psh]])))</f>
        <v>0.47147275405007361</v>
      </c>
      <c r="M744" s="14">
        <f>IF(Table134[[#This Row],[check]]=1,0.65,1)</f>
        <v>1</v>
      </c>
      <c r="N744" s="4">
        <v>1</v>
      </c>
      <c r="O744" s="4">
        <f>IF(Table134[[#This Row],[check]]=1,Table134[[#This Row],[مساحت آدرس]]*Table134[[#This Row],[A0 Inc]],Table134[[#This Row],[A_tree]]*Table134[[#This Row],[اصله مستقل]])</f>
        <v>3852</v>
      </c>
      <c r="P744" s="11">
        <f>IF(Table134[[#This Row],[check]]=1,Table134[[#This Row],[A0]]/Table134[[#This Row],[اصله مستقل]],Table134[[#This Row],[A_tree]])</f>
        <v>9</v>
      </c>
    </row>
    <row r="745" spans="2:16" ht="18.600000000000001" x14ac:dyDescent="0.3">
      <c r="B745" s="4" t="s">
        <v>1108</v>
      </c>
      <c r="C745" s="4">
        <v>729</v>
      </c>
      <c r="D745" s="4">
        <v>339</v>
      </c>
      <c r="E745" s="4">
        <v>2241</v>
      </c>
      <c r="F745" s="4">
        <v>3987</v>
      </c>
      <c r="G745" s="2" t="s">
        <v>21</v>
      </c>
      <c r="H745" s="4">
        <v>9</v>
      </c>
      <c r="I745" s="4">
        <f>Table134[[#This Row],[اصله مستقل]]*Table134[[#This Row],[A_tree]]</f>
        <v>3051</v>
      </c>
      <c r="J745" s="4">
        <f>IF(Table134[[#This Row],[n * A_tree ]]&gt;Table134[[#This Row],[مساحت آدرس]],1,0)</f>
        <v>0</v>
      </c>
      <c r="K745" s="8">
        <f>IF(Table134[[#This Row],[check]]=1,1,Table134[[#This Row],[A_tree]]*Table134[[#This Row],[اصله مستقل]]/Table134[[#This Row],[مساحت آدرس]])</f>
        <v>0.76523702031602714</v>
      </c>
      <c r="L745" s="14">
        <f>IF(Table134[[#This Row],[check]]=1,1,(Table134[[#This Row],[Psh]]+0.15*(1-Table134[[#This Row],[Psh]])))</f>
        <v>0.80045146726862304</v>
      </c>
      <c r="M745" s="14">
        <f>IF(Table134[[#This Row],[check]]=1,0.65,1)</f>
        <v>1</v>
      </c>
      <c r="N745" s="4">
        <v>1</v>
      </c>
      <c r="O745" s="4">
        <f>IF(Table134[[#This Row],[check]]=1,Table134[[#This Row],[مساحت آدرس]]*Table134[[#This Row],[A0 Inc]],Table134[[#This Row],[A_tree]]*Table134[[#This Row],[اصله مستقل]])</f>
        <v>3051</v>
      </c>
      <c r="P745" s="11">
        <f>IF(Table134[[#This Row],[check]]=1,Table134[[#This Row],[A0]]/Table134[[#This Row],[اصله مستقل]],Table134[[#This Row],[A_tree]])</f>
        <v>9</v>
      </c>
    </row>
    <row r="746" spans="2:16" ht="18.600000000000001" x14ac:dyDescent="0.3">
      <c r="B746" s="4" t="s">
        <v>1109</v>
      </c>
      <c r="C746" s="4">
        <v>1421</v>
      </c>
      <c r="D746" s="4">
        <v>918</v>
      </c>
      <c r="E746" s="4">
        <v>1342</v>
      </c>
      <c r="F746" s="4">
        <v>1891</v>
      </c>
      <c r="G746" s="2" t="s">
        <v>21</v>
      </c>
      <c r="H746" s="4">
        <v>9</v>
      </c>
      <c r="I746" s="4">
        <f>Table134[[#This Row],[اصله مستقل]]*Table134[[#This Row],[A_tree]]</f>
        <v>8262</v>
      </c>
      <c r="J746" s="4">
        <f>IF(Table134[[#This Row],[n * A_tree ]]&gt;Table134[[#This Row],[مساحت آدرس]],1,0)</f>
        <v>1</v>
      </c>
      <c r="K746" s="8">
        <f>IF(Table134[[#This Row],[check]]=1,1,Table134[[#This Row],[A_tree]]*Table134[[#This Row],[اصله مستقل]]/Table134[[#This Row],[مساحت آدرس]])</f>
        <v>1</v>
      </c>
      <c r="L746" s="14">
        <f>IF(Table134[[#This Row],[check]]=1,1,(Table134[[#This Row],[Psh]]+0.15*(1-Table134[[#This Row],[Psh]])))</f>
        <v>1</v>
      </c>
      <c r="M746" s="14">
        <f>IF(Table134[[#This Row],[check]]=1,0.65,1)</f>
        <v>0.65</v>
      </c>
      <c r="N746" s="4">
        <v>1</v>
      </c>
      <c r="O746" s="4">
        <f>IF(Table134[[#This Row],[check]]=1,Table134[[#This Row],[مساحت آدرس]]*Table134[[#This Row],[A0 Inc]],Table134[[#This Row],[A_tree]]*Table134[[#This Row],[اصله مستقل]])</f>
        <v>1891</v>
      </c>
      <c r="P746" s="11">
        <f>IF(Table134[[#This Row],[check]]=1,Table134[[#This Row],[A0]]/Table134[[#This Row],[اصله مستقل]],Table134[[#This Row],[A_tree]])</f>
        <v>2.0599128540305012</v>
      </c>
    </row>
    <row r="747" spans="2:16" ht="18.600000000000001" x14ac:dyDescent="0.3">
      <c r="B747" s="4" t="s">
        <v>1110</v>
      </c>
      <c r="C747" s="4">
        <v>389</v>
      </c>
      <c r="D747" s="4">
        <v>303</v>
      </c>
      <c r="E747" s="4">
        <v>1206</v>
      </c>
      <c r="F747" s="4">
        <v>1264</v>
      </c>
      <c r="G747" s="2" t="s">
        <v>21</v>
      </c>
      <c r="H747" s="4">
        <v>9</v>
      </c>
      <c r="I747" s="4">
        <f>Table134[[#This Row],[اصله مستقل]]*Table134[[#This Row],[A_tree]]</f>
        <v>2727</v>
      </c>
      <c r="J747" s="4">
        <f>IF(Table134[[#This Row],[n * A_tree ]]&gt;Table134[[#This Row],[مساحت آدرس]],1,0)</f>
        <v>1</v>
      </c>
      <c r="K747" s="8">
        <f>IF(Table134[[#This Row],[check]]=1,1,Table134[[#This Row],[A_tree]]*Table134[[#This Row],[اصله مستقل]]/Table134[[#This Row],[مساحت آدرس]])</f>
        <v>1</v>
      </c>
      <c r="L747" s="14">
        <f>IF(Table134[[#This Row],[check]]=1,1,(Table134[[#This Row],[Psh]]+0.15*(1-Table134[[#This Row],[Psh]])))</f>
        <v>1</v>
      </c>
      <c r="M747" s="14">
        <f>IF(Table134[[#This Row],[check]]=1,0.65,1)</f>
        <v>0.65</v>
      </c>
      <c r="N747" s="4">
        <v>1</v>
      </c>
      <c r="O747" s="4">
        <f>IF(Table134[[#This Row],[check]]=1,Table134[[#This Row],[مساحت آدرس]]*Table134[[#This Row],[A0 Inc]],Table134[[#This Row],[A_tree]]*Table134[[#This Row],[اصله مستقل]])</f>
        <v>1264</v>
      </c>
      <c r="P747" s="11">
        <f>IF(Table134[[#This Row],[check]]=1,Table134[[#This Row],[A0]]/Table134[[#This Row],[اصله مستقل]],Table134[[#This Row],[A_tree]])</f>
        <v>4.1716171617161715</v>
      </c>
    </row>
    <row r="748" spans="2:16" ht="18.600000000000001" x14ac:dyDescent="0.3">
      <c r="B748" s="4" t="s">
        <v>1111</v>
      </c>
      <c r="C748" s="4">
        <v>414</v>
      </c>
      <c r="D748" s="4">
        <v>257</v>
      </c>
      <c r="E748" s="4">
        <v>1657</v>
      </c>
      <c r="F748" s="4">
        <v>2291</v>
      </c>
      <c r="G748" s="2" t="s">
        <v>21</v>
      </c>
      <c r="H748" s="4">
        <v>9</v>
      </c>
      <c r="I748" s="4">
        <f>Table134[[#This Row],[اصله مستقل]]*Table134[[#This Row],[A_tree]]</f>
        <v>2313</v>
      </c>
      <c r="J748" s="4">
        <f>IF(Table134[[#This Row],[n * A_tree ]]&gt;Table134[[#This Row],[مساحت آدرس]],1,0)</f>
        <v>1</v>
      </c>
      <c r="K748" s="8">
        <f>IF(Table134[[#This Row],[check]]=1,1,Table134[[#This Row],[A_tree]]*Table134[[#This Row],[اصله مستقل]]/Table134[[#This Row],[مساحت آدرس]])</f>
        <v>1</v>
      </c>
      <c r="L748" s="14">
        <f>IF(Table134[[#This Row],[check]]=1,1,(Table134[[#This Row],[Psh]]+0.15*(1-Table134[[#This Row],[Psh]])))</f>
        <v>1</v>
      </c>
      <c r="M748" s="14">
        <f>IF(Table134[[#This Row],[check]]=1,0.65,1)</f>
        <v>0.65</v>
      </c>
      <c r="N748" s="4">
        <v>1</v>
      </c>
      <c r="O748" s="4">
        <f>IF(Table134[[#This Row],[check]]=1,Table134[[#This Row],[مساحت آدرس]]*Table134[[#This Row],[A0 Inc]],Table134[[#This Row],[A_tree]]*Table134[[#This Row],[اصله مستقل]])</f>
        <v>2291</v>
      </c>
      <c r="P748" s="11">
        <f>IF(Table134[[#This Row],[check]]=1,Table134[[#This Row],[A0]]/Table134[[#This Row],[اصله مستقل]],Table134[[#This Row],[A_tree]])</f>
        <v>8.9143968871595334</v>
      </c>
    </row>
    <row r="749" spans="2:16" ht="18.600000000000001" x14ac:dyDescent="0.3">
      <c r="B749" s="4" t="s">
        <v>1112</v>
      </c>
      <c r="C749" s="4">
        <v>342</v>
      </c>
      <c r="D749" s="4">
        <v>365</v>
      </c>
      <c r="E749" s="4">
        <v>554</v>
      </c>
      <c r="F749" s="4">
        <v>554</v>
      </c>
      <c r="G749" s="2" t="s">
        <v>21</v>
      </c>
      <c r="H749" s="4">
        <v>9</v>
      </c>
      <c r="I749" s="4">
        <f>Table134[[#This Row],[اصله مستقل]]*Table134[[#This Row],[A_tree]]</f>
        <v>3285</v>
      </c>
      <c r="J749" s="4">
        <f>IF(Table134[[#This Row],[n * A_tree ]]&gt;Table134[[#This Row],[مساحت آدرس]],1,0)</f>
        <v>1</v>
      </c>
      <c r="K749" s="8">
        <f>IF(Table134[[#This Row],[check]]=1,1,Table134[[#This Row],[A_tree]]*Table134[[#This Row],[اصله مستقل]]/Table134[[#This Row],[مساحت آدرس]])</f>
        <v>1</v>
      </c>
      <c r="L749" s="14">
        <f>IF(Table134[[#This Row],[check]]=1,1,(Table134[[#This Row],[Psh]]+0.15*(1-Table134[[#This Row],[Psh]])))</f>
        <v>1</v>
      </c>
      <c r="M749" s="14">
        <f>IF(Table134[[#This Row],[check]]=1,0.65,1)</f>
        <v>0.65</v>
      </c>
      <c r="N749" s="4">
        <v>1</v>
      </c>
      <c r="O749" s="4">
        <f>IF(Table134[[#This Row],[check]]=1,Table134[[#This Row],[مساحت آدرس]]*Table134[[#This Row],[A0 Inc]],Table134[[#This Row],[A_tree]]*Table134[[#This Row],[اصله مستقل]])</f>
        <v>554</v>
      </c>
      <c r="P749" s="11">
        <f>IF(Table134[[#This Row],[check]]=1,Table134[[#This Row],[A0]]/Table134[[#This Row],[اصله مستقل]],Table134[[#This Row],[A_tree]])</f>
        <v>1.5178082191780822</v>
      </c>
    </row>
    <row r="750" spans="2:16" ht="18.600000000000001" x14ac:dyDescent="0.3">
      <c r="B750" s="4" t="s">
        <v>1113</v>
      </c>
      <c r="C750" s="4">
        <v>255</v>
      </c>
      <c r="D750" s="4">
        <v>182</v>
      </c>
      <c r="E750" s="4">
        <v>276</v>
      </c>
      <c r="F750" s="4">
        <v>276</v>
      </c>
      <c r="G750" s="2" t="s">
        <v>21</v>
      </c>
      <c r="H750" s="4">
        <v>9</v>
      </c>
      <c r="I750" s="4">
        <f>Table134[[#This Row],[اصله مستقل]]*Table134[[#This Row],[A_tree]]</f>
        <v>1638</v>
      </c>
      <c r="J750" s="4">
        <f>IF(Table134[[#This Row],[n * A_tree ]]&gt;Table134[[#This Row],[مساحت آدرس]],1,0)</f>
        <v>1</v>
      </c>
      <c r="K750" s="8">
        <f>IF(Table134[[#This Row],[check]]=1,1,Table134[[#This Row],[A_tree]]*Table134[[#This Row],[اصله مستقل]]/Table134[[#This Row],[مساحت آدرس]])</f>
        <v>1</v>
      </c>
      <c r="L750" s="14">
        <f>IF(Table134[[#This Row],[check]]=1,1,(Table134[[#This Row],[Psh]]+0.15*(1-Table134[[#This Row],[Psh]])))</f>
        <v>1</v>
      </c>
      <c r="M750" s="14">
        <f>IF(Table134[[#This Row],[check]]=1,0.65,1)</f>
        <v>0.65</v>
      </c>
      <c r="N750" s="4">
        <v>1</v>
      </c>
      <c r="O750" s="4">
        <f>IF(Table134[[#This Row],[check]]=1,Table134[[#This Row],[مساحت آدرس]]*Table134[[#This Row],[A0 Inc]],Table134[[#This Row],[A_tree]]*Table134[[#This Row],[اصله مستقل]])</f>
        <v>276</v>
      </c>
      <c r="P750" s="11">
        <f>IF(Table134[[#This Row],[check]]=1,Table134[[#This Row],[A0]]/Table134[[#This Row],[اصله مستقل]],Table134[[#This Row],[A_tree]])</f>
        <v>1.5164835164835164</v>
      </c>
    </row>
    <row r="751" spans="2:16" ht="18.600000000000001" x14ac:dyDescent="0.3">
      <c r="B751" s="4" t="s">
        <v>1114</v>
      </c>
      <c r="C751" s="4">
        <v>62</v>
      </c>
      <c r="D751" s="4">
        <v>62</v>
      </c>
      <c r="E751" s="4">
        <v>62</v>
      </c>
      <c r="F751" s="4">
        <v>126</v>
      </c>
      <c r="G751" s="2" t="s">
        <v>62</v>
      </c>
      <c r="H751" s="4">
        <v>9</v>
      </c>
      <c r="I751" s="4">
        <f>Table134[[#This Row],[اصله مستقل]]*Table134[[#This Row],[A_tree]]</f>
        <v>558</v>
      </c>
      <c r="J751" s="4">
        <f>IF(Table134[[#This Row],[n * A_tree ]]&gt;Table134[[#This Row],[مساحت آدرس]],1,0)</f>
        <v>1</v>
      </c>
      <c r="K751" s="8">
        <f>IF(Table134[[#This Row],[check]]=1,1,Table134[[#This Row],[A_tree]]*Table134[[#This Row],[اصله مستقل]]/Table134[[#This Row],[مساحت آدرس]])</f>
        <v>1</v>
      </c>
      <c r="L751" s="14">
        <f>IF(Table134[[#This Row],[check]]=1,1,(Table134[[#This Row],[Psh]]+0.15*(1-Table134[[#This Row],[Psh]])))</f>
        <v>1</v>
      </c>
      <c r="M751" s="14">
        <f>IF(Table134[[#This Row],[check]]=1,0.65,1)</f>
        <v>0.65</v>
      </c>
      <c r="N751" s="4">
        <v>1</v>
      </c>
      <c r="O751" s="4">
        <f>IF(Table134[[#This Row],[check]]=1,Table134[[#This Row],[مساحت آدرس]]*Table134[[#This Row],[A0 Inc]],Table134[[#This Row],[A_tree]]*Table134[[#This Row],[اصله مستقل]])</f>
        <v>126</v>
      </c>
      <c r="P751" s="11">
        <f>IF(Table134[[#This Row],[check]]=1,Table134[[#This Row],[A0]]/Table134[[#This Row],[اصله مستقل]],Table134[[#This Row],[A_tree]])</f>
        <v>2.032258064516129</v>
      </c>
    </row>
    <row r="752" spans="2:16" ht="18.600000000000001" x14ac:dyDescent="0.3">
      <c r="B752" s="4" t="s">
        <v>1115</v>
      </c>
      <c r="C752" s="4">
        <v>10</v>
      </c>
      <c r="D752" s="4">
        <v>10</v>
      </c>
      <c r="E752" s="4">
        <v>10</v>
      </c>
      <c r="F752" s="4">
        <v>185</v>
      </c>
      <c r="G752" s="2" t="s">
        <v>62</v>
      </c>
      <c r="H752" s="4">
        <v>9</v>
      </c>
      <c r="I752" s="4">
        <f>Table134[[#This Row],[اصله مستقل]]*Table134[[#This Row],[A_tree]]</f>
        <v>90</v>
      </c>
      <c r="J752" s="4">
        <f>IF(Table134[[#This Row],[n * A_tree ]]&gt;Table134[[#This Row],[مساحت آدرس]],1,0)</f>
        <v>0</v>
      </c>
      <c r="K752" s="8">
        <f>IF(Table134[[#This Row],[check]]=1,1,Table134[[#This Row],[A_tree]]*Table134[[#This Row],[اصله مستقل]]/Table134[[#This Row],[مساحت آدرس]])</f>
        <v>0.48648648648648651</v>
      </c>
      <c r="L752" s="14">
        <f>IF(Table134[[#This Row],[check]]=1,1,(Table134[[#This Row],[Psh]]+0.15*(1-Table134[[#This Row],[Psh]])))</f>
        <v>0.56351351351351353</v>
      </c>
      <c r="M752" s="14">
        <f>IF(Table134[[#This Row],[check]]=1,0.65,1)</f>
        <v>1</v>
      </c>
      <c r="N752" s="4">
        <v>1</v>
      </c>
      <c r="O752" s="4">
        <f>IF(Table134[[#This Row],[check]]=1,Table134[[#This Row],[مساحت آدرس]]*Table134[[#This Row],[A0 Inc]],Table134[[#This Row],[A_tree]]*Table134[[#This Row],[اصله مستقل]])</f>
        <v>90</v>
      </c>
      <c r="P752" s="11">
        <f>IF(Table134[[#This Row],[check]]=1,Table134[[#This Row],[A0]]/Table134[[#This Row],[اصله مستقل]],Table134[[#This Row],[A_tree]])</f>
        <v>9</v>
      </c>
    </row>
    <row r="753" spans="2:16" ht="18.600000000000001" x14ac:dyDescent="0.3">
      <c r="B753" s="4" t="s">
        <v>1116</v>
      </c>
      <c r="C753" s="4">
        <v>704</v>
      </c>
      <c r="D753" s="4">
        <v>664</v>
      </c>
      <c r="E753" s="4">
        <v>664</v>
      </c>
      <c r="F753" s="4">
        <v>1544</v>
      </c>
      <c r="G753" s="2" t="s">
        <v>62</v>
      </c>
      <c r="H753" s="4">
        <v>9</v>
      </c>
      <c r="I753" s="4">
        <f>Table134[[#This Row],[اصله مستقل]]*Table134[[#This Row],[A_tree]]</f>
        <v>5976</v>
      </c>
      <c r="J753" s="4">
        <f>IF(Table134[[#This Row],[n * A_tree ]]&gt;Table134[[#This Row],[مساحت آدرس]],1,0)</f>
        <v>1</v>
      </c>
      <c r="K753" s="8">
        <f>IF(Table134[[#This Row],[check]]=1,1,Table134[[#This Row],[A_tree]]*Table134[[#This Row],[اصله مستقل]]/Table134[[#This Row],[مساحت آدرس]])</f>
        <v>1</v>
      </c>
      <c r="L753" s="14">
        <f>IF(Table134[[#This Row],[check]]=1,1,(Table134[[#This Row],[Psh]]+0.15*(1-Table134[[#This Row],[Psh]])))</f>
        <v>1</v>
      </c>
      <c r="M753" s="14">
        <f>IF(Table134[[#This Row],[check]]=1,0.65,1)</f>
        <v>0.65</v>
      </c>
      <c r="N753" s="4">
        <v>1</v>
      </c>
      <c r="O753" s="4">
        <f>IF(Table134[[#This Row],[check]]=1,Table134[[#This Row],[مساحت آدرس]]*Table134[[#This Row],[A0 Inc]],Table134[[#This Row],[A_tree]]*Table134[[#This Row],[اصله مستقل]])</f>
        <v>1544</v>
      </c>
      <c r="P753" s="11">
        <f>IF(Table134[[#This Row],[check]]=1,Table134[[#This Row],[A0]]/Table134[[#This Row],[اصله مستقل]],Table134[[#This Row],[A_tree]])</f>
        <v>2.3253012048192772</v>
      </c>
    </row>
    <row r="754" spans="2:16" ht="18.600000000000001" x14ac:dyDescent="0.3">
      <c r="B754" s="4" t="s">
        <v>1117</v>
      </c>
      <c r="C754" s="4">
        <v>87</v>
      </c>
      <c r="D754" s="4">
        <v>40</v>
      </c>
      <c r="E754" s="4">
        <v>275</v>
      </c>
      <c r="F754" s="4">
        <v>4046</v>
      </c>
      <c r="G754" s="2" t="s">
        <v>66</v>
      </c>
      <c r="H754" s="4">
        <v>9</v>
      </c>
      <c r="I754" s="4">
        <f>Table134[[#This Row],[اصله مستقل]]*Table134[[#This Row],[A_tree]]</f>
        <v>360</v>
      </c>
      <c r="J754" s="4">
        <f>IF(Table134[[#This Row],[n * A_tree ]]&gt;Table134[[#This Row],[مساحت آدرس]],1,0)</f>
        <v>0</v>
      </c>
      <c r="K754" s="8">
        <f>IF(Table134[[#This Row],[check]]=1,1,Table134[[#This Row],[A_tree]]*Table134[[#This Row],[اصله مستقل]]/Table134[[#This Row],[مساحت آدرس]])</f>
        <v>8.8976767177459212E-2</v>
      </c>
      <c r="L754" s="14">
        <f>IF(Table134[[#This Row],[check]]=1,1,(Table134[[#This Row],[Psh]]+0.15*(1-Table134[[#This Row],[Psh]])))</f>
        <v>0.22563025210084031</v>
      </c>
      <c r="M754" s="14">
        <f>IF(Table134[[#This Row],[check]]=1,0.65,1)</f>
        <v>1</v>
      </c>
      <c r="N754" s="4">
        <v>1</v>
      </c>
      <c r="O754" s="4">
        <f>IF(Table134[[#This Row],[check]]=1,Table134[[#This Row],[مساحت آدرس]]*Table134[[#This Row],[A0 Inc]],Table134[[#This Row],[A_tree]]*Table134[[#This Row],[اصله مستقل]])</f>
        <v>360</v>
      </c>
      <c r="P754" s="11">
        <f>IF(Table134[[#This Row],[check]]=1,Table134[[#This Row],[A0]]/Table134[[#This Row],[اصله مستقل]],Table134[[#This Row],[A_tree]])</f>
        <v>9</v>
      </c>
    </row>
    <row r="755" spans="2:16" ht="18.600000000000001" x14ac:dyDescent="0.3">
      <c r="B755" s="4" t="s">
        <v>1118</v>
      </c>
      <c r="C755" s="4">
        <v>164</v>
      </c>
      <c r="D755" s="4">
        <v>164</v>
      </c>
      <c r="E755" s="4">
        <v>4224</v>
      </c>
      <c r="F755" s="4">
        <v>8252</v>
      </c>
      <c r="G755" s="2" t="s">
        <v>283</v>
      </c>
      <c r="H755" s="4">
        <v>9</v>
      </c>
      <c r="I755" s="4">
        <f>Table134[[#This Row],[اصله مستقل]]*Table134[[#This Row],[A_tree]]</f>
        <v>1476</v>
      </c>
      <c r="J755" s="4">
        <f>IF(Table134[[#This Row],[n * A_tree ]]&gt;Table134[[#This Row],[مساحت آدرس]],1,0)</f>
        <v>0</v>
      </c>
      <c r="K755" s="8">
        <f>IF(Table134[[#This Row],[check]]=1,1,Table134[[#This Row],[A_tree]]*Table134[[#This Row],[اصله مستقل]]/Table134[[#This Row],[مساحت آدرس]])</f>
        <v>0.17886572952011634</v>
      </c>
      <c r="L755" s="14">
        <f>IF(Table134[[#This Row],[check]]=1,1,(Table134[[#This Row],[Psh]]+0.15*(1-Table134[[#This Row],[Psh]])))</f>
        <v>0.30203587009209887</v>
      </c>
      <c r="M755" s="14">
        <f>IF(Table134[[#This Row],[check]]=1,0.65,1)</f>
        <v>1</v>
      </c>
      <c r="N755" s="4">
        <v>1</v>
      </c>
      <c r="O755" s="4">
        <f>IF(Table134[[#This Row],[check]]=1,Table134[[#This Row],[مساحت آدرس]]*Table134[[#This Row],[A0 Inc]],Table134[[#This Row],[A_tree]]*Table134[[#This Row],[اصله مستقل]])</f>
        <v>1476</v>
      </c>
      <c r="P755" s="11">
        <f>IF(Table134[[#This Row],[check]]=1,Table134[[#This Row],[A0]]/Table134[[#This Row],[اصله مستقل]],Table134[[#This Row],[A_tree]])</f>
        <v>9</v>
      </c>
    </row>
    <row r="756" spans="2:16" ht="18.600000000000001" x14ac:dyDescent="0.3">
      <c r="B756" s="4" t="s">
        <v>1119</v>
      </c>
      <c r="C756" s="4">
        <v>144</v>
      </c>
      <c r="D756" s="4">
        <v>144</v>
      </c>
      <c r="E756" s="4">
        <v>6056</v>
      </c>
      <c r="F756" s="4">
        <v>9348</v>
      </c>
      <c r="G756" s="2" t="s">
        <v>283</v>
      </c>
      <c r="H756" s="4">
        <v>9</v>
      </c>
      <c r="I756" s="4">
        <f>Table134[[#This Row],[اصله مستقل]]*Table134[[#This Row],[A_tree]]</f>
        <v>1296</v>
      </c>
      <c r="J756" s="4">
        <f>IF(Table134[[#This Row],[n * A_tree ]]&gt;Table134[[#This Row],[مساحت آدرس]],1,0)</f>
        <v>0</v>
      </c>
      <c r="K756" s="8">
        <f>IF(Table134[[#This Row],[check]]=1,1,Table134[[#This Row],[A_tree]]*Table134[[#This Row],[اصله مستقل]]/Table134[[#This Row],[مساحت آدرس]])</f>
        <v>0.1386392811296534</v>
      </c>
      <c r="L756" s="14">
        <f>IF(Table134[[#This Row],[check]]=1,1,(Table134[[#This Row],[Psh]]+0.15*(1-Table134[[#This Row],[Psh]])))</f>
        <v>0.26784338896020538</v>
      </c>
      <c r="M756" s="14">
        <f>IF(Table134[[#This Row],[check]]=1,0.65,1)</f>
        <v>1</v>
      </c>
      <c r="N756" s="4">
        <v>1</v>
      </c>
      <c r="O756" s="4">
        <f>IF(Table134[[#This Row],[check]]=1,Table134[[#This Row],[مساحت آدرس]]*Table134[[#This Row],[A0 Inc]],Table134[[#This Row],[A_tree]]*Table134[[#This Row],[اصله مستقل]])</f>
        <v>1296</v>
      </c>
      <c r="P756" s="11">
        <f>IF(Table134[[#This Row],[check]]=1,Table134[[#This Row],[A0]]/Table134[[#This Row],[اصله مستقل]],Table134[[#This Row],[A_tree]])</f>
        <v>9</v>
      </c>
    </row>
    <row r="757" spans="2:16" ht="18.600000000000001" x14ac:dyDescent="0.3">
      <c r="B757" s="4" t="s">
        <v>1120</v>
      </c>
      <c r="C757" s="4">
        <v>284</v>
      </c>
      <c r="D757" s="4">
        <v>284</v>
      </c>
      <c r="E757" s="4">
        <v>2277</v>
      </c>
      <c r="F757" s="4">
        <v>2279</v>
      </c>
      <c r="G757" s="2" t="s">
        <v>62</v>
      </c>
      <c r="H757" s="4">
        <v>9</v>
      </c>
      <c r="I757" s="4">
        <f>Table134[[#This Row],[اصله مستقل]]*Table134[[#This Row],[A_tree]]</f>
        <v>2556</v>
      </c>
      <c r="J757" s="4">
        <f>IF(Table134[[#This Row],[n * A_tree ]]&gt;Table134[[#This Row],[مساحت آدرس]],1,0)</f>
        <v>1</v>
      </c>
      <c r="K757" s="8">
        <f>IF(Table134[[#This Row],[check]]=1,1,Table134[[#This Row],[A_tree]]*Table134[[#This Row],[اصله مستقل]]/Table134[[#This Row],[مساحت آدرس]])</f>
        <v>1</v>
      </c>
      <c r="L757" s="14">
        <f>IF(Table134[[#This Row],[check]]=1,1,(Table134[[#This Row],[Psh]]+0.15*(1-Table134[[#This Row],[Psh]])))</f>
        <v>1</v>
      </c>
      <c r="M757" s="14">
        <f>IF(Table134[[#This Row],[check]]=1,0.65,1)</f>
        <v>0.65</v>
      </c>
      <c r="N757" s="4">
        <v>1</v>
      </c>
      <c r="O757" s="4">
        <f>IF(Table134[[#This Row],[check]]=1,Table134[[#This Row],[مساحت آدرس]]*Table134[[#This Row],[A0 Inc]],Table134[[#This Row],[A_tree]]*Table134[[#This Row],[اصله مستقل]])</f>
        <v>2279</v>
      </c>
      <c r="P757" s="11">
        <f>IF(Table134[[#This Row],[check]]=1,Table134[[#This Row],[A0]]/Table134[[#This Row],[اصله مستقل]],Table134[[#This Row],[A_tree]])</f>
        <v>8.024647887323944</v>
      </c>
    </row>
    <row r="758" spans="2:16" ht="18.600000000000001" x14ac:dyDescent="0.3">
      <c r="B758" s="4" t="s">
        <v>1121</v>
      </c>
      <c r="C758" s="4">
        <v>2993</v>
      </c>
      <c r="D758" s="4">
        <v>2985</v>
      </c>
      <c r="E758" s="4">
        <v>20627</v>
      </c>
      <c r="F758" s="4">
        <v>20752</v>
      </c>
      <c r="G758" s="2" t="s">
        <v>66</v>
      </c>
      <c r="H758" s="4">
        <v>9</v>
      </c>
      <c r="I758" s="4">
        <f>Table134[[#This Row],[اصله مستقل]]*Table134[[#This Row],[A_tree]]</f>
        <v>26865</v>
      </c>
      <c r="J758" s="4">
        <f>IF(Table134[[#This Row],[n * A_tree ]]&gt;Table134[[#This Row],[مساحت آدرس]],1,0)</f>
        <v>1</v>
      </c>
      <c r="K758" s="8">
        <f>IF(Table134[[#This Row],[check]]=1,1,Table134[[#This Row],[A_tree]]*Table134[[#This Row],[اصله مستقل]]/Table134[[#This Row],[مساحت آدرس]])</f>
        <v>1</v>
      </c>
      <c r="L758" s="14">
        <f>IF(Table134[[#This Row],[check]]=1,1,(Table134[[#This Row],[Psh]]+0.15*(1-Table134[[#This Row],[Psh]])))</f>
        <v>1</v>
      </c>
      <c r="M758" s="14">
        <f>IF(Table134[[#This Row],[check]]=1,0.65,1)</f>
        <v>0.65</v>
      </c>
      <c r="N758" s="4">
        <v>1</v>
      </c>
      <c r="O758" s="4">
        <f>IF(Table134[[#This Row],[check]]=1,Table134[[#This Row],[مساحت آدرس]]*Table134[[#This Row],[A0 Inc]],Table134[[#This Row],[A_tree]]*Table134[[#This Row],[اصله مستقل]])</f>
        <v>20752</v>
      </c>
      <c r="P758" s="11">
        <f>IF(Table134[[#This Row],[check]]=1,Table134[[#This Row],[A0]]/Table134[[#This Row],[اصله مستقل]],Table134[[#This Row],[A_tree]])</f>
        <v>6.9520938023450585</v>
      </c>
    </row>
    <row r="759" spans="2:16" ht="18.600000000000001" x14ac:dyDescent="0.3">
      <c r="B759" s="4" t="s">
        <v>1122</v>
      </c>
      <c r="C759" s="4">
        <v>3111</v>
      </c>
      <c r="D759" s="4">
        <v>3105</v>
      </c>
      <c r="E759" s="4">
        <v>27907</v>
      </c>
      <c r="F759" s="4">
        <v>29125</v>
      </c>
      <c r="G759" s="2" t="s">
        <v>66</v>
      </c>
      <c r="H759" s="4">
        <v>9</v>
      </c>
      <c r="I759" s="4">
        <f>Table134[[#This Row],[اصله مستقل]]*Table134[[#This Row],[A_tree]]</f>
        <v>27945</v>
      </c>
      <c r="J759" s="4">
        <f>IF(Table134[[#This Row],[n * A_tree ]]&gt;Table134[[#This Row],[مساحت آدرس]],1,0)</f>
        <v>0</v>
      </c>
      <c r="K759" s="8">
        <f>IF(Table134[[#This Row],[check]]=1,1,Table134[[#This Row],[A_tree]]*Table134[[#This Row],[اصله مستقل]]/Table134[[#This Row],[مساحت آدرس]])</f>
        <v>0.95948497854077253</v>
      </c>
      <c r="L759" s="14">
        <f>IF(Table134[[#This Row],[check]]=1,1,(Table134[[#This Row],[Psh]]+0.15*(1-Table134[[#This Row],[Psh]])))</f>
        <v>0.96556223175965661</v>
      </c>
      <c r="M759" s="14">
        <f>IF(Table134[[#This Row],[check]]=1,0.65,1)</f>
        <v>1</v>
      </c>
      <c r="N759" s="4">
        <v>1</v>
      </c>
      <c r="O759" s="4">
        <f>IF(Table134[[#This Row],[check]]=1,Table134[[#This Row],[مساحت آدرس]]*Table134[[#This Row],[A0 Inc]],Table134[[#This Row],[A_tree]]*Table134[[#This Row],[اصله مستقل]])</f>
        <v>27945</v>
      </c>
      <c r="P759" s="11">
        <f>IF(Table134[[#This Row],[check]]=1,Table134[[#This Row],[A0]]/Table134[[#This Row],[اصله مستقل]],Table134[[#This Row],[A_tree]])</f>
        <v>9</v>
      </c>
    </row>
    <row r="760" spans="2:16" ht="18.600000000000001" x14ac:dyDescent="0.3">
      <c r="B760" s="4" t="s">
        <v>1123</v>
      </c>
      <c r="C760" s="4">
        <v>2459</v>
      </c>
      <c r="D760" s="4">
        <v>2459</v>
      </c>
      <c r="E760" s="4">
        <v>17212</v>
      </c>
      <c r="F760" s="4">
        <v>17392</v>
      </c>
      <c r="G760" s="2" t="s">
        <v>66</v>
      </c>
      <c r="H760" s="4">
        <v>9</v>
      </c>
      <c r="I760" s="4">
        <f>Table134[[#This Row],[اصله مستقل]]*Table134[[#This Row],[A_tree]]</f>
        <v>22131</v>
      </c>
      <c r="J760" s="4">
        <f>IF(Table134[[#This Row],[n * A_tree ]]&gt;Table134[[#This Row],[مساحت آدرس]],1,0)</f>
        <v>1</v>
      </c>
      <c r="K760" s="8">
        <f>IF(Table134[[#This Row],[check]]=1,1,Table134[[#This Row],[A_tree]]*Table134[[#This Row],[اصله مستقل]]/Table134[[#This Row],[مساحت آدرس]])</f>
        <v>1</v>
      </c>
      <c r="L760" s="14">
        <f>IF(Table134[[#This Row],[check]]=1,1,(Table134[[#This Row],[Psh]]+0.15*(1-Table134[[#This Row],[Psh]])))</f>
        <v>1</v>
      </c>
      <c r="M760" s="14">
        <f>IF(Table134[[#This Row],[check]]=1,0.65,1)</f>
        <v>0.65</v>
      </c>
      <c r="N760" s="4">
        <v>1</v>
      </c>
      <c r="O760" s="4">
        <f>IF(Table134[[#This Row],[check]]=1,Table134[[#This Row],[مساحت آدرس]]*Table134[[#This Row],[A0 Inc]],Table134[[#This Row],[A_tree]]*Table134[[#This Row],[اصله مستقل]])</f>
        <v>17392</v>
      </c>
      <c r="P760" s="11">
        <f>IF(Table134[[#This Row],[check]]=1,Table134[[#This Row],[A0]]/Table134[[#This Row],[اصله مستقل]],Table134[[#This Row],[A_tree]])</f>
        <v>7.0727938186254571</v>
      </c>
    </row>
    <row r="761" spans="2:16" ht="18.600000000000001" x14ac:dyDescent="0.3">
      <c r="B761" s="4" t="s">
        <v>1124</v>
      </c>
      <c r="C761" s="4">
        <v>2017</v>
      </c>
      <c r="D761" s="4">
        <v>1956</v>
      </c>
      <c r="E761" s="4">
        <v>14430</v>
      </c>
      <c r="F761" s="4">
        <v>14676</v>
      </c>
      <c r="G761" s="2" t="s">
        <v>66</v>
      </c>
      <c r="H761" s="4">
        <v>9</v>
      </c>
      <c r="I761" s="4">
        <f>Table134[[#This Row],[اصله مستقل]]*Table134[[#This Row],[A_tree]]</f>
        <v>17604</v>
      </c>
      <c r="J761" s="4">
        <f>IF(Table134[[#This Row],[n * A_tree ]]&gt;Table134[[#This Row],[مساحت آدرس]],1,0)</f>
        <v>1</v>
      </c>
      <c r="K761" s="8">
        <f>IF(Table134[[#This Row],[check]]=1,1,Table134[[#This Row],[A_tree]]*Table134[[#This Row],[اصله مستقل]]/Table134[[#This Row],[مساحت آدرس]])</f>
        <v>1</v>
      </c>
      <c r="L761" s="14">
        <f>IF(Table134[[#This Row],[check]]=1,1,(Table134[[#This Row],[Psh]]+0.15*(1-Table134[[#This Row],[Psh]])))</f>
        <v>1</v>
      </c>
      <c r="M761" s="14">
        <f>IF(Table134[[#This Row],[check]]=1,0.65,1)</f>
        <v>0.65</v>
      </c>
      <c r="N761" s="4">
        <v>1</v>
      </c>
      <c r="O761" s="4">
        <f>IF(Table134[[#This Row],[check]]=1,Table134[[#This Row],[مساحت آدرس]]*Table134[[#This Row],[A0 Inc]],Table134[[#This Row],[A_tree]]*Table134[[#This Row],[اصله مستقل]])</f>
        <v>14676</v>
      </c>
      <c r="P761" s="11">
        <f>IF(Table134[[#This Row],[check]]=1,Table134[[#This Row],[A0]]/Table134[[#This Row],[اصله مستقل]],Table134[[#This Row],[A_tree]])</f>
        <v>7.5030674846625764</v>
      </c>
    </row>
    <row r="762" spans="2:16" ht="18.600000000000001" x14ac:dyDescent="0.3">
      <c r="B762" s="4" t="s">
        <v>1125</v>
      </c>
      <c r="C762" s="4">
        <v>127</v>
      </c>
      <c r="D762" s="4">
        <v>127</v>
      </c>
      <c r="E762" s="4">
        <v>5228</v>
      </c>
      <c r="F762" s="4">
        <v>5228</v>
      </c>
      <c r="G762" s="2" t="s">
        <v>62</v>
      </c>
      <c r="H762" s="4">
        <v>9</v>
      </c>
      <c r="I762" s="4">
        <f>Table134[[#This Row],[اصله مستقل]]*Table134[[#This Row],[A_tree]]</f>
        <v>1143</v>
      </c>
      <c r="J762" s="4">
        <f>IF(Table134[[#This Row],[n * A_tree ]]&gt;Table134[[#This Row],[مساحت آدرس]],1,0)</f>
        <v>0</v>
      </c>
      <c r="K762" s="8">
        <f>IF(Table134[[#This Row],[check]]=1,1,Table134[[#This Row],[A_tree]]*Table134[[#This Row],[اصله مستقل]]/Table134[[#This Row],[مساحت آدرس]])</f>
        <v>0.21863045141545523</v>
      </c>
      <c r="L762" s="14">
        <f>IF(Table134[[#This Row],[check]]=1,1,(Table134[[#This Row],[Psh]]+0.15*(1-Table134[[#This Row],[Psh]])))</f>
        <v>0.33583588370313694</v>
      </c>
      <c r="M762" s="14">
        <f>IF(Table134[[#This Row],[check]]=1,0.65,1)</f>
        <v>1</v>
      </c>
      <c r="N762" s="4">
        <v>1</v>
      </c>
      <c r="O762" s="4">
        <f>IF(Table134[[#This Row],[check]]=1,Table134[[#This Row],[مساحت آدرس]]*Table134[[#This Row],[A0 Inc]],Table134[[#This Row],[A_tree]]*Table134[[#This Row],[اصله مستقل]])</f>
        <v>1143</v>
      </c>
      <c r="P762" s="11">
        <f>IF(Table134[[#This Row],[check]]=1,Table134[[#This Row],[A0]]/Table134[[#This Row],[اصله مستقل]],Table134[[#This Row],[A_tree]])</f>
        <v>9</v>
      </c>
    </row>
    <row r="763" spans="2:16" ht="18.600000000000001" x14ac:dyDescent="0.3">
      <c r="B763" s="4" t="s">
        <v>1126</v>
      </c>
      <c r="C763" s="4">
        <v>212</v>
      </c>
      <c r="D763" s="4">
        <v>212</v>
      </c>
      <c r="E763" s="4">
        <v>2560</v>
      </c>
      <c r="F763" s="4">
        <v>2560</v>
      </c>
      <c r="G763" s="2" t="s">
        <v>62</v>
      </c>
      <c r="H763" s="4">
        <v>9</v>
      </c>
      <c r="I763" s="4">
        <f>Table134[[#This Row],[اصله مستقل]]*Table134[[#This Row],[A_tree]]</f>
        <v>1908</v>
      </c>
      <c r="J763" s="4">
        <f>IF(Table134[[#This Row],[n * A_tree ]]&gt;Table134[[#This Row],[مساحت آدرس]],1,0)</f>
        <v>0</v>
      </c>
      <c r="K763" s="8">
        <f>IF(Table134[[#This Row],[check]]=1,1,Table134[[#This Row],[A_tree]]*Table134[[#This Row],[اصله مستقل]]/Table134[[#This Row],[مساحت آدرس]])</f>
        <v>0.74531250000000004</v>
      </c>
      <c r="L763" s="14">
        <f>IF(Table134[[#This Row],[check]]=1,1,(Table134[[#This Row],[Psh]]+0.15*(1-Table134[[#This Row],[Psh]])))</f>
        <v>0.78351562500000005</v>
      </c>
      <c r="M763" s="14">
        <f>IF(Table134[[#This Row],[check]]=1,0.65,1)</f>
        <v>1</v>
      </c>
      <c r="N763" s="4">
        <v>1</v>
      </c>
      <c r="O763" s="4">
        <f>IF(Table134[[#This Row],[check]]=1,Table134[[#This Row],[مساحت آدرس]]*Table134[[#This Row],[A0 Inc]],Table134[[#This Row],[A_tree]]*Table134[[#This Row],[اصله مستقل]])</f>
        <v>1908</v>
      </c>
      <c r="P763" s="11">
        <f>IF(Table134[[#This Row],[check]]=1,Table134[[#This Row],[A0]]/Table134[[#This Row],[اصله مستقل]],Table134[[#This Row],[A_tree]])</f>
        <v>9</v>
      </c>
    </row>
    <row r="764" spans="2:16" ht="18.600000000000001" x14ac:dyDescent="0.3">
      <c r="B764" s="4" t="s">
        <v>1127</v>
      </c>
      <c r="C764" s="4">
        <v>1121</v>
      </c>
      <c r="D764" s="4">
        <v>1021</v>
      </c>
      <c r="E764" s="4">
        <v>4617</v>
      </c>
      <c r="F764" s="4">
        <v>16291</v>
      </c>
      <c r="G764" s="2" t="s">
        <v>62</v>
      </c>
      <c r="H764" s="4">
        <v>9</v>
      </c>
      <c r="I764" s="4">
        <f>Table134[[#This Row],[اصله مستقل]]*Table134[[#This Row],[A_tree]]</f>
        <v>9189</v>
      </c>
      <c r="J764" s="4">
        <f>IF(Table134[[#This Row],[n * A_tree ]]&gt;Table134[[#This Row],[مساحت آدرس]],1,0)</f>
        <v>0</v>
      </c>
      <c r="K764" s="8">
        <f>IF(Table134[[#This Row],[check]]=1,1,Table134[[#This Row],[A_tree]]*Table134[[#This Row],[اصله مستقل]]/Table134[[#This Row],[مساحت آدرس]])</f>
        <v>0.56405377202136153</v>
      </c>
      <c r="L764" s="14">
        <f>IF(Table134[[#This Row],[check]]=1,1,(Table134[[#This Row],[Psh]]+0.15*(1-Table134[[#This Row],[Psh]])))</f>
        <v>0.62944570621815732</v>
      </c>
      <c r="M764" s="14">
        <f>IF(Table134[[#This Row],[check]]=1,0.65,1)</f>
        <v>1</v>
      </c>
      <c r="N764" s="4">
        <v>1</v>
      </c>
      <c r="O764" s="4">
        <f>IF(Table134[[#This Row],[check]]=1,Table134[[#This Row],[مساحت آدرس]]*Table134[[#This Row],[A0 Inc]],Table134[[#This Row],[A_tree]]*Table134[[#This Row],[اصله مستقل]])</f>
        <v>9189</v>
      </c>
      <c r="P764" s="11">
        <f>IF(Table134[[#This Row],[check]]=1,Table134[[#This Row],[A0]]/Table134[[#This Row],[اصله مستقل]],Table134[[#This Row],[A_tree]])</f>
        <v>9</v>
      </c>
    </row>
    <row r="765" spans="2:16" ht="18.600000000000001" x14ac:dyDescent="0.3">
      <c r="B765" s="4" t="s">
        <v>1128</v>
      </c>
      <c r="C765" s="4">
        <v>1245</v>
      </c>
      <c r="D765" s="4">
        <v>1206</v>
      </c>
      <c r="E765" s="4">
        <v>3134</v>
      </c>
      <c r="F765" s="4">
        <v>14977</v>
      </c>
      <c r="G765" s="2" t="s">
        <v>66</v>
      </c>
      <c r="H765" s="4">
        <v>9</v>
      </c>
      <c r="I765" s="4">
        <f>Table134[[#This Row],[اصله مستقل]]*Table134[[#This Row],[A_tree]]</f>
        <v>10854</v>
      </c>
      <c r="J765" s="4">
        <f>IF(Table134[[#This Row],[n * A_tree ]]&gt;Table134[[#This Row],[مساحت آدرس]],1,0)</f>
        <v>0</v>
      </c>
      <c r="K765" s="8">
        <f>IF(Table134[[#This Row],[check]]=1,1,Table134[[#This Row],[A_tree]]*Table134[[#This Row],[اصله مستقل]]/Table134[[#This Row],[مساحت آدرس]])</f>
        <v>0.7247112238766108</v>
      </c>
      <c r="L765" s="14">
        <f>IF(Table134[[#This Row],[check]]=1,1,(Table134[[#This Row],[Psh]]+0.15*(1-Table134[[#This Row],[Psh]])))</f>
        <v>0.76600454029511922</v>
      </c>
      <c r="M765" s="14">
        <f>IF(Table134[[#This Row],[check]]=1,0.65,1)</f>
        <v>1</v>
      </c>
      <c r="N765" s="4">
        <v>1</v>
      </c>
      <c r="O765" s="4">
        <f>IF(Table134[[#This Row],[check]]=1,Table134[[#This Row],[مساحت آدرس]]*Table134[[#This Row],[A0 Inc]],Table134[[#This Row],[A_tree]]*Table134[[#This Row],[اصله مستقل]])</f>
        <v>10854</v>
      </c>
      <c r="P765" s="11">
        <f>IF(Table134[[#This Row],[check]]=1,Table134[[#This Row],[A0]]/Table134[[#This Row],[اصله مستقل]],Table134[[#This Row],[A_tree]])</f>
        <v>9</v>
      </c>
    </row>
    <row r="766" spans="2:16" ht="18.600000000000001" x14ac:dyDescent="0.3">
      <c r="B766" s="4" t="s">
        <v>1129</v>
      </c>
      <c r="C766" s="4">
        <v>2022</v>
      </c>
      <c r="D766" s="4">
        <v>1895</v>
      </c>
      <c r="E766" s="4">
        <v>4128</v>
      </c>
      <c r="F766" s="4">
        <v>18799</v>
      </c>
      <c r="G766" s="2" t="s">
        <v>66</v>
      </c>
      <c r="H766" s="4">
        <v>9</v>
      </c>
      <c r="I766" s="4">
        <f>Table134[[#This Row],[اصله مستقل]]*Table134[[#This Row],[A_tree]]</f>
        <v>17055</v>
      </c>
      <c r="J766" s="4">
        <f>IF(Table134[[#This Row],[n * A_tree ]]&gt;Table134[[#This Row],[مساحت آدرس]],1,0)</f>
        <v>0</v>
      </c>
      <c r="K766" s="8">
        <f>IF(Table134[[#This Row],[check]]=1,1,Table134[[#This Row],[A_tree]]*Table134[[#This Row],[اصله مستقل]]/Table134[[#This Row],[مساحت آدرس]])</f>
        <v>0.90722910793127298</v>
      </c>
      <c r="L766" s="14">
        <f>IF(Table134[[#This Row],[check]]=1,1,(Table134[[#This Row],[Psh]]+0.15*(1-Table134[[#This Row],[Psh]])))</f>
        <v>0.92114474174158201</v>
      </c>
      <c r="M766" s="14">
        <f>IF(Table134[[#This Row],[check]]=1,0.65,1)</f>
        <v>1</v>
      </c>
      <c r="N766" s="4">
        <v>1</v>
      </c>
      <c r="O766" s="4">
        <f>IF(Table134[[#This Row],[check]]=1,Table134[[#This Row],[مساحت آدرس]]*Table134[[#This Row],[A0 Inc]],Table134[[#This Row],[A_tree]]*Table134[[#This Row],[اصله مستقل]])</f>
        <v>17055</v>
      </c>
      <c r="P766" s="11">
        <f>IF(Table134[[#This Row],[check]]=1,Table134[[#This Row],[A0]]/Table134[[#This Row],[اصله مستقل]],Table134[[#This Row],[A_tree]])</f>
        <v>9</v>
      </c>
    </row>
    <row r="767" spans="2:16" ht="18.600000000000001" x14ac:dyDescent="0.3">
      <c r="B767" s="4" t="s">
        <v>1130</v>
      </c>
      <c r="C767" s="4">
        <v>1986</v>
      </c>
      <c r="D767" s="4">
        <v>1950</v>
      </c>
      <c r="E767" s="4">
        <v>4083</v>
      </c>
      <c r="F767" s="4">
        <v>19536</v>
      </c>
      <c r="G767" s="2" t="s">
        <v>66</v>
      </c>
      <c r="H767" s="4">
        <v>9</v>
      </c>
      <c r="I767" s="4">
        <f>Table134[[#This Row],[اصله مستقل]]*Table134[[#This Row],[A_tree]]</f>
        <v>17550</v>
      </c>
      <c r="J767" s="4">
        <f>IF(Table134[[#This Row],[n * A_tree ]]&gt;Table134[[#This Row],[مساحت آدرس]],1,0)</f>
        <v>0</v>
      </c>
      <c r="K767" s="8">
        <f>IF(Table134[[#This Row],[check]]=1,1,Table134[[#This Row],[A_tree]]*Table134[[#This Row],[اصله مستقل]]/Table134[[#This Row],[مساحت آدرس]])</f>
        <v>0.8983415233415234</v>
      </c>
      <c r="L767" s="14">
        <f>IF(Table134[[#This Row],[check]]=1,1,(Table134[[#This Row],[Psh]]+0.15*(1-Table134[[#This Row],[Psh]])))</f>
        <v>0.91359029484029486</v>
      </c>
      <c r="M767" s="14">
        <f>IF(Table134[[#This Row],[check]]=1,0.65,1)</f>
        <v>1</v>
      </c>
      <c r="N767" s="4">
        <v>1</v>
      </c>
      <c r="O767" s="4">
        <f>IF(Table134[[#This Row],[check]]=1,Table134[[#This Row],[مساحت آدرس]]*Table134[[#This Row],[A0 Inc]],Table134[[#This Row],[A_tree]]*Table134[[#This Row],[اصله مستقل]])</f>
        <v>17550</v>
      </c>
      <c r="P767" s="11">
        <f>IF(Table134[[#This Row],[check]]=1,Table134[[#This Row],[A0]]/Table134[[#This Row],[اصله مستقل]],Table134[[#This Row],[A_tree]])</f>
        <v>9</v>
      </c>
    </row>
    <row r="768" spans="2:16" ht="18.600000000000001" x14ac:dyDescent="0.3">
      <c r="B768" s="4" t="s">
        <v>1131</v>
      </c>
      <c r="C768" s="4">
        <v>1757</v>
      </c>
      <c r="D768" s="4">
        <v>1675</v>
      </c>
      <c r="E768" s="4">
        <v>4237</v>
      </c>
      <c r="F768" s="4">
        <v>17271</v>
      </c>
      <c r="G768" s="2" t="s">
        <v>66</v>
      </c>
      <c r="H768" s="4">
        <v>9</v>
      </c>
      <c r="I768" s="4">
        <f>Table134[[#This Row],[اصله مستقل]]*Table134[[#This Row],[A_tree]]</f>
        <v>15075</v>
      </c>
      <c r="J768" s="4">
        <f>IF(Table134[[#This Row],[n * A_tree ]]&gt;Table134[[#This Row],[مساحت آدرس]],1,0)</f>
        <v>0</v>
      </c>
      <c r="K768" s="8">
        <f>IF(Table134[[#This Row],[check]]=1,1,Table134[[#This Row],[A_tree]]*Table134[[#This Row],[اصله مستقل]]/Table134[[#This Row],[مساحت آدرس]])</f>
        <v>0.87285044293903069</v>
      </c>
      <c r="L768" s="14">
        <f>IF(Table134[[#This Row],[check]]=1,1,(Table134[[#This Row],[Psh]]+0.15*(1-Table134[[#This Row],[Psh]])))</f>
        <v>0.89192287649817614</v>
      </c>
      <c r="M768" s="14">
        <f>IF(Table134[[#This Row],[check]]=1,0.65,1)</f>
        <v>1</v>
      </c>
      <c r="N768" s="4">
        <v>1</v>
      </c>
      <c r="O768" s="4">
        <f>IF(Table134[[#This Row],[check]]=1,Table134[[#This Row],[مساحت آدرس]]*Table134[[#This Row],[A0 Inc]],Table134[[#This Row],[A_tree]]*Table134[[#This Row],[اصله مستقل]])</f>
        <v>15075</v>
      </c>
      <c r="P768" s="11">
        <f>IF(Table134[[#This Row],[check]]=1,Table134[[#This Row],[A0]]/Table134[[#This Row],[اصله مستقل]],Table134[[#This Row],[A_tree]])</f>
        <v>9</v>
      </c>
    </row>
    <row r="769" spans="2:16" ht="18.600000000000001" x14ac:dyDescent="0.3">
      <c r="B769" s="4" t="s">
        <v>1132</v>
      </c>
      <c r="C769" s="4">
        <v>248</v>
      </c>
      <c r="D769" s="4">
        <v>248</v>
      </c>
      <c r="E769" s="4">
        <v>1800</v>
      </c>
      <c r="F769" s="4">
        <v>1918</v>
      </c>
      <c r="G769" s="2" t="s">
        <v>21</v>
      </c>
      <c r="H769" s="4">
        <v>9</v>
      </c>
      <c r="I769" s="4">
        <f>Table134[[#This Row],[اصله مستقل]]*Table134[[#This Row],[A_tree]]</f>
        <v>2232</v>
      </c>
      <c r="J769" s="4">
        <f>IF(Table134[[#This Row],[n * A_tree ]]&gt;Table134[[#This Row],[مساحت آدرس]],1,0)</f>
        <v>1</v>
      </c>
      <c r="K769" s="8">
        <f>IF(Table134[[#This Row],[check]]=1,1,Table134[[#This Row],[A_tree]]*Table134[[#This Row],[اصله مستقل]]/Table134[[#This Row],[مساحت آدرس]])</f>
        <v>1</v>
      </c>
      <c r="L769" s="14">
        <f>IF(Table134[[#This Row],[check]]=1,1,(Table134[[#This Row],[Psh]]+0.15*(1-Table134[[#This Row],[Psh]])))</f>
        <v>1</v>
      </c>
      <c r="M769" s="14">
        <f>IF(Table134[[#This Row],[check]]=1,0.65,1)</f>
        <v>0.65</v>
      </c>
      <c r="N769" s="4">
        <v>1</v>
      </c>
      <c r="O769" s="4">
        <f>IF(Table134[[#This Row],[check]]=1,Table134[[#This Row],[مساحت آدرس]]*Table134[[#This Row],[A0 Inc]],Table134[[#This Row],[A_tree]]*Table134[[#This Row],[اصله مستقل]])</f>
        <v>1918</v>
      </c>
      <c r="P769" s="11">
        <f>IF(Table134[[#This Row],[check]]=1,Table134[[#This Row],[A0]]/Table134[[#This Row],[اصله مستقل]],Table134[[#This Row],[A_tree]])</f>
        <v>7.7338709677419351</v>
      </c>
    </row>
    <row r="770" spans="2:16" ht="18.600000000000001" x14ac:dyDescent="0.3">
      <c r="B770" s="4" t="s">
        <v>1133</v>
      </c>
      <c r="C770" s="4">
        <v>304</v>
      </c>
      <c r="D770" s="4">
        <v>304</v>
      </c>
      <c r="E770" s="4">
        <v>2675</v>
      </c>
      <c r="F770" s="4">
        <v>2681</v>
      </c>
      <c r="G770" s="2" t="s">
        <v>21</v>
      </c>
      <c r="H770" s="4">
        <v>9</v>
      </c>
      <c r="I770" s="4">
        <f>Table134[[#This Row],[اصله مستقل]]*Table134[[#This Row],[A_tree]]</f>
        <v>2736</v>
      </c>
      <c r="J770" s="4">
        <f>IF(Table134[[#This Row],[n * A_tree ]]&gt;Table134[[#This Row],[مساحت آدرس]],1,0)</f>
        <v>1</v>
      </c>
      <c r="K770" s="8">
        <f>IF(Table134[[#This Row],[check]]=1,1,Table134[[#This Row],[A_tree]]*Table134[[#This Row],[اصله مستقل]]/Table134[[#This Row],[مساحت آدرس]])</f>
        <v>1</v>
      </c>
      <c r="L770" s="14">
        <f>IF(Table134[[#This Row],[check]]=1,1,(Table134[[#This Row],[Psh]]+0.15*(1-Table134[[#This Row],[Psh]])))</f>
        <v>1</v>
      </c>
      <c r="M770" s="14">
        <f>IF(Table134[[#This Row],[check]]=1,0.65,1)</f>
        <v>0.65</v>
      </c>
      <c r="N770" s="4">
        <v>1</v>
      </c>
      <c r="O770" s="4">
        <f>IF(Table134[[#This Row],[check]]=1,Table134[[#This Row],[مساحت آدرس]]*Table134[[#This Row],[A0 Inc]],Table134[[#This Row],[A_tree]]*Table134[[#This Row],[اصله مستقل]])</f>
        <v>2681</v>
      </c>
      <c r="P770" s="11">
        <f>IF(Table134[[#This Row],[check]]=1,Table134[[#This Row],[A0]]/Table134[[#This Row],[اصله مستقل]],Table134[[#This Row],[A_tree]])</f>
        <v>8.8190789473684212</v>
      </c>
    </row>
    <row r="771" spans="2:16" ht="18.600000000000001" x14ac:dyDescent="0.3">
      <c r="B771" s="4" t="s">
        <v>1134</v>
      </c>
      <c r="C771" s="4">
        <v>93</v>
      </c>
      <c r="D771" s="4">
        <v>93</v>
      </c>
      <c r="E771" s="4">
        <v>1800</v>
      </c>
      <c r="F771" s="4">
        <v>1800</v>
      </c>
      <c r="G771" s="2" t="s">
        <v>62</v>
      </c>
      <c r="H771" s="4">
        <v>9</v>
      </c>
      <c r="I771" s="4">
        <f>Table134[[#This Row],[اصله مستقل]]*Table134[[#This Row],[A_tree]]</f>
        <v>837</v>
      </c>
      <c r="J771" s="4">
        <f>IF(Table134[[#This Row],[n * A_tree ]]&gt;Table134[[#This Row],[مساحت آدرس]],1,0)</f>
        <v>0</v>
      </c>
      <c r="K771" s="8">
        <f>IF(Table134[[#This Row],[check]]=1,1,Table134[[#This Row],[A_tree]]*Table134[[#This Row],[اصله مستقل]]/Table134[[#This Row],[مساحت آدرس]])</f>
        <v>0.46500000000000002</v>
      </c>
      <c r="L771" s="14">
        <f>IF(Table134[[#This Row],[check]]=1,1,(Table134[[#This Row],[Psh]]+0.15*(1-Table134[[#This Row],[Psh]])))</f>
        <v>0.54525000000000001</v>
      </c>
      <c r="M771" s="14">
        <f>IF(Table134[[#This Row],[check]]=1,0.65,1)</f>
        <v>1</v>
      </c>
      <c r="N771" s="4">
        <v>1</v>
      </c>
      <c r="O771" s="4">
        <f>IF(Table134[[#This Row],[check]]=1,Table134[[#This Row],[مساحت آدرس]]*Table134[[#This Row],[A0 Inc]],Table134[[#This Row],[A_tree]]*Table134[[#This Row],[اصله مستقل]])</f>
        <v>837</v>
      </c>
      <c r="P771" s="11">
        <f>IF(Table134[[#This Row],[check]]=1,Table134[[#This Row],[A0]]/Table134[[#This Row],[اصله مستقل]],Table134[[#This Row],[A_tree]])</f>
        <v>9</v>
      </c>
    </row>
    <row r="772" spans="2:16" ht="18.600000000000001" x14ac:dyDescent="0.3">
      <c r="B772" s="4" t="s">
        <v>1135</v>
      </c>
      <c r="C772" s="4">
        <v>217</v>
      </c>
      <c r="D772" s="4">
        <v>14</v>
      </c>
      <c r="E772" s="4">
        <v>33</v>
      </c>
      <c r="F772" s="4">
        <v>6633</v>
      </c>
      <c r="G772" s="2" t="s">
        <v>3</v>
      </c>
      <c r="H772" s="4">
        <v>9</v>
      </c>
      <c r="I772" s="4">
        <f>Table134[[#This Row],[اصله مستقل]]*Table134[[#This Row],[A_tree]]</f>
        <v>126</v>
      </c>
      <c r="J772" s="4">
        <f>IF(Table134[[#This Row],[n * A_tree ]]&gt;Table134[[#This Row],[مساحت آدرس]],1,0)</f>
        <v>0</v>
      </c>
      <c r="K772" s="8">
        <f>IF(Table134[[#This Row],[check]]=1,1,Table134[[#This Row],[A_tree]]*Table134[[#This Row],[اصله مستقل]]/Table134[[#This Row],[مساحت آدرس]])</f>
        <v>1.8995929443690638E-2</v>
      </c>
      <c r="L772" s="14">
        <f>IF(Table134[[#This Row],[check]]=1,1,(Table134[[#This Row],[Psh]]+0.15*(1-Table134[[#This Row],[Psh]])))</f>
        <v>0.16614654002713702</v>
      </c>
      <c r="M772" s="14">
        <f>IF(Table134[[#This Row],[check]]=1,0.65,1)</f>
        <v>1</v>
      </c>
      <c r="N772" s="4">
        <v>1</v>
      </c>
      <c r="O772" s="4">
        <f>IF(Table134[[#This Row],[check]]=1,Table134[[#This Row],[مساحت آدرس]]*Table134[[#This Row],[A0 Inc]],Table134[[#This Row],[A_tree]]*Table134[[#This Row],[اصله مستقل]])</f>
        <v>126</v>
      </c>
      <c r="P772" s="11">
        <f>IF(Table134[[#This Row],[check]]=1,Table134[[#This Row],[A0]]/Table134[[#This Row],[اصله مستقل]],Table134[[#This Row],[A_tree]])</f>
        <v>9</v>
      </c>
    </row>
    <row r="773" spans="2:16" ht="18.600000000000001" x14ac:dyDescent="0.3">
      <c r="B773" s="4" t="s">
        <v>1136</v>
      </c>
      <c r="C773" s="4">
        <v>578</v>
      </c>
      <c r="D773" s="4">
        <v>535</v>
      </c>
      <c r="E773" s="4">
        <v>1800</v>
      </c>
      <c r="F773" s="4">
        <v>1893</v>
      </c>
      <c r="G773" s="2" t="s">
        <v>21</v>
      </c>
      <c r="H773" s="4">
        <v>9</v>
      </c>
      <c r="I773" s="4">
        <f>Table134[[#This Row],[اصله مستقل]]*Table134[[#This Row],[A_tree]]</f>
        <v>4815</v>
      </c>
      <c r="J773" s="4">
        <f>IF(Table134[[#This Row],[n * A_tree ]]&gt;Table134[[#This Row],[مساحت آدرس]],1,0)</f>
        <v>1</v>
      </c>
      <c r="K773" s="8">
        <f>IF(Table134[[#This Row],[check]]=1,1,Table134[[#This Row],[A_tree]]*Table134[[#This Row],[اصله مستقل]]/Table134[[#This Row],[مساحت آدرس]])</f>
        <v>1</v>
      </c>
      <c r="L773" s="14">
        <f>IF(Table134[[#This Row],[check]]=1,1,(Table134[[#This Row],[Psh]]+0.15*(1-Table134[[#This Row],[Psh]])))</f>
        <v>1</v>
      </c>
      <c r="M773" s="14">
        <f>IF(Table134[[#This Row],[check]]=1,0.65,1)</f>
        <v>0.65</v>
      </c>
      <c r="N773" s="4">
        <v>1</v>
      </c>
      <c r="O773" s="4">
        <f>IF(Table134[[#This Row],[check]]=1,Table134[[#This Row],[مساحت آدرس]]*Table134[[#This Row],[A0 Inc]],Table134[[#This Row],[A_tree]]*Table134[[#This Row],[اصله مستقل]])</f>
        <v>1893</v>
      </c>
      <c r="P773" s="11">
        <f>IF(Table134[[#This Row],[check]]=1,Table134[[#This Row],[A0]]/Table134[[#This Row],[اصله مستقل]],Table134[[#This Row],[A_tree]])</f>
        <v>3.5383177570093456</v>
      </c>
    </row>
    <row r="774" spans="2:16" ht="18.600000000000001" x14ac:dyDescent="0.3">
      <c r="B774" s="4" t="s">
        <v>1137</v>
      </c>
      <c r="C774" s="4">
        <v>936</v>
      </c>
      <c r="D774" s="4">
        <v>750</v>
      </c>
      <c r="E774" s="4">
        <v>3252</v>
      </c>
      <c r="F774" s="4">
        <v>6332</v>
      </c>
      <c r="G774" s="2" t="s">
        <v>21</v>
      </c>
      <c r="H774" s="4">
        <v>9</v>
      </c>
      <c r="I774" s="4">
        <f>Table134[[#This Row],[اصله مستقل]]*Table134[[#This Row],[A_tree]]</f>
        <v>6750</v>
      </c>
      <c r="J774" s="4">
        <f>IF(Table134[[#This Row],[n * A_tree ]]&gt;Table134[[#This Row],[مساحت آدرس]],1,0)</f>
        <v>1</v>
      </c>
      <c r="K774" s="8">
        <f>IF(Table134[[#This Row],[check]]=1,1,Table134[[#This Row],[A_tree]]*Table134[[#This Row],[اصله مستقل]]/Table134[[#This Row],[مساحت آدرس]])</f>
        <v>1</v>
      </c>
      <c r="L774" s="14">
        <f>IF(Table134[[#This Row],[check]]=1,1,(Table134[[#This Row],[Psh]]+0.15*(1-Table134[[#This Row],[Psh]])))</f>
        <v>1</v>
      </c>
      <c r="M774" s="14">
        <f>IF(Table134[[#This Row],[check]]=1,0.65,1)</f>
        <v>0.65</v>
      </c>
      <c r="N774" s="4">
        <v>1</v>
      </c>
      <c r="O774" s="4">
        <f>IF(Table134[[#This Row],[check]]=1,Table134[[#This Row],[مساحت آدرس]]*Table134[[#This Row],[A0 Inc]],Table134[[#This Row],[A_tree]]*Table134[[#This Row],[اصله مستقل]])</f>
        <v>6332</v>
      </c>
      <c r="P774" s="11">
        <f>IF(Table134[[#This Row],[check]]=1,Table134[[#This Row],[A0]]/Table134[[#This Row],[اصله مستقل]],Table134[[#This Row],[A_tree]])</f>
        <v>8.4426666666666659</v>
      </c>
    </row>
    <row r="775" spans="2:16" ht="18.600000000000001" x14ac:dyDescent="0.3">
      <c r="B775" s="4" t="s">
        <v>1138</v>
      </c>
      <c r="C775" s="4">
        <v>771</v>
      </c>
      <c r="D775" s="4">
        <v>670</v>
      </c>
      <c r="E775" s="4">
        <v>2980</v>
      </c>
      <c r="F775" s="4">
        <v>4680</v>
      </c>
      <c r="G775" s="2" t="s">
        <v>21</v>
      </c>
      <c r="H775" s="4">
        <v>9</v>
      </c>
      <c r="I775" s="4">
        <f>Table134[[#This Row],[اصله مستقل]]*Table134[[#This Row],[A_tree]]</f>
        <v>6030</v>
      </c>
      <c r="J775" s="4">
        <f>IF(Table134[[#This Row],[n * A_tree ]]&gt;Table134[[#This Row],[مساحت آدرس]],1,0)</f>
        <v>1</v>
      </c>
      <c r="K775" s="8">
        <f>IF(Table134[[#This Row],[check]]=1,1,Table134[[#This Row],[A_tree]]*Table134[[#This Row],[اصله مستقل]]/Table134[[#This Row],[مساحت آدرس]])</f>
        <v>1</v>
      </c>
      <c r="L775" s="14">
        <f>IF(Table134[[#This Row],[check]]=1,1,(Table134[[#This Row],[Psh]]+0.15*(1-Table134[[#This Row],[Psh]])))</f>
        <v>1</v>
      </c>
      <c r="M775" s="14">
        <f>IF(Table134[[#This Row],[check]]=1,0.65,1)</f>
        <v>0.65</v>
      </c>
      <c r="N775" s="4">
        <v>1</v>
      </c>
      <c r="O775" s="4">
        <f>IF(Table134[[#This Row],[check]]=1,Table134[[#This Row],[مساحت آدرس]]*Table134[[#This Row],[A0 Inc]],Table134[[#This Row],[A_tree]]*Table134[[#This Row],[اصله مستقل]])</f>
        <v>4680</v>
      </c>
      <c r="P775" s="11">
        <f>IF(Table134[[#This Row],[check]]=1,Table134[[#This Row],[A0]]/Table134[[#This Row],[اصله مستقل]],Table134[[#This Row],[A_tree]])</f>
        <v>6.9850746268656714</v>
      </c>
    </row>
    <row r="776" spans="2:16" ht="18.600000000000001" x14ac:dyDescent="0.3">
      <c r="B776" s="4" t="s">
        <v>1139</v>
      </c>
      <c r="C776" s="4">
        <v>415</v>
      </c>
      <c r="D776" s="4">
        <v>415</v>
      </c>
      <c r="E776" s="4">
        <v>930</v>
      </c>
      <c r="F776" s="4">
        <v>930</v>
      </c>
      <c r="G776" s="2" t="s">
        <v>21</v>
      </c>
      <c r="H776" s="4">
        <v>9</v>
      </c>
      <c r="I776" s="4">
        <f>Table134[[#This Row],[اصله مستقل]]*Table134[[#This Row],[A_tree]]</f>
        <v>3735</v>
      </c>
      <c r="J776" s="4">
        <f>IF(Table134[[#This Row],[n * A_tree ]]&gt;Table134[[#This Row],[مساحت آدرس]],1,0)</f>
        <v>1</v>
      </c>
      <c r="K776" s="8">
        <f>IF(Table134[[#This Row],[check]]=1,1,Table134[[#This Row],[A_tree]]*Table134[[#This Row],[اصله مستقل]]/Table134[[#This Row],[مساحت آدرس]])</f>
        <v>1</v>
      </c>
      <c r="L776" s="14">
        <f>IF(Table134[[#This Row],[check]]=1,1,(Table134[[#This Row],[Psh]]+0.15*(1-Table134[[#This Row],[Psh]])))</f>
        <v>1</v>
      </c>
      <c r="M776" s="14">
        <f>IF(Table134[[#This Row],[check]]=1,0.65,1)</f>
        <v>0.65</v>
      </c>
      <c r="N776" s="4">
        <v>1</v>
      </c>
      <c r="O776" s="4">
        <f>IF(Table134[[#This Row],[check]]=1,Table134[[#This Row],[مساحت آدرس]]*Table134[[#This Row],[A0 Inc]],Table134[[#This Row],[A_tree]]*Table134[[#This Row],[اصله مستقل]])</f>
        <v>930</v>
      </c>
      <c r="P776" s="11">
        <f>IF(Table134[[#This Row],[check]]=1,Table134[[#This Row],[A0]]/Table134[[#This Row],[اصله مستقل]],Table134[[#This Row],[A_tree]])</f>
        <v>2.2409638554216866</v>
      </c>
    </row>
    <row r="777" spans="2:16" ht="18.600000000000001" x14ac:dyDescent="0.3">
      <c r="B777" s="4" t="s">
        <v>1140</v>
      </c>
      <c r="C777" s="4">
        <v>713</v>
      </c>
      <c r="D777" s="4">
        <v>56</v>
      </c>
      <c r="E777" s="4">
        <v>220</v>
      </c>
      <c r="F777" s="4">
        <v>3260</v>
      </c>
      <c r="G777" s="2" t="s">
        <v>21</v>
      </c>
      <c r="H777" s="4">
        <v>9</v>
      </c>
      <c r="I777" s="4">
        <f>Table134[[#This Row],[اصله مستقل]]*Table134[[#This Row],[A_tree]]</f>
        <v>504</v>
      </c>
      <c r="J777" s="4">
        <f>IF(Table134[[#This Row],[n * A_tree ]]&gt;Table134[[#This Row],[مساحت آدرس]],1,0)</f>
        <v>0</v>
      </c>
      <c r="K777" s="8">
        <f>IF(Table134[[#This Row],[check]]=1,1,Table134[[#This Row],[A_tree]]*Table134[[#This Row],[اصله مستقل]]/Table134[[#This Row],[مساحت آدرس]])</f>
        <v>0.15460122699386503</v>
      </c>
      <c r="L777" s="14">
        <f>IF(Table134[[#This Row],[check]]=1,1,(Table134[[#This Row],[Psh]]+0.15*(1-Table134[[#This Row],[Psh]])))</f>
        <v>0.28141104294478525</v>
      </c>
      <c r="M777" s="14">
        <f>IF(Table134[[#This Row],[check]]=1,0.65,1)</f>
        <v>1</v>
      </c>
      <c r="N777" s="4">
        <v>1</v>
      </c>
      <c r="O777" s="4">
        <f>IF(Table134[[#This Row],[check]]=1,Table134[[#This Row],[مساحت آدرس]]*Table134[[#This Row],[A0 Inc]],Table134[[#This Row],[A_tree]]*Table134[[#This Row],[اصله مستقل]])</f>
        <v>504</v>
      </c>
      <c r="P777" s="11">
        <f>IF(Table134[[#This Row],[check]]=1,Table134[[#This Row],[A0]]/Table134[[#This Row],[اصله مستقل]],Table134[[#This Row],[A_tree]])</f>
        <v>9</v>
      </c>
    </row>
    <row r="778" spans="2:16" ht="18.600000000000001" x14ac:dyDescent="0.3">
      <c r="B778" s="4" t="s">
        <v>1141</v>
      </c>
      <c r="C778" s="4">
        <v>623</v>
      </c>
      <c r="D778" s="4">
        <v>623</v>
      </c>
      <c r="E778" s="4">
        <v>8658</v>
      </c>
      <c r="F778" s="4">
        <v>12299</v>
      </c>
      <c r="G778" s="2" t="s">
        <v>21</v>
      </c>
      <c r="H778" s="4">
        <v>9</v>
      </c>
      <c r="I778" s="4">
        <f>Table134[[#This Row],[اصله مستقل]]*Table134[[#This Row],[A_tree]]</f>
        <v>5607</v>
      </c>
      <c r="J778" s="4">
        <f>IF(Table134[[#This Row],[n * A_tree ]]&gt;Table134[[#This Row],[مساحت آدرس]],1,0)</f>
        <v>0</v>
      </c>
      <c r="K778" s="8">
        <f>IF(Table134[[#This Row],[check]]=1,1,Table134[[#This Row],[A_tree]]*Table134[[#This Row],[اصله مستقل]]/Table134[[#This Row],[مساحت آدرس]])</f>
        <v>0.45589072282299375</v>
      </c>
      <c r="L778" s="14">
        <f>IF(Table134[[#This Row],[check]]=1,1,(Table134[[#This Row],[Psh]]+0.15*(1-Table134[[#This Row],[Psh]])))</f>
        <v>0.53750711439954468</v>
      </c>
      <c r="M778" s="14">
        <f>IF(Table134[[#This Row],[check]]=1,0.65,1)</f>
        <v>1</v>
      </c>
      <c r="N778" s="4">
        <v>1</v>
      </c>
      <c r="O778" s="4">
        <f>IF(Table134[[#This Row],[check]]=1,Table134[[#This Row],[مساحت آدرس]]*Table134[[#This Row],[A0 Inc]],Table134[[#This Row],[A_tree]]*Table134[[#This Row],[اصله مستقل]])</f>
        <v>5607</v>
      </c>
      <c r="P778" s="11">
        <f>IF(Table134[[#This Row],[check]]=1,Table134[[#This Row],[A0]]/Table134[[#This Row],[اصله مستقل]],Table134[[#This Row],[A_tree]])</f>
        <v>9</v>
      </c>
    </row>
    <row r="779" spans="2:16" ht="18.600000000000001" x14ac:dyDescent="0.3">
      <c r="B779" s="4" t="s">
        <v>1142</v>
      </c>
      <c r="C779" s="4">
        <v>14</v>
      </c>
      <c r="D779" s="4">
        <v>14</v>
      </c>
      <c r="E779" s="4">
        <v>110</v>
      </c>
      <c r="F779" s="4">
        <v>110</v>
      </c>
      <c r="G779" s="2" t="s">
        <v>21</v>
      </c>
      <c r="H779" s="4">
        <v>9</v>
      </c>
      <c r="I779" s="4">
        <f>Table134[[#This Row],[اصله مستقل]]*Table134[[#This Row],[A_tree]]</f>
        <v>126</v>
      </c>
      <c r="J779" s="4">
        <f>IF(Table134[[#This Row],[n * A_tree ]]&gt;Table134[[#This Row],[مساحت آدرس]],1,0)</f>
        <v>1</v>
      </c>
      <c r="K779" s="8">
        <f>IF(Table134[[#This Row],[check]]=1,1,Table134[[#This Row],[A_tree]]*Table134[[#This Row],[اصله مستقل]]/Table134[[#This Row],[مساحت آدرس]])</f>
        <v>1</v>
      </c>
      <c r="L779" s="14">
        <f>IF(Table134[[#This Row],[check]]=1,1,(Table134[[#This Row],[Psh]]+0.15*(1-Table134[[#This Row],[Psh]])))</f>
        <v>1</v>
      </c>
      <c r="M779" s="14">
        <f>IF(Table134[[#This Row],[check]]=1,0.65,1)</f>
        <v>0.65</v>
      </c>
      <c r="N779" s="4">
        <v>1</v>
      </c>
      <c r="O779" s="4">
        <f>IF(Table134[[#This Row],[check]]=1,Table134[[#This Row],[مساحت آدرس]]*Table134[[#This Row],[A0 Inc]],Table134[[#This Row],[A_tree]]*Table134[[#This Row],[اصله مستقل]])</f>
        <v>110</v>
      </c>
      <c r="P779" s="11">
        <f>IF(Table134[[#This Row],[check]]=1,Table134[[#This Row],[A0]]/Table134[[#This Row],[اصله مستقل]],Table134[[#This Row],[A_tree]])</f>
        <v>7.8571428571428568</v>
      </c>
    </row>
    <row r="780" spans="2:16" ht="18.600000000000001" x14ac:dyDescent="0.3">
      <c r="B780" s="4" t="s">
        <v>1143</v>
      </c>
      <c r="C780" s="4">
        <v>7</v>
      </c>
      <c r="D780" s="4">
        <v>7</v>
      </c>
      <c r="E780" s="4">
        <v>21</v>
      </c>
      <c r="F780" s="4">
        <v>371</v>
      </c>
      <c r="G780" s="2" t="s">
        <v>62</v>
      </c>
      <c r="H780" s="4">
        <v>9</v>
      </c>
      <c r="I780" s="4">
        <f>Table134[[#This Row],[اصله مستقل]]*Table134[[#This Row],[A_tree]]</f>
        <v>63</v>
      </c>
      <c r="J780" s="4">
        <f>IF(Table134[[#This Row],[n * A_tree ]]&gt;Table134[[#This Row],[مساحت آدرس]],1,0)</f>
        <v>0</v>
      </c>
      <c r="K780" s="8">
        <f>IF(Table134[[#This Row],[check]]=1,1,Table134[[#This Row],[A_tree]]*Table134[[#This Row],[اصله مستقل]]/Table134[[#This Row],[مساحت آدرس]])</f>
        <v>0.16981132075471697</v>
      </c>
      <c r="L780" s="14">
        <f>IF(Table134[[#This Row],[check]]=1,1,(Table134[[#This Row],[Psh]]+0.15*(1-Table134[[#This Row],[Psh]])))</f>
        <v>0.29433962264150942</v>
      </c>
      <c r="M780" s="14">
        <f>IF(Table134[[#This Row],[check]]=1,0.65,1)</f>
        <v>1</v>
      </c>
      <c r="N780" s="4">
        <v>1</v>
      </c>
      <c r="O780" s="4">
        <f>IF(Table134[[#This Row],[check]]=1,Table134[[#This Row],[مساحت آدرس]]*Table134[[#This Row],[A0 Inc]],Table134[[#This Row],[A_tree]]*Table134[[#This Row],[اصله مستقل]])</f>
        <v>63</v>
      </c>
      <c r="P780" s="11">
        <f>IF(Table134[[#This Row],[check]]=1,Table134[[#This Row],[A0]]/Table134[[#This Row],[اصله مستقل]],Table134[[#This Row],[A_tree]])</f>
        <v>9</v>
      </c>
    </row>
    <row r="781" spans="2:16" ht="18.600000000000001" x14ac:dyDescent="0.3">
      <c r="B781" s="4" t="s">
        <v>1144</v>
      </c>
      <c r="C781" s="4">
        <v>28</v>
      </c>
      <c r="D781" s="4">
        <v>28</v>
      </c>
      <c r="E781" s="4">
        <v>200</v>
      </c>
      <c r="F781" s="4">
        <v>400</v>
      </c>
      <c r="G781" s="2" t="s">
        <v>62</v>
      </c>
      <c r="H781" s="4">
        <v>9</v>
      </c>
      <c r="I781" s="4">
        <f>Table134[[#This Row],[اصله مستقل]]*Table134[[#This Row],[A_tree]]</f>
        <v>252</v>
      </c>
      <c r="J781" s="4">
        <f>IF(Table134[[#This Row],[n * A_tree ]]&gt;Table134[[#This Row],[مساحت آدرس]],1,0)</f>
        <v>0</v>
      </c>
      <c r="K781" s="8">
        <f>IF(Table134[[#This Row],[check]]=1,1,Table134[[#This Row],[A_tree]]*Table134[[#This Row],[اصله مستقل]]/Table134[[#This Row],[مساحت آدرس]])</f>
        <v>0.63</v>
      </c>
      <c r="L781" s="14">
        <f>IF(Table134[[#This Row],[check]]=1,1,(Table134[[#This Row],[Psh]]+0.15*(1-Table134[[#This Row],[Psh]])))</f>
        <v>0.6855</v>
      </c>
      <c r="M781" s="14">
        <f>IF(Table134[[#This Row],[check]]=1,0.65,1)</f>
        <v>1</v>
      </c>
      <c r="N781" s="4">
        <v>1</v>
      </c>
      <c r="O781" s="4">
        <f>IF(Table134[[#This Row],[check]]=1,Table134[[#This Row],[مساحت آدرس]]*Table134[[#This Row],[A0 Inc]],Table134[[#This Row],[A_tree]]*Table134[[#This Row],[اصله مستقل]])</f>
        <v>252</v>
      </c>
      <c r="P781" s="11">
        <f>IF(Table134[[#This Row],[check]]=1,Table134[[#This Row],[A0]]/Table134[[#This Row],[اصله مستقل]],Table134[[#This Row],[A_tree]])</f>
        <v>9</v>
      </c>
    </row>
    <row r="782" spans="2:16" ht="18.600000000000001" x14ac:dyDescent="0.3">
      <c r="B782" s="4" t="s">
        <v>1145</v>
      </c>
      <c r="C782" s="4">
        <v>28</v>
      </c>
      <c r="D782" s="4">
        <v>20</v>
      </c>
      <c r="E782" s="4">
        <v>150</v>
      </c>
      <c r="F782" s="4">
        <v>165</v>
      </c>
      <c r="G782" s="2" t="s">
        <v>62</v>
      </c>
      <c r="H782" s="4">
        <v>9</v>
      </c>
      <c r="I782" s="4">
        <f>Table134[[#This Row],[اصله مستقل]]*Table134[[#This Row],[A_tree]]</f>
        <v>180</v>
      </c>
      <c r="J782" s="4">
        <f>IF(Table134[[#This Row],[n * A_tree ]]&gt;Table134[[#This Row],[مساحت آدرس]],1,0)</f>
        <v>1</v>
      </c>
      <c r="K782" s="8">
        <f>IF(Table134[[#This Row],[check]]=1,1,Table134[[#This Row],[A_tree]]*Table134[[#This Row],[اصله مستقل]]/Table134[[#This Row],[مساحت آدرس]])</f>
        <v>1</v>
      </c>
      <c r="L782" s="14">
        <f>IF(Table134[[#This Row],[check]]=1,1,(Table134[[#This Row],[Psh]]+0.15*(1-Table134[[#This Row],[Psh]])))</f>
        <v>1</v>
      </c>
      <c r="M782" s="14">
        <f>IF(Table134[[#This Row],[check]]=1,0.65,1)</f>
        <v>0.65</v>
      </c>
      <c r="N782" s="4">
        <v>1</v>
      </c>
      <c r="O782" s="4">
        <f>IF(Table134[[#This Row],[check]]=1,Table134[[#This Row],[مساحت آدرس]]*Table134[[#This Row],[A0 Inc]],Table134[[#This Row],[A_tree]]*Table134[[#This Row],[اصله مستقل]])</f>
        <v>165</v>
      </c>
      <c r="P782" s="11">
        <f>IF(Table134[[#This Row],[check]]=1,Table134[[#This Row],[A0]]/Table134[[#This Row],[اصله مستقل]],Table134[[#This Row],[A_tree]])</f>
        <v>8.25</v>
      </c>
    </row>
    <row r="783" spans="2:16" ht="18.600000000000001" x14ac:dyDescent="0.3">
      <c r="B783" s="4" t="s">
        <v>1146</v>
      </c>
      <c r="C783" s="4">
        <v>208</v>
      </c>
      <c r="D783" s="4">
        <v>190</v>
      </c>
      <c r="E783" s="4">
        <v>1908</v>
      </c>
      <c r="F783" s="4">
        <v>4562</v>
      </c>
      <c r="G783" s="2" t="s">
        <v>62</v>
      </c>
      <c r="H783" s="4">
        <v>9</v>
      </c>
      <c r="I783" s="4">
        <f>Table134[[#This Row],[اصله مستقل]]*Table134[[#This Row],[A_tree]]</f>
        <v>1710</v>
      </c>
      <c r="J783" s="4">
        <f>IF(Table134[[#This Row],[n * A_tree ]]&gt;Table134[[#This Row],[مساحت آدرس]],1,0)</f>
        <v>0</v>
      </c>
      <c r="K783" s="8">
        <f>IF(Table134[[#This Row],[check]]=1,1,Table134[[#This Row],[A_tree]]*Table134[[#This Row],[اصله مستقل]]/Table134[[#This Row],[مساحت آدرس]])</f>
        <v>0.37483559842174485</v>
      </c>
      <c r="L783" s="14">
        <f>IF(Table134[[#This Row],[check]]=1,1,(Table134[[#This Row],[Psh]]+0.15*(1-Table134[[#This Row],[Psh]])))</f>
        <v>0.4686102586584831</v>
      </c>
      <c r="M783" s="14">
        <f>IF(Table134[[#This Row],[check]]=1,0.65,1)</f>
        <v>1</v>
      </c>
      <c r="N783" s="4">
        <v>1</v>
      </c>
      <c r="O783" s="4">
        <f>IF(Table134[[#This Row],[check]]=1,Table134[[#This Row],[مساحت آدرس]]*Table134[[#This Row],[A0 Inc]],Table134[[#This Row],[A_tree]]*Table134[[#This Row],[اصله مستقل]])</f>
        <v>1710</v>
      </c>
      <c r="P783" s="11">
        <f>IF(Table134[[#This Row],[check]]=1,Table134[[#This Row],[A0]]/Table134[[#This Row],[اصله مستقل]],Table134[[#This Row],[A_tree]])</f>
        <v>9</v>
      </c>
    </row>
    <row r="784" spans="2:16" ht="18.600000000000001" x14ac:dyDescent="0.3">
      <c r="B784" s="4" t="s">
        <v>1147</v>
      </c>
      <c r="C784" s="4">
        <v>725</v>
      </c>
      <c r="D784" s="4">
        <v>760</v>
      </c>
      <c r="E784" s="4">
        <v>7514</v>
      </c>
      <c r="F784" s="4">
        <v>7889</v>
      </c>
      <c r="G784" s="2" t="s">
        <v>62</v>
      </c>
      <c r="H784" s="4">
        <v>9</v>
      </c>
      <c r="I784" s="4">
        <f>Table134[[#This Row],[اصله مستقل]]*Table134[[#This Row],[A_tree]]</f>
        <v>6840</v>
      </c>
      <c r="J784" s="4">
        <f>IF(Table134[[#This Row],[n * A_tree ]]&gt;Table134[[#This Row],[مساحت آدرس]],1,0)</f>
        <v>0</v>
      </c>
      <c r="K784" s="8">
        <f>IF(Table134[[#This Row],[check]]=1,1,Table134[[#This Row],[A_tree]]*Table134[[#This Row],[اصله مستقل]]/Table134[[#This Row],[مساحت آدرس]])</f>
        <v>0.86703004183039678</v>
      </c>
      <c r="L784" s="14">
        <f>IF(Table134[[#This Row],[check]]=1,1,(Table134[[#This Row],[Psh]]+0.15*(1-Table134[[#This Row],[Psh]])))</f>
        <v>0.8869755355558373</v>
      </c>
      <c r="M784" s="14">
        <f>IF(Table134[[#This Row],[check]]=1,0.65,1)</f>
        <v>1</v>
      </c>
      <c r="N784" s="4">
        <v>1</v>
      </c>
      <c r="O784" s="4">
        <f>IF(Table134[[#This Row],[check]]=1,Table134[[#This Row],[مساحت آدرس]]*Table134[[#This Row],[A0 Inc]],Table134[[#This Row],[A_tree]]*Table134[[#This Row],[اصله مستقل]])</f>
        <v>6840</v>
      </c>
      <c r="P784" s="11">
        <f>IF(Table134[[#This Row],[check]]=1,Table134[[#This Row],[A0]]/Table134[[#This Row],[اصله مستقل]],Table134[[#This Row],[A_tree]])</f>
        <v>9</v>
      </c>
    </row>
    <row r="785" spans="2:16" ht="18.600000000000001" x14ac:dyDescent="0.3">
      <c r="B785" s="4" t="s">
        <v>1148</v>
      </c>
      <c r="C785" s="4">
        <v>318</v>
      </c>
      <c r="D785" s="4">
        <v>25</v>
      </c>
      <c r="E785" s="4">
        <v>230</v>
      </c>
      <c r="F785" s="4">
        <v>3149</v>
      </c>
      <c r="G785" s="2" t="s">
        <v>62</v>
      </c>
      <c r="H785" s="4">
        <v>9</v>
      </c>
      <c r="I785" s="4">
        <f>Table134[[#This Row],[اصله مستقل]]*Table134[[#This Row],[A_tree]]</f>
        <v>225</v>
      </c>
      <c r="J785" s="4">
        <f>IF(Table134[[#This Row],[n * A_tree ]]&gt;Table134[[#This Row],[مساحت آدرس]],1,0)</f>
        <v>0</v>
      </c>
      <c r="K785" s="8">
        <f>IF(Table134[[#This Row],[check]]=1,1,Table134[[#This Row],[A_tree]]*Table134[[#This Row],[اصله مستقل]]/Table134[[#This Row],[مساحت آدرس]])</f>
        <v>7.1451254366465544E-2</v>
      </c>
      <c r="L785" s="14">
        <f>IF(Table134[[#This Row],[check]]=1,1,(Table134[[#This Row],[Psh]]+0.15*(1-Table134[[#This Row],[Psh]])))</f>
        <v>0.21073356621149569</v>
      </c>
      <c r="M785" s="14">
        <f>IF(Table134[[#This Row],[check]]=1,0.65,1)</f>
        <v>1</v>
      </c>
      <c r="N785" s="4">
        <v>1</v>
      </c>
      <c r="O785" s="4">
        <f>IF(Table134[[#This Row],[check]]=1,Table134[[#This Row],[مساحت آدرس]]*Table134[[#This Row],[A0 Inc]],Table134[[#This Row],[A_tree]]*Table134[[#This Row],[اصله مستقل]])</f>
        <v>225</v>
      </c>
      <c r="P785" s="11">
        <f>IF(Table134[[#This Row],[check]]=1,Table134[[#This Row],[A0]]/Table134[[#This Row],[اصله مستقل]],Table134[[#This Row],[A_tree]])</f>
        <v>9</v>
      </c>
    </row>
    <row r="786" spans="2:16" ht="18.600000000000001" x14ac:dyDescent="0.3">
      <c r="B786" s="4" t="s">
        <v>1149</v>
      </c>
      <c r="C786" s="4">
        <v>50</v>
      </c>
      <c r="D786" s="4">
        <v>50</v>
      </c>
      <c r="E786" s="4">
        <v>315</v>
      </c>
      <c r="F786" s="4">
        <v>315</v>
      </c>
      <c r="G786" s="2" t="s">
        <v>62</v>
      </c>
      <c r="H786" s="4">
        <v>9</v>
      </c>
      <c r="I786" s="4">
        <f>Table134[[#This Row],[اصله مستقل]]*Table134[[#This Row],[A_tree]]</f>
        <v>450</v>
      </c>
      <c r="J786" s="4">
        <f>IF(Table134[[#This Row],[n * A_tree ]]&gt;Table134[[#This Row],[مساحت آدرس]],1,0)</f>
        <v>1</v>
      </c>
      <c r="K786" s="8">
        <f>IF(Table134[[#This Row],[check]]=1,1,Table134[[#This Row],[A_tree]]*Table134[[#This Row],[اصله مستقل]]/Table134[[#This Row],[مساحت آدرس]])</f>
        <v>1</v>
      </c>
      <c r="L786" s="14">
        <f>IF(Table134[[#This Row],[check]]=1,1,(Table134[[#This Row],[Psh]]+0.15*(1-Table134[[#This Row],[Psh]])))</f>
        <v>1</v>
      </c>
      <c r="M786" s="14">
        <f>IF(Table134[[#This Row],[check]]=1,0.65,1)</f>
        <v>0.65</v>
      </c>
      <c r="N786" s="4">
        <v>1</v>
      </c>
      <c r="O786" s="4">
        <f>IF(Table134[[#This Row],[check]]=1,Table134[[#This Row],[مساحت آدرس]]*Table134[[#This Row],[A0 Inc]],Table134[[#This Row],[A_tree]]*Table134[[#This Row],[اصله مستقل]])</f>
        <v>315</v>
      </c>
      <c r="P786" s="11">
        <f>IF(Table134[[#This Row],[check]]=1,Table134[[#This Row],[A0]]/Table134[[#This Row],[اصله مستقل]],Table134[[#This Row],[A_tree]])</f>
        <v>6.3</v>
      </c>
    </row>
    <row r="787" spans="2:16" ht="18.600000000000001" x14ac:dyDescent="0.3">
      <c r="B787" s="4" t="s">
        <v>1150</v>
      </c>
      <c r="C787" s="4">
        <v>162</v>
      </c>
      <c r="D787" s="4">
        <v>162</v>
      </c>
      <c r="E787" s="4">
        <v>300</v>
      </c>
      <c r="F787" s="4">
        <v>516</v>
      </c>
      <c r="G787" s="2" t="s">
        <v>66</v>
      </c>
      <c r="H787" s="4">
        <v>9</v>
      </c>
      <c r="I787" s="4">
        <f>Table134[[#This Row],[اصله مستقل]]*Table134[[#This Row],[A_tree]]</f>
        <v>1458</v>
      </c>
      <c r="J787" s="4">
        <f>IF(Table134[[#This Row],[n * A_tree ]]&gt;Table134[[#This Row],[مساحت آدرس]],1,0)</f>
        <v>1</v>
      </c>
      <c r="K787" s="8">
        <f>IF(Table134[[#This Row],[check]]=1,1,Table134[[#This Row],[A_tree]]*Table134[[#This Row],[اصله مستقل]]/Table134[[#This Row],[مساحت آدرس]])</f>
        <v>1</v>
      </c>
      <c r="L787" s="14">
        <f>IF(Table134[[#This Row],[check]]=1,1,(Table134[[#This Row],[Psh]]+0.15*(1-Table134[[#This Row],[Psh]])))</f>
        <v>1</v>
      </c>
      <c r="M787" s="14">
        <f>IF(Table134[[#This Row],[check]]=1,0.65,1)</f>
        <v>0.65</v>
      </c>
      <c r="N787" s="4">
        <v>1</v>
      </c>
      <c r="O787" s="4">
        <f>IF(Table134[[#This Row],[check]]=1,Table134[[#This Row],[مساحت آدرس]]*Table134[[#This Row],[A0 Inc]],Table134[[#This Row],[A_tree]]*Table134[[#This Row],[اصله مستقل]])</f>
        <v>516</v>
      </c>
      <c r="P787" s="11">
        <f>IF(Table134[[#This Row],[check]]=1,Table134[[#This Row],[A0]]/Table134[[#This Row],[اصله مستقل]],Table134[[#This Row],[A_tree]])</f>
        <v>3.1851851851851851</v>
      </c>
    </row>
    <row r="788" spans="2:16" ht="18.600000000000001" x14ac:dyDescent="0.3">
      <c r="B788" s="4" t="s">
        <v>1164</v>
      </c>
      <c r="C788" s="4">
        <v>472</v>
      </c>
      <c r="D788" s="4">
        <v>330</v>
      </c>
      <c r="E788" s="4">
        <v>9135</v>
      </c>
      <c r="F788" s="4">
        <v>30217</v>
      </c>
      <c r="G788" s="2" t="s">
        <v>283</v>
      </c>
      <c r="H788" s="4">
        <v>9</v>
      </c>
      <c r="I788" s="4">
        <f>Table134[[#This Row],[اصله مستقل]]*Table134[[#This Row],[A_tree]]</f>
        <v>2970</v>
      </c>
      <c r="J788" s="4">
        <f>IF(Table134[[#This Row],[n * A_tree ]]&gt;Table134[[#This Row],[مساحت آدرس]],1,0)</f>
        <v>0</v>
      </c>
      <c r="K788" s="8">
        <f>IF(Table134[[#This Row],[check]]=1,1,Table134[[#This Row],[A_tree]]*Table134[[#This Row],[اصله مستقل]]/Table134[[#This Row],[مساحت آدرس]])</f>
        <v>9.8289042591918452E-2</v>
      </c>
      <c r="L788" s="14">
        <f>IF(Table134[[#This Row],[check]]=1,1,(Table134[[#This Row],[Psh]]+0.15*(1-Table134[[#This Row],[Psh]])))</f>
        <v>0.23354568620313068</v>
      </c>
      <c r="M788" s="14">
        <f>IF(Table134[[#This Row],[check]]=1,0.65,1)</f>
        <v>1</v>
      </c>
      <c r="N788" s="4">
        <v>1</v>
      </c>
      <c r="O788" s="4">
        <f>IF(Table134[[#This Row],[check]]=1,Table134[[#This Row],[مساحت آدرس]]*Table134[[#This Row],[A0 Inc]],Table134[[#This Row],[A_tree]]*Table134[[#This Row],[اصله مستقل]])</f>
        <v>2970</v>
      </c>
      <c r="P788" s="11">
        <f>IF(Table134[[#This Row],[check]]=1,Table134[[#This Row],[A0]]/Table134[[#This Row],[اصله مستقل]],Table134[[#This Row],[A_tree]])</f>
        <v>9</v>
      </c>
    </row>
    <row r="789" spans="2:16" ht="18.600000000000001" x14ac:dyDescent="0.3">
      <c r="B789" s="4" t="s">
        <v>1166</v>
      </c>
      <c r="C789" s="4">
        <v>3108</v>
      </c>
      <c r="D789" s="4">
        <v>3108</v>
      </c>
      <c r="E789" s="4">
        <v>70150</v>
      </c>
      <c r="F789" s="4">
        <v>71532</v>
      </c>
      <c r="G789" s="2" t="s">
        <v>300</v>
      </c>
      <c r="H789" s="4">
        <v>9</v>
      </c>
      <c r="I789" s="4">
        <f>Table134[[#This Row],[اصله مستقل]]*Table134[[#This Row],[A_tree]]</f>
        <v>27972</v>
      </c>
      <c r="J789" s="4">
        <f>IF(Table134[[#This Row],[n * A_tree ]]&gt;Table134[[#This Row],[مساحت آدرس]],1,0)</f>
        <v>0</v>
      </c>
      <c r="K789" s="8">
        <f>IF(Table134[[#This Row],[check]]=1,1,Table134[[#This Row],[A_tree]]*Table134[[#This Row],[اصله مستقل]]/Table134[[#This Row],[مساحت آدرس]])</f>
        <v>0.39104177151484648</v>
      </c>
      <c r="L789" s="14">
        <f>IF(Table134[[#This Row],[check]]=1,1,(Table134[[#This Row],[Psh]]+0.15*(1-Table134[[#This Row],[Psh]])))</f>
        <v>0.48238550578761952</v>
      </c>
      <c r="M789" s="14">
        <f>IF(Table134[[#This Row],[check]]=1,0.65,1)</f>
        <v>1</v>
      </c>
      <c r="N789" s="4">
        <v>1</v>
      </c>
      <c r="O789" s="4">
        <f>IF(Table134[[#This Row],[check]]=1,Table134[[#This Row],[مساحت آدرس]]*Table134[[#This Row],[A0 Inc]],Table134[[#This Row],[A_tree]]*Table134[[#This Row],[اصله مستقل]])</f>
        <v>27972</v>
      </c>
      <c r="P789" s="11">
        <f>IF(Table134[[#This Row],[check]]=1,Table134[[#This Row],[A0]]/Table134[[#This Row],[اصله مستقل]],Table134[[#This Row],[A_tree]])</f>
        <v>9</v>
      </c>
    </row>
    <row r="790" spans="2:16" ht="18.600000000000001" x14ac:dyDescent="0.3">
      <c r="B790" s="4" t="s">
        <v>1167</v>
      </c>
      <c r="C790" s="4">
        <v>124</v>
      </c>
      <c r="D790" s="4">
        <v>850</v>
      </c>
      <c r="E790" s="4">
        <v>132</v>
      </c>
      <c r="F790" s="4">
        <v>667</v>
      </c>
      <c r="G790" s="2" t="s">
        <v>62</v>
      </c>
      <c r="H790" s="4">
        <v>9</v>
      </c>
      <c r="I790" s="4">
        <f>Table134[[#This Row],[اصله مستقل]]*Table134[[#This Row],[A_tree]]</f>
        <v>7650</v>
      </c>
      <c r="J790" s="4">
        <f>IF(Table134[[#This Row],[n * A_tree ]]&gt;Table134[[#This Row],[مساحت آدرس]],1,0)</f>
        <v>1</v>
      </c>
      <c r="K790" s="8">
        <f>IF(Table134[[#This Row],[check]]=1,1,Table134[[#This Row],[A_tree]]*Table134[[#This Row],[اصله مستقل]]/Table134[[#This Row],[مساحت آدرس]])</f>
        <v>1</v>
      </c>
      <c r="L790" s="14">
        <f>IF(Table134[[#This Row],[check]]=1,1,(Table134[[#This Row],[Psh]]+0.15*(1-Table134[[#This Row],[Psh]])))</f>
        <v>1</v>
      </c>
      <c r="M790" s="14">
        <f>IF(Table134[[#This Row],[check]]=1,0.65,1)</f>
        <v>0.65</v>
      </c>
      <c r="N790" s="4">
        <v>1</v>
      </c>
      <c r="O790" s="4">
        <f>IF(Table134[[#This Row],[check]]=1,Table134[[#This Row],[مساحت آدرس]]*Table134[[#This Row],[A0 Inc]],Table134[[#This Row],[A_tree]]*Table134[[#This Row],[اصله مستقل]])</f>
        <v>667</v>
      </c>
      <c r="P790" s="11">
        <f>IF(Table134[[#This Row],[check]]=1,Table134[[#This Row],[A0]]/Table134[[#This Row],[اصله مستقل]],Table134[[#This Row],[A_tree]])</f>
        <v>0.78470588235294114</v>
      </c>
    </row>
    <row r="791" spans="2:16" ht="18.600000000000001" x14ac:dyDescent="0.3">
      <c r="B791" s="4" t="s">
        <v>1168</v>
      </c>
      <c r="C791" s="4">
        <v>5312</v>
      </c>
      <c r="D791" s="4">
        <v>1978.6666666666667</v>
      </c>
      <c r="E791" s="4">
        <v>24368</v>
      </c>
      <c r="F791" s="4">
        <v>33364</v>
      </c>
      <c r="G791" s="2" t="s">
        <v>66</v>
      </c>
      <c r="H791" s="4">
        <v>9</v>
      </c>
      <c r="I791" s="4">
        <f>Table134[[#This Row],[اصله مستقل]]*Table134[[#This Row],[A_tree]]</f>
        <v>17808</v>
      </c>
      <c r="J791" s="4">
        <f>IF(Table134[[#This Row],[n * A_tree ]]&gt;Table134[[#This Row],[مساحت آدرس]],1,0)</f>
        <v>0</v>
      </c>
      <c r="K791" s="8">
        <f>IF(Table134[[#This Row],[check]]=1,1,Table134[[#This Row],[A_tree]]*Table134[[#This Row],[اصله مستقل]]/Table134[[#This Row],[مساحت آدرس]])</f>
        <v>0.5337489509651121</v>
      </c>
      <c r="L791" s="14">
        <f>IF(Table134[[#This Row],[check]]=1,1,(Table134[[#This Row],[Psh]]+0.15*(1-Table134[[#This Row],[Psh]])))</f>
        <v>0.60368660832034526</v>
      </c>
      <c r="M791" s="14">
        <f>IF(Table134[[#This Row],[check]]=1,0.65,1)</f>
        <v>1</v>
      </c>
      <c r="N791" s="4">
        <v>1</v>
      </c>
      <c r="O791" s="4">
        <f>IF(Table134[[#This Row],[check]]=1,Table134[[#This Row],[مساحت آدرس]]*Table134[[#This Row],[A0 Inc]],Table134[[#This Row],[A_tree]]*Table134[[#This Row],[اصله مستقل]])</f>
        <v>17808</v>
      </c>
      <c r="P791" s="11">
        <f>IF(Table134[[#This Row],[check]]=1,Table134[[#This Row],[A0]]/Table134[[#This Row],[اصله مستقل]],Table134[[#This Row],[A_tree]])</f>
        <v>9</v>
      </c>
    </row>
    <row r="792" spans="2:16" ht="18.600000000000001" x14ac:dyDescent="0.3">
      <c r="B792" s="4" t="s">
        <v>1172</v>
      </c>
      <c r="C792" s="4">
        <v>107</v>
      </c>
      <c r="D792" s="4">
        <v>107</v>
      </c>
      <c r="E792" s="4">
        <v>405</v>
      </c>
      <c r="F792" s="4">
        <v>405</v>
      </c>
      <c r="G792" s="2" t="s">
        <v>21</v>
      </c>
      <c r="H792" s="4">
        <v>9</v>
      </c>
      <c r="I792" s="4">
        <f>Table134[[#This Row],[اصله مستقل]]*Table134[[#This Row],[A_tree]]</f>
        <v>963</v>
      </c>
      <c r="J792" s="4">
        <f>IF(Table134[[#This Row],[n * A_tree ]]&gt;Table134[[#This Row],[مساحت آدرس]],1,0)</f>
        <v>1</v>
      </c>
      <c r="K792" s="8">
        <f>IF(Table134[[#This Row],[check]]=1,1,Table134[[#This Row],[A_tree]]*Table134[[#This Row],[اصله مستقل]]/Table134[[#This Row],[مساحت آدرس]])</f>
        <v>1</v>
      </c>
      <c r="L792" s="14">
        <f>IF(Table134[[#This Row],[check]]=1,1,(Table134[[#This Row],[Psh]]+0.15*(1-Table134[[#This Row],[Psh]])))</f>
        <v>1</v>
      </c>
      <c r="M792" s="14">
        <f>IF(Table134[[#This Row],[check]]=1,0.65,1)</f>
        <v>0.65</v>
      </c>
      <c r="N792" s="4">
        <v>1</v>
      </c>
      <c r="O792" s="4">
        <f>IF(Table134[[#This Row],[check]]=1,Table134[[#This Row],[مساحت آدرس]]*Table134[[#This Row],[A0 Inc]],Table134[[#This Row],[A_tree]]*Table134[[#This Row],[اصله مستقل]])</f>
        <v>405</v>
      </c>
      <c r="P792" s="11">
        <f>IF(Table134[[#This Row],[check]]=1,Table134[[#This Row],[A0]]/Table134[[#This Row],[اصله مستقل]],Table134[[#This Row],[A_tree]])</f>
        <v>3.7850467289719627</v>
      </c>
    </row>
    <row r="793" spans="2:16" ht="18.600000000000001" x14ac:dyDescent="0.3">
      <c r="B793" s="4" t="s">
        <v>1173</v>
      </c>
      <c r="C793" s="4">
        <v>210</v>
      </c>
      <c r="D793" s="4">
        <v>210</v>
      </c>
      <c r="E793" s="4">
        <v>1540</v>
      </c>
      <c r="F793" s="4">
        <v>1540</v>
      </c>
      <c r="G793" s="2" t="s">
        <v>21</v>
      </c>
      <c r="H793" s="4">
        <v>9</v>
      </c>
      <c r="I793" s="4">
        <f>Table134[[#This Row],[اصله مستقل]]*Table134[[#This Row],[A_tree]]</f>
        <v>1890</v>
      </c>
      <c r="J793" s="4">
        <f>IF(Table134[[#This Row],[n * A_tree ]]&gt;Table134[[#This Row],[مساحت آدرس]],1,0)</f>
        <v>1</v>
      </c>
      <c r="K793" s="8">
        <f>IF(Table134[[#This Row],[check]]=1,1,Table134[[#This Row],[A_tree]]*Table134[[#This Row],[اصله مستقل]]/Table134[[#This Row],[مساحت آدرس]])</f>
        <v>1</v>
      </c>
      <c r="L793" s="14">
        <f>IF(Table134[[#This Row],[check]]=1,1,(Table134[[#This Row],[Psh]]+0.15*(1-Table134[[#This Row],[Psh]])))</f>
        <v>1</v>
      </c>
      <c r="M793" s="14">
        <f>IF(Table134[[#This Row],[check]]=1,0.65,1)</f>
        <v>0.65</v>
      </c>
      <c r="N793" s="4">
        <v>1</v>
      </c>
      <c r="O793" s="4">
        <f>IF(Table134[[#This Row],[check]]=1,Table134[[#This Row],[مساحت آدرس]]*Table134[[#This Row],[A0 Inc]],Table134[[#This Row],[A_tree]]*Table134[[#This Row],[اصله مستقل]])</f>
        <v>1540</v>
      </c>
      <c r="P793" s="11">
        <f>IF(Table134[[#This Row],[check]]=1,Table134[[#This Row],[A0]]/Table134[[#This Row],[اصله مستقل]],Table134[[#This Row],[A_tree]])</f>
        <v>7.333333333333333</v>
      </c>
    </row>
    <row r="794" spans="2:16" ht="18.600000000000001" x14ac:dyDescent="0.3">
      <c r="B794" s="4" t="s">
        <v>1174</v>
      </c>
      <c r="C794" s="4">
        <v>304</v>
      </c>
      <c r="D794" s="4">
        <v>304</v>
      </c>
      <c r="E794" s="4">
        <v>1416</v>
      </c>
      <c r="F794" s="4">
        <v>2158</v>
      </c>
      <c r="G794" s="2" t="s">
        <v>21</v>
      </c>
      <c r="H794" s="4">
        <v>9</v>
      </c>
      <c r="I794" s="4">
        <f>Table134[[#This Row],[اصله مستقل]]*Table134[[#This Row],[A_tree]]</f>
        <v>2736</v>
      </c>
      <c r="J794" s="4">
        <f>IF(Table134[[#This Row],[n * A_tree ]]&gt;Table134[[#This Row],[مساحت آدرس]],1,0)</f>
        <v>1</v>
      </c>
      <c r="K794" s="8">
        <f>IF(Table134[[#This Row],[check]]=1,1,Table134[[#This Row],[A_tree]]*Table134[[#This Row],[اصله مستقل]]/Table134[[#This Row],[مساحت آدرس]])</f>
        <v>1</v>
      </c>
      <c r="L794" s="14">
        <f>IF(Table134[[#This Row],[check]]=1,1,(Table134[[#This Row],[Psh]]+0.15*(1-Table134[[#This Row],[Psh]])))</f>
        <v>1</v>
      </c>
      <c r="M794" s="14">
        <f>IF(Table134[[#This Row],[check]]=1,0.65,1)</f>
        <v>0.65</v>
      </c>
      <c r="N794" s="4">
        <v>1</v>
      </c>
      <c r="O794" s="4">
        <f>IF(Table134[[#This Row],[check]]=1,Table134[[#This Row],[مساحت آدرس]]*Table134[[#This Row],[A0 Inc]],Table134[[#This Row],[A_tree]]*Table134[[#This Row],[اصله مستقل]])</f>
        <v>2158</v>
      </c>
      <c r="P794" s="11">
        <f>IF(Table134[[#This Row],[check]]=1,Table134[[#This Row],[A0]]/Table134[[#This Row],[اصله مستقل]],Table134[[#This Row],[A_tree]])</f>
        <v>7.0986842105263159</v>
      </c>
    </row>
    <row r="795" spans="2:16" ht="18.600000000000001" x14ac:dyDescent="0.3">
      <c r="B795" s="4" t="s">
        <v>1175</v>
      </c>
      <c r="C795" s="4">
        <v>496</v>
      </c>
      <c r="D795" s="4">
        <v>344</v>
      </c>
      <c r="E795" s="4">
        <v>2376</v>
      </c>
      <c r="F795" s="4">
        <v>2942</v>
      </c>
      <c r="G795" s="2" t="s">
        <v>21</v>
      </c>
      <c r="H795" s="4">
        <v>9</v>
      </c>
      <c r="I795" s="4">
        <f>Table134[[#This Row],[اصله مستقل]]*Table134[[#This Row],[A_tree]]</f>
        <v>3096</v>
      </c>
      <c r="J795" s="4">
        <f>IF(Table134[[#This Row],[n * A_tree ]]&gt;Table134[[#This Row],[مساحت آدرس]],1,0)</f>
        <v>1</v>
      </c>
      <c r="K795" s="8">
        <f>IF(Table134[[#This Row],[check]]=1,1,Table134[[#This Row],[A_tree]]*Table134[[#This Row],[اصله مستقل]]/Table134[[#This Row],[مساحت آدرس]])</f>
        <v>1</v>
      </c>
      <c r="L795" s="14">
        <f>IF(Table134[[#This Row],[check]]=1,1,(Table134[[#This Row],[Psh]]+0.15*(1-Table134[[#This Row],[Psh]])))</f>
        <v>1</v>
      </c>
      <c r="M795" s="14">
        <f>IF(Table134[[#This Row],[check]]=1,0.65,1)</f>
        <v>0.65</v>
      </c>
      <c r="N795" s="4">
        <v>1</v>
      </c>
      <c r="O795" s="4">
        <f>IF(Table134[[#This Row],[check]]=1,Table134[[#This Row],[مساحت آدرس]]*Table134[[#This Row],[A0 Inc]],Table134[[#This Row],[A_tree]]*Table134[[#This Row],[اصله مستقل]])</f>
        <v>2942</v>
      </c>
      <c r="P795" s="11">
        <f>IF(Table134[[#This Row],[check]]=1,Table134[[#This Row],[A0]]/Table134[[#This Row],[اصله مستقل]],Table134[[#This Row],[A_tree]])</f>
        <v>8.5523255813953494</v>
      </c>
    </row>
    <row r="796" spans="2:16" ht="18.600000000000001" x14ac:dyDescent="0.3">
      <c r="B796" s="4" t="s">
        <v>1176</v>
      </c>
      <c r="C796" s="4">
        <v>134</v>
      </c>
      <c r="D796" s="4">
        <v>11</v>
      </c>
      <c r="E796" s="4">
        <v>22</v>
      </c>
      <c r="F796" s="4">
        <v>467</v>
      </c>
      <c r="G796" s="2" t="s">
        <v>21</v>
      </c>
      <c r="H796" s="4">
        <v>9</v>
      </c>
      <c r="I796" s="4">
        <f>Table134[[#This Row],[اصله مستقل]]*Table134[[#This Row],[A_tree]]</f>
        <v>99</v>
      </c>
      <c r="J796" s="4">
        <f>IF(Table134[[#This Row],[n * A_tree ]]&gt;Table134[[#This Row],[مساحت آدرس]],1,0)</f>
        <v>0</v>
      </c>
      <c r="K796" s="8">
        <f>IF(Table134[[#This Row],[check]]=1,1,Table134[[#This Row],[A_tree]]*Table134[[#This Row],[اصله مستقل]]/Table134[[#This Row],[مساحت آدرس]])</f>
        <v>0.21199143468950749</v>
      </c>
      <c r="L796" s="14">
        <f>IF(Table134[[#This Row],[check]]=1,1,(Table134[[#This Row],[Psh]]+0.15*(1-Table134[[#This Row],[Psh]])))</f>
        <v>0.33019271948608137</v>
      </c>
      <c r="M796" s="14">
        <f>IF(Table134[[#This Row],[check]]=1,0.65,1)</f>
        <v>1</v>
      </c>
      <c r="N796" s="4">
        <v>1</v>
      </c>
      <c r="O796" s="4">
        <f>IF(Table134[[#This Row],[check]]=1,Table134[[#This Row],[مساحت آدرس]]*Table134[[#This Row],[A0 Inc]],Table134[[#This Row],[A_tree]]*Table134[[#This Row],[اصله مستقل]])</f>
        <v>99</v>
      </c>
      <c r="P796" s="11">
        <f>IF(Table134[[#This Row],[check]]=1,Table134[[#This Row],[A0]]/Table134[[#This Row],[اصله مستقل]],Table134[[#This Row],[A_tree]])</f>
        <v>9</v>
      </c>
    </row>
    <row r="797" spans="2:16" ht="18.600000000000001" x14ac:dyDescent="0.3">
      <c r="B797" s="4" t="s">
        <v>1177</v>
      </c>
      <c r="C797" s="4">
        <v>1362</v>
      </c>
      <c r="D797" s="4">
        <v>1112</v>
      </c>
      <c r="E797" s="4">
        <v>6932</v>
      </c>
      <c r="F797" s="4">
        <v>6932</v>
      </c>
      <c r="G797" s="2" t="s">
        <v>21</v>
      </c>
      <c r="H797" s="4">
        <v>9</v>
      </c>
      <c r="I797" s="4">
        <f>Table134[[#This Row],[اصله مستقل]]*Table134[[#This Row],[A_tree]]</f>
        <v>10008</v>
      </c>
      <c r="J797" s="4">
        <f>IF(Table134[[#This Row],[n * A_tree ]]&gt;Table134[[#This Row],[مساحت آدرس]],1,0)</f>
        <v>1</v>
      </c>
      <c r="K797" s="8">
        <f>IF(Table134[[#This Row],[check]]=1,1,Table134[[#This Row],[A_tree]]*Table134[[#This Row],[اصله مستقل]]/Table134[[#This Row],[مساحت آدرس]])</f>
        <v>1</v>
      </c>
      <c r="L797" s="14">
        <f>IF(Table134[[#This Row],[check]]=1,1,(Table134[[#This Row],[Psh]]+0.15*(1-Table134[[#This Row],[Psh]])))</f>
        <v>1</v>
      </c>
      <c r="M797" s="14">
        <f>IF(Table134[[#This Row],[check]]=1,0.65,1)</f>
        <v>0.65</v>
      </c>
      <c r="N797" s="4">
        <v>1</v>
      </c>
      <c r="O797" s="4">
        <f>IF(Table134[[#This Row],[check]]=1,Table134[[#This Row],[مساحت آدرس]]*Table134[[#This Row],[A0 Inc]],Table134[[#This Row],[A_tree]]*Table134[[#This Row],[اصله مستقل]])</f>
        <v>6932</v>
      </c>
      <c r="P797" s="11">
        <f>IF(Table134[[#This Row],[check]]=1,Table134[[#This Row],[A0]]/Table134[[#This Row],[اصله مستقل]],Table134[[#This Row],[A_tree]])</f>
        <v>6.2338129496402876</v>
      </c>
    </row>
    <row r="798" spans="2:16" ht="18.600000000000001" x14ac:dyDescent="0.3">
      <c r="B798" s="4" t="s">
        <v>1178</v>
      </c>
      <c r="C798" s="4">
        <v>207</v>
      </c>
      <c r="D798" s="4">
        <v>207</v>
      </c>
      <c r="E798" s="4">
        <v>1200</v>
      </c>
      <c r="F798" s="4">
        <v>1200</v>
      </c>
      <c r="G798" s="2" t="s">
        <v>21</v>
      </c>
      <c r="H798" s="4">
        <v>9</v>
      </c>
      <c r="I798" s="4">
        <f>Table134[[#This Row],[اصله مستقل]]*Table134[[#This Row],[A_tree]]</f>
        <v>1863</v>
      </c>
      <c r="J798" s="4">
        <f>IF(Table134[[#This Row],[n * A_tree ]]&gt;Table134[[#This Row],[مساحت آدرس]],1,0)</f>
        <v>1</v>
      </c>
      <c r="K798" s="8">
        <f>IF(Table134[[#This Row],[check]]=1,1,Table134[[#This Row],[A_tree]]*Table134[[#This Row],[اصله مستقل]]/Table134[[#This Row],[مساحت آدرس]])</f>
        <v>1</v>
      </c>
      <c r="L798" s="14">
        <f>IF(Table134[[#This Row],[check]]=1,1,(Table134[[#This Row],[Psh]]+0.15*(1-Table134[[#This Row],[Psh]])))</f>
        <v>1</v>
      </c>
      <c r="M798" s="14">
        <f>IF(Table134[[#This Row],[check]]=1,0.65,1)</f>
        <v>0.65</v>
      </c>
      <c r="N798" s="4">
        <v>1</v>
      </c>
      <c r="O798" s="4">
        <f>IF(Table134[[#This Row],[check]]=1,Table134[[#This Row],[مساحت آدرس]]*Table134[[#This Row],[A0 Inc]],Table134[[#This Row],[A_tree]]*Table134[[#This Row],[اصله مستقل]])</f>
        <v>1200</v>
      </c>
      <c r="P798" s="11">
        <f>IF(Table134[[#This Row],[check]]=1,Table134[[#This Row],[A0]]/Table134[[#This Row],[اصله مستقل]],Table134[[#This Row],[A_tree]])</f>
        <v>5.7971014492753623</v>
      </c>
    </row>
    <row r="799" spans="2:16" ht="18.600000000000001" x14ac:dyDescent="0.3">
      <c r="B799" s="4" t="s">
        <v>1179</v>
      </c>
      <c r="C799" s="4">
        <v>116</v>
      </c>
      <c r="D799" s="4">
        <v>116</v>
      </c>
      <c r="E799" s="4">
        <v>500</v>
      </c>
      <c r="F799" s="4">
        <v>509</v>
      </c>
      <c r="G799" s="2" t="s">
        <v>21</v>
      </c>
      <c r="H799" s="4">
        <v>9</v>
      </c>
      <c r="I799" s="4">
        <f>Table134[[#This Row],[اصله مستقل]]*Table134[[#This Row],[A_tree]]</f>
        <v>1044</v>
      </c>
      <c r="J799" s="4">
        <f>IF(Table134[[#This Row],[n * A_tree ]]&gt;Table134[[#This Row],[مساحت آدرس]],1,0)</f>
        <v>1</v>
      </c>
      <c r="K799" s="8">
        <f>IF(Table134[[#This Row],[check]]=1,1,Table134[[#This Row],[A_tree]]*Table134[[#This Row],[اصله مستقل]]/Table134[[#This Row],[مساحت آدرس]])</f>
        <v>1</v>
      </c>
      <c r="L799" s="14">
        <f>IF(Table134[[#This Row],[check]]=1,1,(Table134[[#This Row],[Psh]]+0.15*(1-Table134[[#This Row],[Psh]])))</f>
        <v>1</v>
      </c>
      <c r="M799" s="14">
        <f>IF(Table134[[#This Row],[check]]=1,0.65,1)</f>
        <v>0.65</v>
      </c>
      <c r="N799" s="4">
        <v>1</v>
      </c>
      <c r="O799" s="4">
        <f>IF(Table134[[#This Row],[check]]=1,Table134[[#This Row],[مساحت آدرس]]*Table134[[#This Row],[A0 Inc]],Table134[[#This Row],[A_tree]]*Table134[[#This Row],[اصله مستقل]])</f>
        <v>509</v>
      </c>
      <c r="P799" s="11">
        <f>IF(Table134[[#This Row],[check]]=1,Table134[[#This Row],[A0]]/Table134[[#This Row],[اصله مستقل]],Table134[[#This Row],[A_tree]])</f>
        <v>4.3879310344827589</v>
      </c>
    </row>
    <row r="800" spans="2:16" ht="18.600000000000001" x14ac:dyDescent="0.3">
      <c r="B800" s="4" t="s">
        <v>1180</v>
      </c>
      <c r="C800" s="4">
        <v>278</v>
      </c>
      <c r="D800" s="4">
        <v>278</v>
      </c>
      <c r="E800" s="4">
        <v>834</v>
      </c>
      <c r="F800" s="4">
        <v>834</v>
      </c>
      <c r="G800" s="2" t="s">
        <v>21</v>
      </c>
      <c r="H800" s="4">
        <v>9</v>
      </c>
      <c r="I800" s="4">
        <f>Table134[[#This Row],[اصله مستقل]]*Table134[[#This Row],[A_tree]]</f>
        <v>2502</v>
      </c>
      <c r="J800" s="4">
        <f>IF(Table134[[#This Row],[n * A_tree ]]&gt;Table134[[#This Row],[مساحت آدرس]],1,0)</f>
        <v>1</v>
      </c>
      <c r="K800" s="8">
        <f>IF(Table134[[#This Row],[check]]=1,1,Table134[[#This Row],[A_tree]]*Table134[[#This Row],[اصله مستقل]]/Table134[[#This Row],[مساحت آدرس]])</f>
        <v>1</v>
      </c>
      <c r="L800" s="14">
        <f>IF(Table134[[#This Row],[check]]=1,1,(Table134[[#This Row],[Psh]]+0.15*(1-Table134[[#This Row],[Psh]])))</f>
        <v>1</v>
      </c>
      <c r="M800" s="14">
        <f>IF(Table134[[#This Row],[check]]=1,0.65,1)</f>
        <v>0.65</v>
      </c>
      <c r="N800" s="4">
        <v>1</v>
      </c>
      <c r="O800" s="4">
        <f>IF(Table134[[#This Row],[check]]=1,Table134[[#This Row],[مساحت آدرس]]*Table134[[#This Row],[A0 Inc]],Table134[[#This Row],[A_tree]]*Table134[[#This Row],[اصله مستقل]])</f>
        <v>834</v>
      </c>
      <c r="P800" s="11">
        <f>IF(Table134[[#This Row],[check]]=1,Table134[[#This Row],[A0]]/Table134[[#This Row],[اصله مستقل]],Table134[[#This Row],[A_tree]])</f>
        <v>3</v>
      </c>
    </row>
    <row r="801" spans="2:16" ht="18.600000000000001" x14ac:dyDescent="0.3">
      <c r="B801" s="4" t="s">
        <v>1181</v>
      </c>
      <c r="C801" s="4">
        <v>195</v>
      </c>
      <c r="D801" s="4">
        <v>94</v>
      </c>
      <c r="E801" s="4">
        <v>1151</v>
      </c>
      <c r="F801" s="4">
        <v>2044</v>
      </c>
      <c r="G801" s="2" t="s">
        <v>62</v>
      </c>
      <c r="H801" s="4">
        <v>9</v>
      </c>
      <c r="I801" s="4">
        <f>Table134[[#This Row],[اصله مستقل]]*Table134[[#This Row],[A_tree]]</f>
        <v>846</v>
      </c>
      <c r="J801" s="4">
        <f>IF(Table134[[#This Row],[n * A_tree ]]&gt;Table134[[#This Row],[مساحت آدرس]],1,0)</f>
        <v>0</v>
      </c>
      <c r="K801" s="8">
        <f>IF(Table134[[#This Row],[check]]=1,1,Table134[[#This Row],[A_tree]]*Table134[[#This Row],[اصله مستقل]]/Table134[[#This Row],[مساحت آدرس]])</f>
        <v>0.41389432485322897</v>
      </c>
      <c r="L801" s="14">
        <f>IF(Table134[[#This Row],[check]]=1,1,(Table134[[#This Row],[Psh]]+0.15*(1-Table134[[#This Row],[Psh]])))</f>
        <v>0.50181017612524459</v>
      </c>
      <c r="M801" s="14">
        <f>IF(Table134[[#This Row],[check]]=1,0.65,1)</f>
        <v>1</v>
      </c>
      <c r="N801" s="4">
        <v>1</v>
      </c>
      <c r="O801" s="4">
        <f>IF(Table134[[#This Row],[check]]=1,Table134[[#This Row],[مساحت آدرس]]*Table134[[#This Row],[A0 Inc]],Table134[[#This Row],[A_tree]]*Table134[[#This Row],[اصله مستقل]])</f>
        <v>846</v>
      </c>
      <c r="P801" s="11">
        <f>IF(Table134[[#This Row],[check]]=1,Table134[[#This Row],[A0]]/Table134[[#This Row],[اصله مستقل]],Table134[[#This Row],[A_tree]])</f>
        <v>9</v>
      </c>
    </row>
    <row r="802" spans="2:16" ht="18.600000000000001" x14ac:dyDescent="0.3">
      <c r="B802" s="4" t="s">
        <v>1182</v>
      </c>
      <c r="C802" s="4">
        <v>648</v>
      </c>
      <c r="D802" s="4">
        <v>518</v>
      </c>
      <c r="E802" s="4">
        <v>11940</v>
      </c>
      <c r="F802" s="4">
        <v>12095</v>
      </c>
      <c r="G802" s="2" t="s">
        <v>62</v>
      </c>
      <c r="H802" s="4">
        <v>9</v>
      </c>
      <c r="I802" s="4">
        <f>Table134[[#This Row],[اصله مستقل]]*Table134[[#This Row],[A_tree]]</f>
        <v>4662</v>
      </c>
      <c r="J802" s="4">
        <f>IF(Table134[[#This Row],[n * A_tree ]]&gt;Table134[[#This Row],[مساحت آدرس]],1,0)</f>
        <v>0</v>
      </c>
      <c r="K802" s="8">
        <f>IF(Table134[[#This Row],[check]]=1,1,Table134[[#This Row],[A_tree]]*Table134[[#This Row],[اصله مستقل]]/Table134[[#This Row],[مساحت آدرس]])</f>
        <v>0.38544853245142618</v>
      </c>
      <c r="L802" s="14">
        <f>IF(Table134[[#This Row],[check]]=1,1,(Table134[[#This Row],[Psh]]+0.15*(1-Table134[[#This Row],[Psh]])))</f>
        <v>0.47763125258371225</v>
      </c>
      <c r="M802" s="14">
        <f>IF(Table134[[#This Row],[check]]=1,0.65,1)</f>
        <v>1</v>
      </c>
      <c r="N802" s="4">
        <v>1</v>
      </c>
      <c r="O802" s="4">
        <f>IF(Table134[[#This Row],[check]]=1,Table134[[#This Row],[مساحت آدرس]]*Table134[[#This Row],[A0 Inc]],Table134[[#This Row],[A_tree]]*Table134[[#This Row],[اصله مستقل]])</f>
        <v>4662</v>
      </c>
      <c r="P802" s="11">
        <f>IF(Table134[[#This Row],[check]]=1,Table134[[#This Row],[A0]]/Table134[[#This Row],[اصله مستقل]],Table134[[#This Row],[A_tree]])</f>
        <v>9</v>
      </c>
    </row>
    <row r="803" spans="2:16" ht="18.600000000000001" x14ac:dyDescent="0.3">
      <c r="B803" s="4" t="s">
        <v>1183</v>
      </c>
      <c r="C803" s="4">
        <v>830</v>
      </c>
      <c r="D803" s="4">
        <v>505</v>
      </c>
      <c r="E803" s="4">
        <v>3231</v>
      </c>
      <c r="F803" s="4">
        <v>6489</v>
      </c>
      <c r="G803" s="2" t="s">
        <v>62</v>
      </c>
      <c r="H803" s="4">
        <v>9</v>
      </c>
      <c r="I803" s="4">
        <f>Table134[[#This Row],[اصله مستقل]]*Table134[[#This Row],[A_tree]]</f>
        <v>4545</v>
      </c>
      <c r="J803" s="4">
        <f>IF(Table134[[#This Row],[n * A_tree ]]&gt;Table134[[#This Row],[مساحت آدرس]],1,0)</f>
        <v>0</v>
      </c>
      <c r="K803" s="8">
        <f>IF(Table134[[#This Row],[check]]=1,1,Table134[[#This Row],[A_tree]]*Table134[[#This Row],[اصله مستقل]]/Table134[[#This Row],[مساحت آدرس]])</f>
        <v>0.70041608876560335</v>
      </c>
      <c r="L803" s="14">
        <f>IF(Table134[[#This Row],[check]]=1,1,(Table134[[#This Row],[Psh]]+0.15*(1-Table134[[#This Row],[Psh]])))</f>
        <v>0.74535367545076281</v>
      </c>
      <c r="M803" s="14">
        <f>IF(Table134[[#This Row],[check]]=1,0.65,1)</f>
        <v>1</v>
      </c>
      <c r="N803" s="4">
        <v>1</v>
      </c>
      <c r="O803" s="4">
        <f>IF(Table134[[#This Row],[check]]=1,Table134[[#This Row],[مساحت آدرس]]*Table134[[#This Row],[A0 Inc]],Table134[[#This Row],[A_tree]]*Table134[[#This Row],[اصله مستقل]])</f>
        <v>4545</v>
      </c>
      <c r="P803" s="11">
        <f>IF(Table134[[#This Row],[check]]=1,Table134[[#This Row],[A0]]/Table134[[#This Row],[اصله مستقل]],Table134[[#This Row],[A_tree]])</f>
        <v>9</v>
      </c>
    </row>
    <row r="804" spans="2:16" ht="18.600000000000001" x14ac:dyDescent="0.3">
      <c r="B804" s="4" t="s">
        <v>1184</v>
      </c>
      <c r="C804" s="4">
        <v>263</v>
      </c>
      <c r="D804" s="4">
        <v>263</v>
      </c>
      <c r="E804" s="4">
        <v>208</v>
      </c>
      <c r="F804" s="4">
        <v>334</v>
      </c>
      <c r="G804" s="2" t="s">
        <v>62</v>
      </c>
      <c r="H804" s="4">
        <v>9</v>
      </c>
      <c r="I804" s="4">
        <f>Table134[[#This Row],[اصله مستقل]]*Table134[[#This Row],[A_tree]]</f>
        <v>2367</v>
      </c>
      <c r="J804" s="4">
        <f>IF(Table134[[#This Row],[n * A_tree ]]&gt;Table134[[#This Row],[مساحت آدرس]],1,0)</f>
        <v>1</v>
      </c>
      <c r="K804" s="8">
        <f>IF(Table134[[#This Row],[check]]=1,1,Table134[[#This Row],[A_tree]]*Table134[[#This Row],[اصله مستقل]]/Table134[[#This Row],[مساحت آدرس]])</f>
        <v>1</v>
      </c>
      <c r="L804" s="14">
        <f>IF(Table134[[#This Row],[check]]=1,1,(Table134[[#This Row],[Psh]]+0.15*(1-Table134[[#This Row],[Psh]])))</f>
        <v>1</v>
      </c>
      <c r="M804" s="14">
        <f>IF(Table134[[#This Row],[check]]=1,0.65,1)</f>
        <v>0.65</v>
      </c>
      <c r="N804" s="4">
        <v>1</v>
      </c>
      <c r="O804" s="4">
        <f>IF(Table134[[#This Row],[check]]=1,Table134[[#This Row],[مساحت آدرس]]*Table134[[#This Row],[A0 Inc]],Table134[[#This Row],[A_tree]]*Table134[[#This Row],[اصله مستقل]])</f>
        <v>334</v>
      </c>
      <c r="P804" s="11">
        <f>IF(Table134[[#This Row],[check]]=1,Table134[[#This Row],[A0]]/Table134[[#This Row],[اصله مستقل]],Table134[[#This Row],[A_tree]])</f>
        <v>1.2699619771863118</v>
      </c>
    </row>
    <row r="805" spans="2:16" ht="18.600000000000001" x14ac:dyDescent="0.3">
      <c r="B805" s="4" t="s">
        <v>1185</v>
      </c>
      <c r="C805" s="4">
        <v>234</v>
      </c>
      <c r="D805" s="4">
        <v>171</v>
      </c>
      <c r="E805" s="4">
        <v>2273</v>
      </c>
      <c r="F805" s="4">
        <v>3672</v>
      </c>
      <c r="G805" s="2" t="s">
        <v>62</v>
      </c>
      <c r="H805" s="4">
        <v>9</v>
      </c>
      <c r="I805" s="4">
        <f>Table134[[#This Row],[اصله مستقل]]*Table134[[#This Row],[A_tree]]</f>
        <v>1539</v>
      </c>
      <c r="J805" s="4">
        <f>IF(Table134[[#This Row],[n * A_tree ]]&gt;Table134[[#This Row],[مساحت آدرس]],1,0)</f>
        <v>0</v>
      </c>
      <c r="K805" s="8">
        <f>IF(Table134[[#This Row],[check]]=1,1,Table134[[#This Row],[A_tree]]*Table134[[#This Row],[اصله مستقل]]/Table134[[#This Row],[مساحت آدرس]])</f>
        <v>0.41911764705882354</v>
      </c>
      <c r="L805" s="14">
        <f>IF(Table134[[#This Row],[check]]=1,1,(Table134[[#This Row],[Psh]]+0.15*(1-Table134[[#This Row],[Psh]])))</f>
        <v>0.50624999999999998</v>
      </c>
      <c r="M805" s="14">
        <f>IF(Table134[[#This Row],[check]]=1,0.65,1)</f>
        <v>1</v>
      </c>
      <c r="N805" s="4">
        <v>1</v>
      </c>
      <c r="O805" s="4">
        <f>IF(Table134[[#This Row],[check]]=1,Table134[[#This Row],[مساحت آدرس]]*Table134[[#This Row],[A0 Inc]],Table134[[#This Row],[A_tree]]*Table134[[#This Row],[اصله مستقل]])</f>
        <v>1539</v>
      </c>
      <c r="P805" s="11">
        <f>IF(Table134[[#This Row],[check]]=1,Table134[[#This Row],[A0]]/Table134[[#This Row],[اصله مستقل]],Table134[[#This Row],[A_tree]])</f>
        <v>9</v>
      </c>
    </row>
    <row r="806" spans="2:16" ht="18.600000000000001" x14ac:dyDescent="0.3">
      <c r="B806" s="4" t="s">
        <v>1186</v>
      </c>
      <c r="C806" s="4">
        <v>760</v>
      </c>
      <c r="D806" s="4">
        <v>46</v>
      </c>
      <c r="E806" s="4">
        <v>46</v>
      </c>
      <c r="F806" s="4">
        <v>10833</v>
      </c>
      <c r="G806" s="2" t="s">
        <v>62</v>
      </c>
      <c r="H806" s="4">
        <v>9</v>
      </c>
      <c r="I806" s="4">
        <f>Table134[[#This Row],[اصله مستقل]]*Table134[[#This Row],[A_tree]]</f>
        <v>414</v>
      </c>
      <c r="J806" s="4">
        <f>IF(Table134[[#This Row],[n * A_tree ]]&gt;Table134[[#This Row],[مساحت آدرس]],1,0)</f>
        <v>0</v>
      </c>
      <c r="K806" s="8">
        <f>IF(Table134[[#This Row],[check]]=1,1,Table134[[#This Row],[A_tree]]*Table134[[#This Row],[اصله مستقل]]/Table134[[#This Row],[مساحت آدرس]])</f>
        <v>3.8216560509554139E-2</v>
      </c>
      <c r="L806" s="14">
        <f>IF(Table134[[#This Row],[check]]=1,1,(Table134[[#This Row],[Psh]]+0.15*(1-Table134[[#This Row],[Psh]])))</f>
        <v>0.18248407643312101</v>
      </c>
      <c r="M806" s="14">
        <f>IF(Table134[[#This Row],[check]]=1,0.65,1)</f>
        <v>1</v>
      </c>
      <c r="N806" s="4">
        <v>1</v>
      </c>
      <c r="O806" s="4">
        <f>IF(Table134[[#This Row],[check]]=1,Table134[[#This Row],[مساحت آدرس]]*Table134[[#This Row],[A0 Inc]],Table134[[#This Row],[A_tree]]*Table134[[#This Row],[اصله مستقل]])</f>
        <v>414</v>
      </c>
      <c r="P806" s="11">
        <f>IF(Table134[[#This Row],[check]]=1,Table134[[#This Row],[A0]]/Table134[[#This Row],[اصله مستقل]],Table134[[#This Row],[A_tree]])</f>
        <v>9</v>
      </c>
    </row>
    <row r="807" spans="2:16" ht="18.600000000000001" x14ac:dyDescent="0.3">
      <c r="B807" s="4" t="s">
        <v>1201</v>
      </c>
      <c r="C807" s="4">
        <v>367</v>
      </c>
      <c r="D807" s="4">
        <v>367</v>
      </c>
      <c r="E807" s="4">
        <v>1468</v>
      </c>
      <c r="F807" s="4">
        <v>1468</v>
      </c>
      <c r="G807" s="2" t="s">
        <v>21</v>
      </c>
      <c r="H807" s="4">
        <v>9</v>
      </c>
      <c r="I807" s="4">
        <f>Table134[[#This Row],[اصله مستقل]]*Table134[[#This Row],[A_tree]]</f>
        <v>3303</v>
      </c>
      <c r="J807" s="4">
        <f>IF(Table134[[#This Row],[n * A_tree ]]&gt;Table134[[#This Row],[مساحت آدرس]],1,0)</f>
        <v>1</v>
      </c>
      <c r="K807" s="8">
        <f>IF(Table134[[#This Row],[check]]=1,1,Table134[[#This Row],[A_tree]]*Table134[[#This Row],[اصله مستقل]]/Table134[[#This Row],[مساحت آدرس]])</f>
        <v>1</v>
      </c>
      <c r="L807" s="14">
        <f>IF(Table134[[#This Row],[check]]=1,1,(Table134[[#This Row],[Psh]]+0.15*(1-Table134[[#This Row],[Psh]])))</f>
        <v>1</v>
      </c>
      <c r="M807" s="14">
        <f>IF(Table134[[#This Row],[check]]=1,0.65,1)</f>
        <v>0.65</v>
      </c>
      <c r="N807" s="4">
        <v>1</v>
      </c>
      <c r="O807" s="4">
        <f>IF(Table134[[#This Row],[check]]=1,Table134[[#This Row],[مساحت آدرس]]*Table134[[#This Row],[A0 Inc]],Table134[[#This Row],[A_tree]]*Table134[[#This Row],[اصله مستقل]])</f>
        <v>1468</v>
      </c>
      <c r="P807" s="11">
        <f>IF(Table134[[#This Row],[check]]=1,Table134[[#This Row],[A0]]/Table134[[#This Row],[اصله مستقل]],Table134[[#This Row],[A_tree]])</f>
        <v>4</v>
      </c>
    </row>
    <row r="808" spans="2:16" ht="18.600000000000001" x14ac:dyDescent="0.3">
      <c r="B808" s="4" t="s">
        <v>1202</v>
      </c>
      <c r="C808" s="4">
        <v>1827</v>
      </c>
      <c r="D808" s="4">
        <v>1827</v>
      </c>
      <c r="E808" s="4">
        <v>31800</v>
      </c>
      <c r="F808" s="4">
        <v>48375</v>
      </c>
      <c r="G808" s="2" t="s">
        <v>283</v>
      </c>
      <c r="H808" s="4">
        <v>9</v>
      </c>
      <c r="I808" s="4">
        <f>Table134[[#This Row],[اصله مستقل]]*Table134[[#This Row],[A_tree]]</f>
        <v>16443</v>
      </c>
      <c r="J808" s="4">
        <f>IF(Table134[[#This Row],[n * A_tree ]]&gt;Table134[[#This Row],[مساحت آدرس]],1,0)</f>
        <v>0</v>
      </c>
      <c r="K808" s="8">
        <f>IF(Table134[[#This Row],[check]]=1,1,Table134[[#This Row],[A_tree]]*Table134[[#This Row],[اصله مستقل]]/Table134[[#This Row],[مساحت آدرس]])</f>
        <v>0.33990697674418607</v>
      </c>
      <c r="L808" s="14">
        <f>IF(Table134[[#This Row],[check]]=1,1,(Table134[[#This Row],[Psh]]+0.15*(1-Table134[[#This Row],[Psh]])))</f>
        <v>0.43892093023255818</v>
      </c>
      <c r="M808" s="14">
        <f>IF(Table134[[#This Row],[check]]=1,0.65,1)</f>
        <v>1</v>
      </c>
      <c r="N808" s="4">
        <v>1</v>
      </c>
      <c r="O808" s="4">
        <f>IF(Table134[[#This Row],[check]]=1,Table134[[#This Row],[مساحت آدرس]]*Table134[[#This Row],[A0 Inc]],Table134[[#This Row],[A_tree]]*Table134[[#This Row],[اصله مستقل]])</f>
        <v>16443</v>
      </c>
      <c r="P808" s="11">
        <f>IF(Table134[[#This Row],[check]]=1,Table134[[#This Row],[A0]]/Table134[[#This Row],[اصله مستقل]],Table134[[#This Row],[A_tree]])</f>
        <v>9</v>
      </c>
    </row>
    <row r="809" spans="2:16" ht="18.600000000000001" x14ac:dyDescent="0.3">
      <c r="B809" s="4" t="s">
        <v>1203</v>
      </c>
      <c r="C809" s="4">
        <v>801</v>
      </c>
      <c r="D809" s="4">
        <v>520</v>
      </c>
      <c r="E809" s="4">
        <v>1500</v>
      </c>
      <c r="F809" s="4">
        <v>5320</v>
      </c>
      <c r="G809" s="2" t="s">
        <v>3</v>
      </c>
      <c r="H809" s="4">
        <v>9</v>
      </c>
      <c r="I809" s="4">
        <f>Table134[[#This Row],[اصله مستقل]]*Table134[[#This Row],[A_tree]]</f>
        <v>4680</v>
      </c>
      <c r="J809" s="4">
        <f>IF(Table134[[#This Row],[n * A_tree ]]&gt;Table134[[#This Row],[مساحت آدرس]],1,0)</f>
        <v>0</v>
      </c>
      <c r="K809" s="8">
        <f>IF(Table134[[#This Row],[check]]=1,1,Table134[[#This Row],[A_tree]]*Table134[[#This Row],[اصله مستقل]]/Table134[[#This Row],[مساحت آدرس]])</f>
        <v>0.87969924812030076</v>
      </c>
      <c r="L809" s="14">
        <f>IF(Table134[[#This Row],[check]]=1,1,(Table134[[#This Row],[Psh]]+0.15*(1-Table134[[#This Row],[Psh]])))</f>
        <v>0.89774436090225562</v>
      </c>
      <c r="M809" s="14">
        <f>IF(Table134[[#This Row],[check]]=1,0.65,1)</f>
        <v>1</v>
      </c>
      <c r="N809" s="4">
        <v>1</v>
      </c>
      <c r="O809" s="4">
        <f>IF(Table134[[#This Row],[check]]=1,Table134[[#This Row],[مساحت آدرس]]*Table134[[#This Row],[A0 Inc]],Table134[[#This Row],[A_tree]]*Table134[[#This Row],[اصله مستقل]])</f>
        <v>4680</v>
      </c>
      <c r="P809" s="11">
        <f>IF(Table134[[#This Row],[check]]=1,Table134[[#This Row],[A0]]/Table134[[#This Row],[اصله مستقل]],Table134[[#This Row],[A_tree]])</f>
        <v>9</v>
      </c>
    </row>
    <row r="810" spans="2:16" ht="18.600000000000001" x14ac:dyDescent="0.3">
      <c r="B810" s="4" t="s">
        <v>1204</v>
      </c>
      <c r="C810" s="4">
        <v>123</v>
      </c>
      <c r="D810" s="4">
        <v>123</v>
      </c>
      <c r="E810" s="4">
        <v>246</v>
      </c>
      <c r="F810" s="4">
        <v>1596</v>
      </c>
      <c r="G810" s="2" t="s">
        <v>3</v>
      </c>
      <c r="H810" s="4">
        <v>9</v>
      </c>
      <c r="I810" s="4">
        <f>Table134[[#This Row],[اصله مستقل]]*Table134[[#This Row],[A_tree]]</f>
        <v>1107</v>
      </c>
      <c r="J810" s="4">
        <f>IF(Table134[[#This Row],[n * A_tree ]]&gt;Table134[[#This Row],[مساحت آدرس]],1,0)</f>
        <v>0</v>
      </c>
      <c r="K810" s="8">
        <f>IF(Table134[[#This Row],[check]]=1,1,Table134[[#This Row],[A_tree]]*Table134[[#This Row],[اصله مستقل]]/Table134[[#This Row],[مساحت آدرس]])</f>
        <v>0.69360902255639101</v>
      </c>
      <c r="L810" s="14">
        <f>IF(Table134[[#This Row],[check]]=1,1,(Table134[[#This Row],[Psh]]+0.15*(1-Table134[[#This Row],[Psh]])))</f>
        <v>0.73956766917293237</v>
      </c>
      <c r="M810" s="14">
        <f>IF(Table134[[#This Row],[check]]=1,0.65,1)</f>
        <v>1</v>
      </c>
      <c r="N810" s="4">
        <v>1</v>
      </c>
      <c r="O810" s="4">
        <f>IF(Table134[[#This Row],[check]]=1,Table134[[#This Row],[مساحت آدرس]]*Table134[[#This Row],[A0 Inc]],Table134[[#This Row],[A_tree]]*Table134[[#This Row],[اصله مستقل]])</f>
        <v>1107</v>
      </c>
      <c r="P810" s="11">
        <f>IF(Table134[[#This Row],[check]]=1,Table134[[#This Row],[A0]]/Table134[[#This Row],[اصله مستقل]],Table134[[#This Row],[A_tree]])</f>
        <v>9</v>
      </c>
    </row>
    <row r="811" spans="2:16" ht="18.600000000000001" x14ac:dyDescent="0.3">
      <c r="B811" s="4" t="s">
        <v>1211</v>
      </c>
      <c r="C811" s="4">
        <v>2620</v>
      </c>
      <c r="D811" s="4">
        <v>1843</v>
      </c>
      <c r="E811" s="4">
        <v>28540</v>
      </c>
      <c r="F811" s="4">
        <v>35357</v>
      </c>
      <c r="G811" s="2" t="s">
        <v>300</v>
      </c>
      <c r="H811" s="4">
        <v>9</v>
      </c>
      <c r="I811" s="4">
        <f>Table134[[#This Row],[اصله مستقل]]*Table134[[#This Row],[A_tree]]</f>
        <v>16587</v>
      </c>
      <c r="J811" s="4">
        <f>IF(Table134[[#This Row],[n * A_tree ]]&gt;Table134[[#This Row],[مساحت آدرس]],1,0)</f>
        <v>0</v>
      </c>
      <c r="K811" s="8">
        <f>IF(Table134[[#This Row],[check]]=1,1,Table134[[#This Row],[A_tree]]*Table134[[#This Row],[اصله مستقل]]/Table134[[#This Row],[مساحت آدرس]])</f>
        <v>0.46912916819865941</v>
      </c>
      <c r="L811" s="14">
        <f>IF(Table134[[#This Row],[check]]=1,1,(Table134[[#This Row],[Psh]]+0.15*(1-Table134[[#This Row],[Psh]])))</f>
        <v>0.54875979296886046</v>
      </c>
      <c r="M811" s="14">
        <f>IF(Table134[[#This Row],[check]]=1,0.65,1)</f>
        <v>1</v>
      </c>
      <c r="N811" s="4">
        <v>1</v>
      </c>
      <c r="O811" s="4">
        <f>IF(Table134[[#This Row],[check]]=1,Table134[[#This Row],[مساحت آدرس]]*Table134[[#This Row],[A0 Inc]],Table134[[#This Row],[A_tree]]*Table134[[#This Row],[اصله مستقل]])</f>
        <v>16587</v>
      </c>
      <c r="P811" s="11">
        <f>IF(Table134[[#This Row],[check]]=1,Table134[[#This Row],[A0]]/Table134[[#This Row],[اصله مستقل]],Table134[[#This Row],[A_tree]])</f>
        <v>9</v>
      </c>
    </row>
    <row r="812" spans="2:16" ht="18.600000000000001" x14ac:dyDescent="0.3">
      <c r="B812" s="4" t="s">
        <v>1212</v>
      </c>
      <c r="C812" s="4">
        <v>342</v>
      </c>
      <c r="D812" s="4">
        <v>111</v>
      </c>
      <c r="E812" s="4">
        <v>393</v>
      </c>
      <c r="F812" s="4">
        <v>1485</v>
      </c>
      <c r="G812" s="2" t="s">
        <v>21</v>
      </c>
      <c r="H812" s="4">
        <v>9</v>
      </c>
      <c r="I812" s="4">
        <f>Table134[[#This Row],[اصله مستقل]]*Table134[[#This Row],[A_tree]]</f>
        <v>999</v>
      </c>
      <c r="J812" s="4">
        <f>IF(Table134[[#This Row],[n * A_tree ]]&gt;Table134[[#This Row],[مساحت آدرس]],1,0)</f>
        <v>0</v>
      </c>
      <c r="K812" s="8">
        <f>IF(Table134[[#This Row],[check]]=1,1,Table134[[#This Row],[A_tree]]*Table134[[#This Row],[اصله مستقل]]/Table134[[#This Row],[مساحت آدرس]])</f>
        <v>0.67272727272727273</v>
      </c>
      <c r="L812" s="14">
        <f>IF(Table134[[#This Row],[check]]=1,1,(Table134[[#This Row],[Psh]]+0.15*(1-Table134[[#This Row],[Psh]])))</f>
        <v>0.7218181818181818</v>
      </c>
      <c r="M812" s="14">
        <f>IF(Table134[[#This Row],[check]]=1,0.65,1)</f>
        <v>1</v>
      </c>
      <c r="N812" s="4">
        <v>1</v>
      </c>
      <c r="O812" s="4">
        <f>IF(Table134[[#This Row],[check]]=1,Table134[[#This Row],[مساحت آدرس]]*Table134[[#This Row],[A0 Inc]],Table134[[#This Row],[A_tree]]*Table134[[#This Row],[اصله مستقل]])</f>
        <v>999</v>
      </c>
      <c r="P812" s="11">
        <f>IF(Table134[[#This Row],[check]]=1,Table134[[#This Row],[A0]]/Table134[[#This Row],[اصله مستقل]],Table134[[#This Row],[A_tree]])</f>
        <v>9</v>
      </c>
    </row>
    <row r="813" spans="2:16" ht="18.600000000000001" x14ac:dyDescent="0.3">
      <c r="B813" s="4" t="s">
        <v>1213</v>
      </c>
      <c r="C813" s="4">
        <v>1037</v>
      </c>
      <c r="D813" s="4">
        <v>356</v>
      </c>
      <c r="E813" s="4">
        <v>644</v>
      </c>
      <c r="F813" s="4">
        <v>4396</v>
      </c>
      <c r="G813" s="2" t="s">
        <v>21</v>
      </c>
      <c r="H813" s="4">
        <v>9</v>
      </c>
      <c r="I813" s="4">
        <f>Table134[[#This Row],[اصله مستقل]]*Table134[[#This Row],[A_tree]]</f>
        <v>3204</v>
      </c>
      <c r="J813" s="4">
        <f>IF(Table134[[#This Row],[n * A_tree ]]&gt;Table134[[#This Row],[مساحت آدرس]],1,0)</f>
        <v>0</v>
      </c>
      <c r="K813" s="8">
        <f>IF(Table134[[#This Row],[check]]=1,1,Table134[[#This Row],[A_tree]]*Table134[[#This Row],[اصله مستقل]]/Table134[[#This Row],[مساحت آدرس]])</f>
        <v>0.7288444040036397</v>
      </c>
      <c r="L813" s="14">
        <f>IF(Table134[[#This Row],[check]]=1,1,(Table134[[#This Row],[Psh]]+0.15*(1-Table134[[#This Row],[Psh]])))</f>
        <v>0.76951774340309376</v>
      </c>
      <c r="M813" s="14">
        <f>IF(Table134[[#This Row],[check]]=1,0.65,1)</f>
        <v>1</v>
      </c>
      <c r="N813" s="4">
        <v>1</v>
      </c>
      <c r="O813" s="4">
        <f>IF(Table134[[#This Row],[check]]=1,Table134[[#This Row],[مساحت آدرس]]*Table134[[#This Row],[A0 Inc]],Table134[[#This Row],[A_tree]]*Table134[[#This Row],[اصله مستقل]])</f>
        <v>3204</v>
      </c>
      <c r="P813" s="11">
        <f>IF(Table134[[#This Row],[check]]=1,Table134[[#This Row],[A0]]/Table134[[#This Row],[اصله مستقل]],Table134[[#This Row],[A_tree]])</f>
        <v>9</v>
      </c>
    </row>
    <row r="814" spans="2:16" ht="18.600000000000001" x14ac:dyDescent="0.3">
      <c r="B814" s="4" t="s">
        <v>1214</v>
      </c>
      <c r="C814" s="4">
        <v>397</v>
      </c>
      <c r="D814" s="4">
        <v>397</v>
      </c>
      <c r="E814" s="4">
        <v>1600</v>
      </c>
      <c r="F814" s="4">
        <v>1670</v>
      </c>
      <c r="G814" s="2" t="s">
        <v>21</v>
      </c>
      <c r="H814" s="4">
        <v>9</v>
      </c>
      <c r="I814" s="4">
        <f>Table134[[#This Row],[اصله مستقل]]*Table134[[#This Row],[A_tree]]</f>
        <v>3573</v>
      </c>
      <c r="J814" s="4">
        <f>IF(Table134[[#This Row],[n * A_tree ]]&gt;Table134[[#This Row],[مساحت آدرس]],1,0)</f>
        <v>1</v>
      </c>
      <c r="K814" s="8">
        <f>IF(Table134[[#This Row],[check]]=1,1,Table134[[#This Row],[A_tree]]*Table134[[#This Row],[اصله مستقل]]/Table134[[#This Row],[مساحت آدرس]])</f>
        <v>1</v>
      </c>
      <c r="L814" s="14">
        <f>IF(Table134[[#This Row],[check]]=1,1,(Table134[[#This Row],[Psh]]+0.15*(1-Table134[[#This Row],[Psh]])))</f>
        <v>1</v>
      </c>
      <c r="M814" s="14">
        <f>IF(Table134[[#This Row],[check]]=1,0.65,1)</f>
        <v>0.65</v>
      </c>
      <c r="N814" s="4">
        <v>1</v>
      </c>
      <c r="O814" s="4">
        <f>IF(Table134[[#This Row],[check]]=1,Table134[[#This Row],[مساحت آدرس]]*Table134[[#This Row],[A0 Inc]],Table134[[#This Row],[A_tree]]*Table134[[#This Row],[اصله مستقل]])</f>
        <v>1670</v>
      </c>
      <c r="P814" s="11">
        <f>IF(Table134[[#This Row],[check]]=1,Table134[[#This Row],[A0]]/Table134[[#This Row],[اصله مستقل]],Table134[[#This Row],[A_tree]])</f>
        <v>4.2065491183879091</v>
      </c>
    </row>
    <row r="815" spans="2:16" ht="18.600000000000001" x14ac:dyDescent="0.3">
      <c r="B815" s="4" t="s">
        <v>1215</v>
      </c>
      <c r="C815" s="4">
        <v>631</v>
      </c>
      <c r="D815" s="4">
        <v>80</v>
      </c>
      <c r="E815" s="4">
        <v>280</v>
      </c>
      <c r="F815" s="4">
        <v>3791</v>
      </c>
      <c r="G815" s="2" t="s">
        <v>21</v>
      </c>
      <c r="H815" s="4">
        <v>9</v>
      </c>
      <c r="I815" s="4">
        <f>Table134[[#This Row],[اصله مستقل]]*Table134[[#This Row],[A_tree]]</f>
        <v>720</v>
      </c>
      <c r="J815" s="4">
        <f>IF(Table134[[#This Row],[n * A_tree ]]&gt;Table134[[#This Row],[مساحت آدرس]],1,0)</f>
        <v>0</v>
      </c>
      <c r="K815" s="8">
        <f>IF(Table134[[#This Row],[check]]=1,1,Table134[[#This Row],[A_tree]]*Table134[[#This Row],[اصله مستقل]]/Table134[[#This Row],[مساحت آدرس]])</f>
        <v>0.18992350303350039</v>
      </c>
      <c r="L815" s="14">
        <f>IF(Table134[[#This Row],[check]]=1,1,(Table134[[#This Row],[Psh]]+0.15*(1-Table134[[#This Row],[Psh]])))</f>
        <v>0.31143497757847532</v>
      </c>
      <c r="M815" s="14">
        <f>IF(Table134[[#This Row],[check]]=1,0.65,1)</f>
        <v>1</v>
      </c>
      <c r="N815" s="4">
        <v>1</v>
      </c>
      <c r="O815" s="4">
        <f>IF(Table134[[#This Row],[check]]=1,Table134[[#This Row],[مساحت آدرس]]*Table134[[#This Row],[A0 Inc]],Table134[[#This Row],[A_tree]]*Table134[[#This Row],[اصله مستقل]])</f>
        <v>720</v>
      </c>
      <c r="P815" s="11">
        <f>IF(Table134[[#This Row],[check]]=1,Table134[[#This Row],[A0]]/Table134[[#This Row],[اصله مستقل]],Table134[[#This Row],[A_tree]])</f>
        <v>9</v>
      </c>
    </row>
    <row r="816" spans="2:16" ht="18.600000000000001" x14ac:dyDescent="0.3">
      <c r="B816" s="4" t="s">
        <v>1216</v>
      </c>
      <c r="C816" s="4">
        <v>118</v>
      </c>
      <c r="D816" s="4">
        <v>118</v>
      </c>
      <c r="E816" s="4">
        <v>472</v>
      </c>
      <c r="F816" s="4">
        <v>480</v>
      </c>
      <c r="G816" s="2" t="s">
        <v>21</v>
      </c>
      <c r="H816" s="4">
        <v>9</v>
      </c>
      <c r="I816" s="4">
        <f>Table134[[#This Row],[اصله مستقل]]*Table134[[#This Row],[A_tree]]</f>
        <v>1062</v>
      </c>
      <c r="J816" s="4">
        <f>IF(Table134[[#This Row],[n * A_tree ]]&gt;Table134[[#This Row],[مساحت آدرس]],1,0)</f>
        <v>1</v>
      </c>
      <c r="K816" s="8">
        <f>IF(Table134[[#This Row],[check]]=1,1,Table134[[#This Row],[A_tree]]*Table134[[#This Row],[اصله مستقل]]/Table134[[#This Row],[مساحت آدرس]])</f>
        <v>1</v>
      </c>
      <c r="L816" s="14">
        <f>IF(Table134[[#This Row],[check]]=1,1,(Table134[[#This Row],[Psh]]+0.15*(1-Table134[[#This Row],[Psh]])))</f>
        <v>1</v>
      </c>
      <c r="M816" s="14">
        <f>IF(Table134[[#This Row],[check]]=1,0.65,1)</f>
        <v>0.65</v>
      </c>
      <c r="N816" s="4">
        <v>1</v>
      </c>
      <c r="O816" s="4">
        <f>IF(Table134[[#This Row],[check]]=1,Table134[[#This Row],[مساحت آدرس]]*Table134[[#This Row],[A0 Inc]],Table134[[#This Row],[A_tree]]*Table134[[#This Row],[اصله مستقل]])</f>
        <v>480</v>
      </c>
      <c r="P816" s="11">
        <f>IF(Table134[[#This Row],[check]]=1,Table134[[#This Row],[A0]]/Table134[[#This Row],[اصله مستقل]],Table134[[#This Row],[A_tree]])</f>
        <v>4.0677966101694913</v>
      </c>
    </row>
    <row r="817" spans="2:16" ht="18.600000000000001" x14ac:dyDescent="0.3">
      <c r="B817" s="4" t="s">
        <v>1217</v>
      </c>
      <c r="C817" s="4">
        <v>351</v>
      </c>
      <c r="D817" s="4">
        <v>351</v>
      </c>
      <c r="E817" s="4">
        <v>1404</v>
      </c>
      <c r="F817" s="4">
        <v>1654</v>
      </c>
      <c r="G817" s="2" t="s">
        <v>21</v>
      </c>
      <c r="H817" s="4">
        <v>9</v>
      </c>
      <c r="I817" s="4">
        <f>Table134[[#This Row],[اصله مستقل]]*Table134[[#This Row],[A_tree]]</f>
        <v>3159</v>
      </c>
      <c r="J817" s="4">
        <f>IF(Table134[[#This Row],[n * A_tree ]]&gt;Table134[[#This Row],[مساحت آدرس]],1,0)</f>
        <v>1</v>
      </c>
      <c r="K817" s="8">
        <f>IF(Table134[[#This Row],[check]]=1,1,Table134[[#This Row],[A_tree]]*Table134[[#This Row],[اصله مستقل]]/Table134[[#This Row],[مساحت آدرس]])</f>
        <v>1</v>
      </c>
      <c r="L817" s="14">
        <f>IF(Table134[[#This Row],[check]]=1,1,(Table134[[#This Row],[Psh]]+0.15*(1-Table134[[#This Row],[Psh]])))</f>
        <v>1</v>
      </c>
      <c r="M817" s="14">
        <f>IF(Table134[[#This Row],[check]]=1,0.65,1)</f>
        <v>0.65</v>
      </c>
      <c r="N817" s="4">
        <v>1</v>
      </c>
      <c r="O817" s="4">
        <f>IF(Table134[[#This Row],[check]]=1,Table134[[#This Row],[مساحت آدرس]]*Table134[[#This Row],[A0 Inc]],Table134[[#This Row],[A_tree]]*Table134[[#This Row],[اصله مستقل]])</f>
        <v>1654</v>
      </c>
      <c r="P817" s="11">
        <f>IF(Table134[[#This Row],[check]]=1,Table134[[#This Row],[A0]]/Table134[[#This Row],[اصله مستقل]],Table134[[#This Row],[A_tree]])</f>
        <v>4.7122507122507127</v>
      </c>
    </row>
    <row r="818" spans="2:16" ht="18.600000000000001" x14ac:dyDescent="0.3">
      <c r="B818" s="4" t="s">
        <v>1218</v>
      </c>
      <c r="C818" s="4">
        <v>1087</v>
      </c>
      <c r="D818" s="4">
        <v>729</v>
      </c>
      <c r="E818" s="4">
        <v>854</v>
      </c>
      <c r="F818" s="4">
        <v>6395</v>
      </c>
      <c r="G818" s="2" t="s">
        <v>21</v>
      </c>
      <c r="H818" s="4">
        <v>9</v>
      </c>
      <c r="I818" s="4">
        <f>Table134[[#This Row],[اصله مستقل]]*Table134[[#This Row],[A_tree]]</f>
        <v>6561</v>
      </c>
      <c r="J818" s="4">
        <f>IF(Table134[[#This Row],[n * A_tree ]]&gt;Table134[[#This Row],[مساحت آدرس]],1,0)</f>
        <v>1</v>
      </c>
      <c r="K818" s="8">
        <f>IF(Table134[[#This Row],[check]]=1,1,Table134[[#This Row],[A_tree]]*Table134[[#This Row],[اصله مستقل]]/Table134[[#This Row],[مساحت آدرس]])</f>
        <v>1</v>
      </c>
      <c r="L818" s="14">
        <f>IF(Table134[[#This Row],[check]]=1,1,(Table134[[#This Row],[Psh]]+0.15*(1-Table134[[#This Row],[Psh]])))</f>
        <v>1</v>
      </c>
      <c r="M818" s="14">
        <f>IF(Table134[[#This Row],[check]]=1,0.65,1)</f>
        <v>0.65</v>
      </c>
      <c r="N818" s="4">
        <v>1</v>
      </c>
      <c r="O818" s="4">
        <f>IF(Table134[[#This Row],[check]]=1,Table134[[#This Row],[مساحت آدرس]]*Table134[[#This Row],[A0 Inc]],Table134[[#This Row],[A_tree]]*Table134[[#This Row],[اصله مستقل]])</f>
        <v>6395</v>
      </c>
      <c r="P818" s="11">
        <f>IF(Table134[[#This Row],[check]]=1,Table134[[#This Row],[A0]]/Table134[[#This Row],[اصله مستقل]],Table134[[#This Row],[A_tree]])</f>
        <v>8.7722908093278456</v>
      </c>
    </row>
    <row r="819" spans="2:16" ht="18.600000000000001" x14ac:dyDescent="0.3">
      <c r="B819" s="4" t="s">
        <v>1219</v>
      </c>
      <c r="C819" s="4">
        <v>261</v>
      </c>
      <c r="D819" s="4">
        <v>261</v>
      </c>
      <c r="E819" s="4">
        <v>1044</v>
      </c>
      <c r="F819" s="4">
        <v>1097</v>
      </c>
      <c r="G819" s="2" t="s">
        <v>21</v>
      </c>
      <c r="H819" s="4">
        <v>9</v>
      </c>
      <c r="I819" s="4">
        <f>Table134[[#This Row],[اصله مستقل]]*Table134[[#This Row],[A_tree]]</f>
        <v>2349</v>
      </c>
      <c r="J819" s="4">
        <f>IF(Table134[[#This Row],[n * A_tree ]]&gt;Table134[[#This Row],[مساحت آدرس]],1,0)</f>
        <v>1</v>
      </c>
      <c r="K819" s="8">
        <f>IF(Table134[[#This Row],[check]]=1,1,Table134[[#This Row],[A_tree]]*Table134[[#This Row],[اصله مستقل]]/Table134[[#This Row],[مساحت آدرس]])</f>
        <v>1</v>
      </c>
      <c r="L819" s="14">
        <f>IF(Table134[[#This Row],[check]]=1,1,(Table134[[#This Row],[Psh]]+0.15*(1-Table134[[#This Row],[Psh]])))</f>
        <v>1</v>
      </c>
      <c r="M819" s="14">
        <f>IF(Table134[[#This Row],[check]]=1,0.65,1)</f>
        <v>0.65</v>
      </c>
      <c r="N819" s="4">
        <v>1</v>
      </c>
      <c r="O819" s="4">
        <f>IF(Table134[[#This Row],[check]]=1,Table134[[#This Row],[مساحت آدرس]]*Table134[[#This Row],[A0 Inc]],Table134[[#This Row],[A_tree]]*Table134[[#This Row],[اصله مستقل]])</f>
        <v>1097</v>
      </c>
      <c r="P819" s="11">
        <f>IF(Table134[[#This Row],[check]]=1,Table134[[#This Row],[A0]]/Table134[[#This Row],[اصله مستقل]],Table134[[#This Row],[A_tree]])</f>
        <v>4.2030651340996172</v>
      </c>
    </row>
    <row r="820" spans="2:16" ht="18.600000000000001" x14ac:dyDescent="0.3">
      <c r="B820" s="4" t="s">
        <v>1220</v>
      </c>
      <c r="C820" s="4">
        <v>117</v>
      </c>
      <c r="D820" s="4">
        <v>117</v>
      </c>
      <c r="E820" s="4">
        <v>468</v>
      </c>
      <c r="F820" s="4">
        <v>468</v>
      </c>
      <c r="G820" s="2" t="s">
        <v>21</v>
      </c>
      <c r="H820" s="4">
        <v>9</v>
      </c>
      <c r="I820" s="4">
        <f>Table134[[#This Row],[اصله مستقل]]*Table134[[#This Row],[A_tree]]</f>
        <v>1053</v>
      </c>
      <c r="J820" s="4">
        <f>IF(Table134[[#This Row],[n * A_tree ]]&gt;Table134[[#This Row],[مساحت آدرس]],1,0)</f>
        <v>1</v>
      </c>
      <c r="K820" s="8">
        <f>IF(Table134[[#This Row],[check]]=1,1,Table134[[#This Row],[A_tree]]*Table134[[#This Row],[اصله مستقل]]/Table134[[#This Row],[مساحت آدرس]])</f>
        <v>1</v>
      </c>
      <c r="L820" s="14">
        <f>IF(Table134[[#This Row],[check]]=1,1,(Table134[[#This Row],[Psh]]+0.15*(1-Table134[[#This Row],[Psh]])))</f>
        <v>1</v>
      </c>
      <c r="M820" s="14">
        <f>IF(Table134[[#This Row],[check]]=1,0.65,1)</f>
        <v>0.65</v>
      </c>
      <c r="N820" s="4">
        <v>1</v>
      </c>
      <c r="O820" s="4">
        <f>IF(Table134[[#This Row],[check]]=1,Table134[[#This Row],[مساحت آدرس]]*Table134[[#This Row],[A0 Inc]],Table134[[#This Row],[A_tree]]*Table134[[#This Row],[اصله مستقل]])</f>
        <v>468</v>
      </c>
      <c r="P820" s="11">
        <f>IF(Table134[[#This Row],[check]]=1,Table134[[#This Row],[A0]]/Table134[[#This Row],[اصله مستقل]],Table134[[#This Row],[A_tree]])</f>
        <v>4</v>
      </c>
    </row>
    <row r="821" spans="2:16" ht="18.600000000000001" x14ac:dyDescent="0.3">
      <c r="B821" s="4" t="s">
        <v>1221</v>
      </c>
      <c r="C821" s="4">
        <v>257</v>
      </c>
      <c r="D821" s="4">
        <v>257</v>
      </c>
      <c r="E821" s="4">
        <v>514</v>
      </c>
      <c r="F821" s="4">
        <v>514</v>
      </c>
      <c r="G821" s="2" t="s">
        <v>21</v>
      </c>
      <c r="H821" s="4">
        <v>9</v>
      </c>
      <c r="I821" s="4">
        <f>Table134[[#This Row],[اصله مستقل]]*Table134[[#This Row],[A_tree]]</f>
        <v>2313</v>
      </c>
      <c r="J821" s="4">
        <f>IF(Table134[[#This Row],[n * A_tree ]]&gt;Table134[[#This Row],[مساحت آدرس]],1,0)</f>
        <v>1</v>
      </c>
      <c r="K821" s="8">
        <f>IF(Table134[[#This Row],[check]]=1,1,Table134[[#This Row],[A_tree]]*Table134[[#This Row],[اصله مستقل]]/Table134[[#This Row],[مساحت آدرس]])</f>
        <v>1</v>
      </c>
      <c r="L821" s="14">
        <f>IF(Table134[[#This Row],[check]]=1,1,(Table134[[#This Row],[Psh]]+0.15*(1-Table134[[#This Row],[Psh]])))</f>
        <v>1</v>
      </c>
      <c r="M821" s="14">
        <f>IF(Table134[[#This Row],[check]]=1,0.65,1)</f>
        <v>0.65</v>
      </c>
      <c r="N821" s="4">
        <v>1</v>
      </c>
      <c r="O821" s="4">
        <f>IF(Table134[[#This Row],[check]]=1,Table134[[#This Row],[مساحت آدرس]]*Table134[[#This Row],[A0 Inc]],Table134[[#This Row],[A_tree]]*Table134[[#This Row],[اصله مستقل]])</f>
        <v>514</v>
      </c>
      <c r="P821" s="11">
        <f>IF(Table134[[#This Row],[check]]=1,Table134[[#This Row],[A0]]/Table134[[#This Row],[اصله مستقل]],Table134[[#This Row],[A_tree]])</f>
        <v>2</v>
      </c>
    </row>
    <row r="822" spans="2:16" ht="18.600000000000001" x14ac:dyDescent="0.3">
      <c r="B822" s="4" t="s">
        <v>1222</v>
      </c>
      <c r="C822" s="4">
        <v>29</v>
      </c>
      <c r="D822" s="4">
        <v>29</v>
      </c>
      <c r="E822" s="4">
        <v>116</v>
      </c>
      <c r="F822" s="4">
        <v>116</v>
      </c>
      <c r="G822" s="2" t="s">
        <v>21</v>
      </c>
      <c r="H822" s="4">
        <v>9</v>
      </c>
      <c r="I822" s="4">
        <f>Table134[[#This Row],[اصله مستقل]]*Table134[[#This Row],[A_tree]]</f>
        <v>261</v>
      </c>
      <c r="J822" s="4">
        <f>IF(Table134[[#This Row],[n * A_tree ]]&gt;Table134[[#This Row],[مساحت آدرس]],1,0)</f>
        <v>1</v>
      </c>
      <c r="K822" s="8">
        <f>IF(Table134[[#This Row],[check]]=1,1,Table134[[#This Row],[A_tree]]*Table134[[#This Row],[اصله مستقل]]/Table134[[#This Row],[مساحت آدرس]])</f>
        <v>1</v>
      </c>
      <c r="L822" s="14">
        <f>IF(Table134[[#This Row],[check]]=1,1,(Table134[[#This Row],[Psh]]+0.15*(1-Table134[[#This Row],[Psh]])))</f>
        <v>1</v>
      </c>
      <c r="M822" s="14">
        <f>IF(Table134[[#This Row],[check]]=1,0.65,1)</f>
        <v>0.65</v>
      </c>
      <c r="N822" s="4">
        <v>1</v>
      </c>
      <c r="O822" s="4">
        <f>IF(Table134[[#This Row],[check]]=1,Table134[[#This Row],[مساحت آدرس]]*Table134[[#This Row],[A0 Inc]],Table134[[#This Row],[A_tree]]*Table134[[#This Row],[اصله مستقل]])</f>
        <v>116</v>
      </c>
      <c r="P822" s="11">
        <f>IF(Table134[[#This Row],[check]]=1,Table134[[#This Row],[A0]]/Table134[[#This Row],[اصله مستقل]],Table134[[#This Row],[A_tree]])</f>
        <v>4</v>
      </c>
    </row>
    <row r="823" spans="2:16" ht="18.600000000000001" x14ac:dyDescent="0.3">
      <c r="B823" s="4" t="s">
        <v>1223</v>
      </c>
      <c r="C823" s="4">
        <v>48</v>
      </c>
      <c r="D823" s="4">
        <v>48</v>
      </c>
      <c r="E823" s="4">
        <v>146</v>
      </c>
      <c r="F823" s="4">
        <v>146</v>
      </c>
      <c r="G823" s="2" t="s">
        <v>21</v>
      </c>
      <c r="H823" s="4">
        <v>9</v>
      </c>
      <c r="I823" s="4">
        <f>Table134[[#This Row],[اصله مستقل]]*Table134[[#This Row],[A_tree]]</f>
        <v>432</v>
      </c>
      <c r="J823" s="4">
        <f>IF(Table134[[#This Row],[n * A_tree ]]&gt;Table134[[#This Row],[مساحت آدرس]],1,0)</f>
        <v>1</v>
      </c>
      <c r="K823" s="8">
        <f>IF(Table134[[#This Row],[check]]=1,1,Table134[[#This Row],[A_tree]]*Table134[[#This Row],[اصله مستقل]]/Table134[[#This Row],[مساحت آدرس]])</f>
        <v>1</v>
      </c>
      <c r="L823" s="14">
        <f>IF(Table134[[#This Row],[check]]=1,1,(Table134[[#This Row],[Psh]]+0.15*(1-Table134[[#This Row],[Psh]])))</f>
        <v>1</v>
      </c>
      <c r="M823" s="14">
        <f>IF(Table134[[#This Row],[check]]=1,0.65,1)</f>
        <v>0.65</v>
      </c>
      <c r="N823" s="4">
        <v>1</v>
      </c>
      <c r="O823" s="4">
        <f>IF(Table134[[#This Row],[check]]=1,Table134[[#This Row],[مساحت آدرس]]*Table134[[#This Row],[A0 Inc]],Table134[[#This Row],[A_tree]]*Table134[[#This Row],[اصله مستقل]])</f>
        <v>146</v>
      </c>
      <c r="P823" s="11">
        <f>IF(Table134[[#This Row],[check]]=1,Table134[[#This Row],[A0]]/Table134[[#This Row],[اصله مستقل]],Table134[[#This Row],[A_tree]])</f>
        <v>3.0416666666666665</v>
      </c>
    </row>
    <row r="824" spans="2:16" ht="18.600000000000001" x14ac:dyDescent="0.3">
      <c r="B824" s="4" t="s">
        <v>1224</v>
      </c>
      <c r="C824" s="4">
        <v>36</v>
      </c>
      <c r="D824" s="4">
        <v>36</v>
      </c>
      <c r="E824" s="4">
        <v>330</v>
      </c>
      <c r="F824" s="4">
        <v>330</v>
      </c>
      <c r="G824" s="2" t="s">
        <v>21</v>
      </c>
      <c r="H824" s="4">
        <v>9</v>
      </c>
      <c r="I824" s="4">
        <f>Table134[[#This Row],[اصله مستقل]]*Table134[[#This Row],[A_tree]]</f>
        <v>324</v>
      </c>
      <c r="J824" s="4">
        <f>IF(Table134[[#This Row],[n * A_tree ]]&gt;Table134[[#This Row],[مساحت آدرس]],1,0)</f>
        <v>0</v>
      </c>
      <c r="K824" s="8">
        <f>IF(Table134[[#This Row],[check]]=1,1,Table134[[#This Row],[A_tree]]*Table134[[#This Row],[اصله مستقل]]/Table134[[#This Row],[مساحت آدرس]])</f>
        <v>0.98181818181818181</v>
      </c>
      <c r="L824" s="14">
        <f>IF(Table134[[#This Row],[check]]=1,1,(Table134[[#This Row],[Psh]]+0.15*(1-Table134[[#This Row],[Psh]])))</f>
        <v>0.9845454545454545</v>
      </c>
      <c r="M824" s="14">
        <f>IF(Table134[[#This Row],[check]]=1,0.65,1)</f>
        <v>1</v>
      </c>
      <c r="N824" s="4">
        <v>1</v>
      </c>
      <c r="O824" s="4">
        <f>IF(Table134[[#This Row],[check]]=1,Table134[[#This Row],[مساحت آدرس]]*Table134[[#This Row],[A0 Inc]],Table134[[#This Row],[A_tree]]*Table134[[#This Row],[اصله مستقل]])</f>
        <v>324</v>
      </c>
      <c r="P824" s="11">
        <f>IF(Table134[[#This Row],[check]]=1,Table134[[#This Row],[A0]]/Table134[[#This Row],[اصله مستقل]],Table134[[#This Row],[A_tree]])</f>
        <v>9</v>
      </c>
    </row>
    <row r="825" spans="2:16" ht="18.600000000000001" x14ac:dyDescent="0.3">
      <c r="B825" s="4" t="s">
        <v>1225</v>
      </c>
      <c r="C825" s="4">
        <v>1110</v>
      </c>
      <c r="D825" s="4">
        <v>1110</v>
      </c>
      <c r="E825" s="4">
        <v>5254</v>
      </c>
      <c r="F825" s="4">
        <v>6246</v>
      </c>
      <c r="G825" s="2" t="s">
        <v>62</v>
      </c>
      <c r="H825" s="4">
        <v>9</v>
      </c>
      <c r="I825" s="4">
        <f>Table134[[#This Row],[اصله مستقل]]*Table134[[#This Row],[A_tree]]</f>
        <v>9990</v>
      </c>
      <c r="J825" s="4">
        <f>IF(Table134[[#This Row],[n * A_tree ]]&gt;Table134[[#This Row],[مساحت آدرس]],1,0)</f>
        <v>1</v>
      </c>
      <c r="K825" s="8">
        <f>IF(Table134[[#This Row],[check]]=1,1,Table134[[#This Row],[A_tree]]*Table134[[#This Row],[اصله مستقل]]/Table134[[#This Row],[مساحت آدرس]])</f>
        <v>1</v>
      </c>
      <c r="L825" s="14">
        <f>IF(Table134[[#This Row],[check]]=1,1,(Table134[[#This Row],[Psh]]+0.15*(1-Table134[[#This Row],[Psh]])))</f>
        <v>1</v>
      </c>
      <c r="M825" s="14">
        <f>IF(Table134[[#This Row],[check]]=1,0.65,1)</f>
        <v>0.65</v>
      </c>
      <c r="N825" s="4">
        <v>1</v>
      </c>
      <c r="O825" s="4">
        <f>IF(Table134[[#This Row],[check]]=1,Table134[[#This Row],[مساحت آدرس]]*Table134[[#This Row],[A0 Inc]],Table134[[#This Row],[A_tree]]*Table134[[#This Row],[اصله مستقل]])</f>
        <v>6246</v>
      </c>
      <c r="P825" s="11">
        <f>IF(Table134[[#This Row],[check]]=1,Table134[[#This Row],[A0]]/Table134[[#This Row],[اصله مستقل]],Table134[[#This Row],[A_tree]])</f>
        <v>5.6270270270270268</v>
      </c>
    </row>
    <row r="826" spans="2:16" ht="18.600000000000001" x14ac:dyDescent="0.3">
      <c r="B826" s="4" t="s">
        <v>1226</v>
      </c>
      <c r="C826" s="4">
        <v>229</v>
      </c>
      <c r="D826" s="4">
        <v>115</v>
      </c>
      <c r="E826" s="4">
        <v>172</v>
      </c>
      <c r="F826" s="4">
        <v>1502</v>
      </c>
      <c r="G826" s="2" t="s">
        <v>62</v>
      </c>
      <c r="H826" s="4">
        <v>9</v>
      </c>
      <c r="I826" s="4">
        <f>Table134[[#This Row],[اصله مستقل]]*Table134[[#This Row],[A_tree]]</f>
        <v>1035</v>
      </c>
      <c r="J826" s="4">
        <f>IF(Table134[[#This Row],[n * A_tree ]]&gt;Table134[[#This Row],[مساحت آدرس]],1,0)</f>
        <v>0</v>
      </c>
      <c r="K826" s="8">
        <f>IF(Table134[[#This Row],[check]]=1,1,Table134[[#This Row],[A_tree]]*Table134[[#This Row],[اصله مستقل]]/Table134[[#This Row],[مساحت آدرس]])</f>
        <v>0.68908122503328895</v>
      </c>
      <c r="L826" s="14">
        <f>IF(Table134[[#This Row],[check]]=1,1,(Table134[[#This Row],[Psh]]+0.15*(1-Table134[[#This Row],[Psh]])))</f>
        <v>0.73571904127829557</v>
      </c>
      <c r="M826" s="14">
        <f>IF(Table134[[#This Row],[check]]=1,0.65,1)</f>
        <v>1</v>
      </c>
      <c r="N826" s="4">
        <v>1</v>
      </c>
      <c r="O826" s="4">
        <f>IF(Table134[[#This Row],[check]]=1,Table134[[#This Row],[مساحت آدرس]]*Table134[[#This Row],[A0 Inc]],Table134[[#This Row],[A_tree]]*Table134[[#This Row],[اصله مستقل]])</f>
        <v>1035</v>
      </c>
      <c r="P826" s="11">
        <f>IF(Table134[[#This Row],[check]]=1,Table134[[#This Row],[A0]]/Table134[[#This Row],[اصله مستقل]],Table134[[#This Row],[A_tree]])</f>
        <v>9</v>
      </c>
    </row>
    <row r="827" spans="2:16" ht="18.600000000000001" x14ac:dyDescent="0.3">
      <c r="B827" s="4" t="s">
        <v>1227</v>
      </c>
      <c r="C827" s="4">
        <v>46</v>
      </c>
      <c r="D827" s="4">
        <v>46</v>
      </c>
      <c r="E827" s="4">
        <v>530</v>
      </c>
      <c r="F827" s="4">
        <v>1040</v>
      </c>
      <c r="G827" s="2" t="s">
        <v>62</v>
      </c>
      <c r="H827" s="4">
        <v>9</v>
      </c>
      <c r="I827" s="4">
        <f>Table134[[#This Row],[اصله مستقل]]*Table134[[#This Row],[A_tree]]</f>
        <v>414</v>
      </c>
      <c r="J827" s="4">
        <f>IF(Table134[[#This Row],[n * A_tree ]]&gt;Table134[[#This Row],[مساحت آدرس]],1,0)</f>
        <v>0</v>
      </c>
      <c r="K827" s="8">
        <f>IF(Table134[[#This Row],[check]]=1,1,Table134[[#This Row],[A_tree]]*Table134[[#This Row],[اصله مستقل]]/Table134[[#This Row],[مساحت آدرس]])</f>
        <v>0.39807692307692305</v>
      </c>
      <c r="L827" s="14">
        <f>IF(Table134[[#This Row],[check]]=1,1,(Table134[[#This Row],[Psh]]+0.15*(1-Table134[[#This Row],[Psh]])))</f>
        <v>0.48836538461538459</v>
      </c>
      <c r="M827" s="14">
        <f>IF(Table134[[#This Row],[check]]=1,0.65,1)</f>
        <v>1</v>
      </c>
      <c r="N827" s="4">
        <v>1</v>
      </c>
      <c r="O827" s="4">
        <f>IF(Table134[[#This Row],[check]]=1,Table134[[#This Row],[مساحت آدرس]]*Table134[[#This Row],[A0 Inc]],Table134[[#This Row],[A_tree]]*Table134[[#This Row],[اصله مستقل]])</f>
        <v>414</v>
      </c>
      <c r="P827" s="11">
        <f>IF(Table134[[#This Row],[check]]=1,Table134[[#This Row],[A0]]/Table134[[#This Row],[اصله مستقل]],Table134[[#This Row],[A_tree]])</f>
        <v>9</v>
      </c>
    </row>
    <row r="828" spans="2:16" ht="18.600000000000001" x14ac:dyDescent="0.3">
      <c r="B828" s="4" t="s">
        <v>1228</v>
      </c>
      <c r="C828" s="4">
        <v>770</v>
      </c>
      <c r="D828" s="4">
        <v>524</v>
      </c>
      <c r="E828" s="4">
        <v>8073</v>
      </c>
      <c r="F828" s="4">
        <v>9135</v>
      </c>
      <c r="G828" s="2" t="s">
        <v>62</v>
      </c>
      <c r="H828" s="4">
        <v>9</v>
      </c>
      <c r="I828" s="4">
        <f>Table134[[#This Row],[اصله مستقل]]*Table134[[#This Row],[A_tree]]</f>
        <v>4716</v>
      </c>
      <c r="J828" s="4">
        <f>IF(Table134[[#This Row],[n * A_tree ]]&gt;Table134[[#This Row],[مساحت آدرس]],1,0)</f>
        <v>0</v>
      </c>
      <c r="K828" s="8">
        <f>IF(Table134[[#This Row],[check]]=1,1,Table134[[#This Row],[A_tree]]*Table134[[#This Row],[اصله مستقل]]/Table134[[#This Row],[مساحت آدرس]])</f>
        <v>0.51625615763546795</v>
      </c>
      <c r="L828" s="14">
        <f>IF(Table134[[#This Row],[check]]=1,1,(Table134[[#This Row],[Psh]]+0.15*(1-Table134[[#This Row],[Psh]])))</f>
        <v>0.5888177339901477</v>
      </c>
      <c r="M828" s="14">
        <f>IF(Table134[[#This Row],[check]]=1,0.65,1)</f>
        <v>1</v>
      </c>
      <c r="N828" s="4">
        <v>1</v>
      </c>
      <c r="O828" s="4">
        <f>IF(Table134[[#This Row],[check]]=1,Table134[[#This Row],[مساحت آدرس]]*Table134[[#This Row],[A0 Inc]],Table134[[#This Row],[A_tree]]*Table134[[#This Row],[اصله مستقل]])</f>
        <v>4716</v>
      </c>
      <c r="P828" s="11">
        <f>IF(Table134[[#This Row],[check]]=1,Table134[[#This Row],[A0]]/Table134[[#This Row],[اصله مستقل]],Table134[[#This Row],[A_tree]])</f>
        <v>9</v>
      </c>
    </row>
    <row r="829" spans="2:16" ht="18.600000000000001" x14ac:dyDescent="0.3">
      <c r="B829" s="4" t="s">
        <v>1229</v>
      </c>
      <c r="C829" s="4">
        <v>216</v>
      </c>
      <c r="D829" s="4">
        <v>216</v>
      </c>
      <c r="E829" s="4">
        <v>907</v>
      </c>
      <c r="F829" s="4">
        <v>1309</v>
      </c>
      <c r="G829" s="2" t="s">
        <v>62</v>
      </c>
      <c r="H829" s="4">
        <v>9</v>
      </c>
      <c r="I829" s="4">
        <f>Table134[[#This Row],[اصله مستقل]]*Table134[[#This Row],[A_tree]]</f>
        <v>1944</v>
      </c>
      <c r="J829" s="4">
        <f>IF(Table134[[#This Row],[n * A_tree ]]&gt;Table134[[#This Row],[مساحت آدرس]],1,0)</f>
        <v>1</v>
      </c>
      <c r="K829" s="8">
        <f>IF(Table134[[#This Row],[check]]=1,1,Table134[[#This Row],[A_tree]]*Table134[[#This Row],[اصله مستقل]]/Table134[[#This Row],[مساحت آدرس]])</f>
        <v>1</v>
      </c>
      <c r="L829" s="14">
        <f>IF(Table134[[#This Row],[check]]=1,1,(Table134[[#This Row],[Psh]]+0.15*(1-Table134[[#This Row],[Psh]])))</f>
        <v>1</v>
      </c>
      <c r="M829" s="14">
        <f>IF(Table134[[#This Row],[check]]=1,0.65,1)</f>
        <v>0.65</v>
      </c>
      <c r="N829" s="4">
        <v>1</v>
      </c>
      <c r="O829" s="4">
        <f>IF(Table134[[#This Row],[check]]=1,Table134[[#This Row],[مساحت آدرس]]*Table134[[#This Row],[A0 Inc]],Table134[[#This Row],[A_tree]]*Table134[[#This Row],[اصله مستقل]])</f>
        <v>1309</v>
      </c>
      <c r="P829" s="11">
        <f>IF(Table134[[#This Row],[check]]=1,Table134[[#This Row],[A0]]/Table134[[#This Row],[اصله مستقل]],Table134[[#This Row],[A_tree]])</f>
        <v>6.0601851851851851</v>
      </c>
    </row>
    <row r="830" spans="2:16" ht="18.600000000000001" x14ac:dyDescent="0.3">
      <c r="B830" s="4" t="s">
        <v>1230</v>
      </c>
      <c r="C830" s="4">
        <v>137</v>
      </c>
      <c r="D830" s="4">
        <v>137</v>
      </c>
      <c r="E830" s="4">
        <v>443</v>
      </c>
      <c r="F830" s="4">
        <v>593</v>
      </c>
      <c r="G830" s="2" t="s">
        <v>21</v>
      </c>
      <c r="H830" s="4">
        <v>9</v>
      </c>
      <c r="I830" s="4">
        <f>Table134[[#This Row],[اصله مستقل]]*Table134[[#This Row],[A_tree]]</f>
        <v>1233</v>
      </c>
      <c r="J830" s="4">
        <f>IF(Table134[[#This Row],[n * A_tree ]]&gt;Table134[[#This Row],[مساحت آدرس]],1,0)</f>
        <v>1</v>
      </c>
      <c r="K830" s="8">
        <f>IF(Table134[[#This Row],[check]]=1,1,Table134[[#This Row],[A_tree]]*Table134[[#This Row],[اصله مستقل]]/Table134[[#This Row],[مساحت آدرس]])</f>
        <v>1</v>
      </c>
      <c r="L830" s="14">
        <f>IF(Table134[[#This Row],[check]]=1,1,(Table134[[#This Row],[Psh]]+0.15*(1-Table134[[#This Row],[Psh]])))</f>
        <v>1</v>
      </c>
      <c r="M830" s="14">
        <f>IF(Table134[[#This Row],[check]]=1,0.65,1)</f>
        <v>0.65</v>
      </c>
      <c r="N830" s="4">
        <v>1</v>
      </c>
      <c r="O830" s="4">
        <f>IF(Table134[[#This Row],[check]]=1,Table134[[#This Row],[مساحت آدرس]]*Table134[[#This Row],[A0 Inc]],Table134[[#This Row],[A_tree]]*Table134[[#This Row],[اصله مستقل]])</f>
        <v>593</v>
      </c>
      <c r="P830" s="11">
        <f>IF(Table134[[#This Row],[check]]=1,Table134[[#This Row],[A0]]/Table134[[#This Row],[اصله مستقل]],Table134[[#This Row],[A_tree]])</f>
        <v>4.3284671532846719</v>
      </c>
    </row>
    <row r="831" spans="2:16" ht="18.600000000000001" x14ac:dyDescent="0.3">
      <c r="B831" s="4" t="s">
        <v>1243</v>
      </c>
      <c r="C831" s="4">
        <v>495</v>
      </c>
      <c r="D831" s="4">
        <v>375</v>
      </c>
      <c r="E831" s="4">
        <v>1100</v>
      </c>
      <c r="F831" s="4">
        <v>5500</v>
      </c>
      <c r="G831" s="2" t="s">
        <v>3</v>
      </c>
      <c r="H831" s="4">
        <v>9</v>
      </c>
      <c r="I831" s="4">
        <f>Table134[[#This Row],[اصله مستقل]]*Table134[[#This Row],[A_tree]]</f>
        <v>3375</v>
      </c>
      <c r="J831" s="4">
        <f>IF(Table134[[#This Row],[n * A_tree ]]&gt;Table134[[#This Row],[مساحت آدرس]],1,0)</f>
        <v>0</v>
      </c>
      <c r="K831" s="8">
        <f>IF(Table134[[#This Row],[check]]=1,1,Table134[[#This Row],[A_tree]]*Table134[[#This Row],[اصله مستقل]]/Table134[[#This Row],[مساحت آدرس]])</f>
        <v>0.61363636363636365</v>
      </c>
      <c r="L831" s="14">
        <f>IF(Table134[[#This Row],[check]]=1,1,(Table134[[#This Row],[Psh]]+0.15*(1-Table134[[#This Row],[Psh]])))</f>
        <v>0.67159090909090913</v>
      </c>
      <c r="M831" s="14">
        <f>IF(Table134[[#This Row],[check]]=1,0.65,1)</f>
        <v>1</v>
      </c>
      <c r="N831" s="4">
        <v>1</v>
      </c>
      <c r="O831" s="4">
        <f>IF(Table134[[#This Row],[check]]=1,Table134[[#This Row],[مساحت آدرس]]*Table134[[#This Row],[A0 Inc]],Table134[[#This Row],[A_tree]]*Table134[[#This Row],[اصله مستقل]])</f>
        <v>3375</v>
      </c>
      <c r="P831" s="11">
        <f>IF(Table134[[#This Row],[check]]=1,Table134[[#This Row],[A0]]/Table134[[#This Row],[اصله مستقل]],Table134[[#This Row],[A_tree]])</f>
        <v>9</v>
      </c>
    </row>
    <row r="832" spans="2:16" ht="18.600000000000001" x14ac:dyDescent="0.3">
      <c r="B832" s="4" t="s">
        <v>1244</v>
      </c>
      <c r="C832" s="4">
        <v>356</v>
      </c>
      <c r="D832" s="4">
        <v>356</v>
      </c>
      <c r="E832" s="4">
        <v>427</v>
      </c>
      <c r="F832" s="4">
        <v>427</v>
      </c>
      <c r="G832" s="2" t="s">
        <v>21</v>
      </c>
      <c r="H832" s="4">
        <v>9</v>
      </c>
      <c r="I832" s="4">
        <f>Table134[[#This Row],[اصله مستقل]]*Table134[[#This Row],[A_tree]]</f>
        <v>3204</v>
      </c>
      <c r="J832" s="4">
        <f>IF(Table134[[#This Row],[n * A_tree ]]&gt;Table134[[#This Row],[مساحت آدرس]],1,0)</f>
        <v>1</v>
      </c>
      <c r="K832" s="8">
        <f>IF(Table134[[#This Row],[check]]=1,1,Table134[[#This Row],[A_tree]]*Table134[[#This Row],[اصله مستقل]]/Table134[[#This Row],[مساحت آدرس]])</f>
        <v>1</v>
      </c>
      <c r="L832" s="14">
        <f>IF(Table134[[#This Row],[check]]=1,1,(Table134[[#This Row],[Psh]]+0.15*(1-Table134[[#This Row],[Psh]])))</f>
        <v>1</v>
      </c>
      <c r="M832" s="14">
        <f>IF(Table134[[#This Row],[check]]=1,0.65,1)</f>
        <v>0.65</v>
      </c>
      <c r="N832" s="4">
        <v>1</v>
      </c>
      <c r="O832" s="4">
        <f>IF(Table134[[#This Row],[check]]=1,Table134[[#This Row],[مساحت آدرس]]*Table134[[#This Row],[A0 Inc]],Table134[[#This Row],[A_tree]]*Table134[[#This Row],[اصله مستقل]])</f>
        <v>427</v>
      </c>
      <c r="P832" s="11">
        <f>IF(Table134[[#This Row],[check]]=1,Table134[[#This Row],[A0]]/Table134[[#This Row],[اصله مستقل]],Table134[[#This Row],[A_tree]])</f>
        <v>1.199438202247191</v>
      </c>
    </row>
    <row r="833" spans="2:16" ht="18.600000000000001" x14ac:dyDescent="0.3">
      <c r="B833" s="4" t="s">
        <v>1245</v>
      </c>
      <c r="C833" s="4">
        <v>586</v>
      </c>
      <c r="D833" s="4">
        <v>138</v>
      </c>
      <c r="E833" s="4">
        <v>176</v>
      </c>
      <c r="F833" s="4">
        <v>1842</v>
      </c>
      <c r="G833" s="2" t="s">
        <v>21</v>
      </c>
      <c r="H833" s="4">
        <v>9</v>
      </c>
      <c r="I833" s="4">
        <f>Table134[[#This Row],[اصله مستقل]]*Table134[[#This Row],[A_tree]]</f>
        <v>1242</v>
      </c>
      <c r="J833" s="4">
        <f>IF(Table134[[#This Row],[n * A_tree ]]&gt;Table134[[#This Row],[مساحت آدرس]],1,0)</f>
        <v>0</v>
      </c>
      <c r="K833" s="8">
        <f>IF(Table134[[#This Row],[check]]=1,1,Table134[[#This Row],[A_tree]]*Table134[[#This Row],[اصله مستقل]]/Table134[[#This Row],[مساحت آدرس]])</f>
        <v>0.67426710097719866</v>
      </c>
      <c r="L833" s="14">
        <f>IF(Table134[[#This Row],[check]]=1,1,(Table134[[#This Row],[Psh]]+0.15*(1-Table134[[#This Row],[Psh]])))</f>
        <v>0.72312703583061888</v>
      </c>
      <c r="M833" s="14">
        <f>IF(Table134[[#This Row],[check]]=1,0.65,1)</f>
        <v>1</v>
      </c>
      <c r="N833" s="4">
        <v>1</v>
      </c>
      <c r="O833" s="4">
        <f>IF(Table134[[#This Row],[check]]=1,Table134[[#This Row],[مساحت آدرس]]*Table134[[#This Row],[A0 Inc]],Table134[[#This Row],[A_tree]]*Table134[[#This Row],[اصله مستقل]])</f>
        <v>1242</v>
      </c>
      <c r="P833" s="11">
        <f>IF(Table134[[#This Row],[check]]=1,Table134[[#This Row],[A0]]/Table134[[#This Row],[اصله مستقل]],Table134[[#This Row],[A_tree]])</f>
        <v>9</v>
      </c>
    </row>
    <row r="834" spans="2:16" ht="18.600000000000001" x14ac:dyDescent="0.3">
      <c r="B834" s="4" t="s">
        <v>1246</v>
      </c>
      <c r="C834" s="4">
        <v>230</v>
      </c>
      <c r="D834" s="4">
        <v>230</v>
      </c>
      <c r="E834" s="4">
        <v>460</v>
      </c>
      <c r="F834" s="4">
        <v>845</v>
      </c>
      <c r="G834" s="2" t="s">
        <v>21</v>
      </c>
      <c r="H834" s="4">
        <v>9</v>
      </c>
      <c r="I834" s="4">
        <f>Table134[[#This Row],[اصله مستقل]]*Table134[[#This Row],[A_tree]]</f>
        <v>2070</v>
      </c>
      <c r="J834" s="4">
        <f>IF(Table134[[#This Row],[n * A_tree ]]&gt;Table134[[#This Row],[مساحت آدرس]],1,0)</f>
        <v>1</v>
      </c>
      <c r="K834" s="8">
        <f>IF(Table134[[#This Row],[check]]=1,1,Table134[[#This Row],[A_tree]]*Table134[[#This Row],[اصله مستقل]]/Table134[[#This Row],[مساحت آدرس]])</f>
        <v>1</v>
      </c>
      <c r="L834" s="14">
        <f>IF(Table134[[#This Row],[check]]=1,1,(Table134[[#This Row],[Psh]]+0.15*(1-Table134[[#This Row],[Psh]])))</f>
        <v>1</v>
      </c>
      <c r="M834" s="14">
        <f>IF(Table134[[#This Row],[check]]=1,0.65,1)</f>
        <v>0.65</v>
      </c>
      <c r="N834" s="4">
        <v>1</v>
      </c>
      <c r="O834" s="4">
        <f>IF(Table134[[#This Row],[check]]=1,Table134[[#This Row],[مساحت آدرس]]*Table134[[#This Row],[A0 Inc]],Table134[[#This Row],[A_tree]]*Table134[[#This Row],[اصله مستقل]])</f>
        <v>845</v>
      </c>
      <c r="P834" s="11">
        <f>IF(Table134[[#This Row],[check]]=1,Table134[[#This Row],[A0]]/Table134[[#This Row],[اصله مستقل]],Table134[[#This Row],[A_tree]])</f>
        <v>3.6739130434782608</v>
      </c>
    </row>
    <row r="835" spans="2:16" ht="18.600000000000001" x14ac:dyDescent="0.3">
      <c r="B835" s="4" t="s">
        <v>1247</v>
      </c>
      <c r="C835" s="4">
        <v>128</v>
      </c>
      <c r="D835" s="4">
        <v>128</v>
      </c>
      <c r="E835" s="4">
        <v>150</v>
      </c>
      <c r="F835" s="4">
        <v>330</v>
      </c>
      <c r="G835" s="2" t="s">
        <v>21</v>
      </c>
      <c r="H835" s="4">
        <v>9</v>
      </c>
      <c r="I835" s="4">
        <f>Table134[[#This Row],[اصله مستقل]]*Table134[[#This Row],[A_tree]]</f>
        <v>1152</v>
      </c>
      <c r="J835" s="4">
        <f>IF(Table134[[#This Row],[n * A_tree ]]&gt;Table134[[#This Row],[مساحت آدرس]],1,0)</f>
        <v>1</v>
      </c>
      <c r="K835" s="8">
        <f>IF(Table134[[#This Row],[check]]=1,1,Table134[[#This Row],[A_tree]]*Table134[[#This Row],[اصله مستقل]]/Table134[[#This Row],[مساحت آدرس]])</f>
        <v>1</v>
      </c>
      <c r="L835" s="14">
        <f>IF(Table134[[#This Row],[check]]=1,1,(Table134[[#This Row],[Psh]]+0.15*(1-Table134[[#This Row],[Psh]])))</f>
        <v>1</v>
      </c>
      <c r="M835" s="14">
        <f>IF(Table134[[#This Row],[check]]=1,0.65,1)</f>
        <v>0.65</v>
      </c>
      <c r="N835" s="4">
        <v>1</v>
      </c>
      <c r="O835" s="4">
        <f>IF(Table134[[#This Row],[check]]=1,Table134[[#This Row],[مساحت آدرس]]*Table134[[#This Row],[A0 Inc]],Table134[[#This Row],[A_tree]]*Table134[[#This Row],[اصله مستقل]])</f>
        <v>330</v>
      </c>
      <c r="P835" s="11">
        <f>IF(Table134[[#This Row],[check]]=1,Table134[[#This Row],[A0]]/Table134[[#This Row],[اصله مستقل]],Table134[[#This Row],[A_tree]])</f>
        <v>2.578125</v>
      </c>
    </row>
    <row r="836" spans="2:16" ht="18.600000000000001" x14ac:dyDescent="0.3">
      <c r="B836" s="4" t="s">
        <v>1248</v>
      </c>
      <c r="C836" s="4">
        <v>599</v>
      </c>
      <c r="D836" s="4">
        <v>599</v>
      </c>
      <c r="E836" s="4">
        <v>5277</v>
      </c>
      <c r="F836" s="4">
        <v>5562</v>
      </c>
      <c r="G836" s="2" t="s">
        <v>21</v>
      </c>
      <c r="H836" s="4">
        <v>9</v>
      </c>
      <c r="I836" s="4">
        <f>Table134[[#This Row],[اصله مستقل]]*Table134[[#This Row],[A_tree]]</f>
        <v>5391</v>
      </c>
      <c r="J836" s="4">
        <f>IF(Table134[[#This Row],[n * A_tree ]]&gt;Table134[[#This Row],[مساحت آدرس]],1,0)</f>
        <v>0</v>
      </c>
      <c r="K836" s="8">
        <f>IF(Table134[[#This Row],[check]]=1,1,Table134[[#This Row],[A_tree]]*Table134[[#This Row],[اصله مستقل]]/Table134[[#This Row],[مساحت آدرس]])</f>
        <v>0.96925566343042069</v>
      </c>
      <c r="L836" s="14">
        <f>IF(Table134[[#This Row],[check]]=1,1,(Table134[[#This Row],[Psh]]+0.15*(1-Table134[[#This Row],[Psh]])))</f>
        <v>0.97386731391585757</v>
      </c>
      <c r="M836" s="14">
        <f>IF(Table134[[#This Row],[check]]=1,0.65,1)</f>
        <v>1</v>
      </c>
      <c r="N836" s="4">
        <v>1</v>
      </c>
      <c r="O836" s="4">
        <f>IF(Table134[[#This Row],[check]]=1,Table134[[#This Row],[مساحت آدرس]]*Table134[[#This Row],[A0 Inc]],Table134[[#This Row],[A_tree]]*Table134[[#This Row],[اصله مستقل]])</f>
        <v>5391</v>
      </c>
      <c r="P836" s="11">
        <f>IF(Table134[[#This Row],[check]]=1,Table134[[#This Row],[A0]]/Table134[[#This Row],[اصله مستقل]],Table134[[#This Row],[A_tree]])</f>
        <v>9</v>
      </c>
    </row>
    <row r="837" spans="2:16" ht="18.600000000000001" x14ac:dyDescent="0.3">
      <c r="B837" s="4" t="s">
        <v>1249</v>
      </c>
      <c r="C837" s="4">
        <v>1488</v>
      </c>
      <c r="D837" s="4">
        <v>1488</v>
      </c>
      <c r="E837" s="4">
        <v>5968</v>
      </c>
      <c r="F837" s="4">
        <v>7718</v>
      </c>
      <c r="G837" s="2" t="s">
        <v>21</v>
      </c>
      <c r="H837" s="4">
        <v>9</v>
      </c>
      <c r="I837" s="4">
        <f>Table134[[#This Row],[اصله مستقل]]*Table134[[#This Row],[A_tree]]</f>
        <v>13392</v>
      </c>
      <c r="J837" s="4">
        <f>IF(Table134[[#This Row],[n * A_tree ]]&gt;Table134[[#This Row],[مساحت آدرس]],1,0)</f>
        <v>1</v>
      </c>
      <c r="K837" s="8">
        <f>IF(Table134[[#This Row],[check]]=1,1,Table134[[#This Row],[A_tree]]*Table134[[#This Row],[اصله مستقل]]/Table134[[#This Row],[مساحت آدرس]])</f>
        <v>1</v>
      </c>
      <c r="L837" s="14">
        <f>IF(Table134[[#This Row],[check]]=1,1,(Table134[[#This Row],[Psh]]+0.15*(1-Table134[[#This Row],[Psh]])))</f>
        <v>1</v>
      </c>
      <c r="M837" s="14">
        <f>IF(Table134[[#This Row],[check]]=1,0.65,1)</f>
        <v>0.65</v>
      </c>
      <c r="N837" s="4">
        <v>1</v>
      </c>
      <c r="O837" s="4">
        <f>IF(Table134[[#This Row],[check]]=1,Table134[[#This Row],[مساحت آدرس]]*Table134[[#This Row],[A0 Inc]],Table134[[#This Row],[A_tree]]*Table134[[#This Row],[اصله مستقل]])</f>
        <v>7718</v>
      </c>
      <c r="P837" s="11">
        <f>IF(Table134[[#This Row],[check]]=1,Table134[[#This Row],[A0]]/Table134[[#This Row],[اصله مستقل]],Table134[[#This Row],[A_tree]])</f>
        <v>5.186827956989247</v>
      </c>
    </row>
    <row r="838" spans="2:16" ht="18.600000000000001" x14ac:dyDescent="0.3">
      <c r="B838" s="4" t="s">
        <v>1250</v>
      </c>
      <c r="C838" s="4">
        <v>588</v>
      </c>
      <c r="D838" s="4">
        <v>588</v>
      </c>
      <c r="E838" s="4">
        <v>9000</v>
      </c>
      <c r="F838" s="4">
        <v>9000</v>
      </c>
      <c r="G838" s="2" t="s">
        <v>21</v>
      </c>
      <c r="H838" s="4">
        <v>9</v>
      </c>
      <c r="I838" s="4">
        <f>Table134[[#This Row],[اصله مستقل]]*Table134[[#This Row],[A_tree]]</f>
        <v>5292</v>
      </c>
      <c r="J838" s="4">
        <f>IF(Table134[[#This Row],[n * A_tree ]]&gt;Table134[[#This Row],[مساحت آدرس]],1,0)</f>
        <v>0</v>
      </c>
      <c r="K838" s="8">
        <f>IF(Table134[[#This Row],[check]]=1,1,Table134[[#This Row],[A_tree]]*Table134[[#This Row],[اصله مستقل]]/Table134[[#This Row],[مساحت آدرس]])</f>
        <v>0.58799999999999997</v>
      </c>
      <c r="L838" s="14">
        <f>IF(Table134[[#This Row],[check]]=1,1,(Table134[[#This Row],[Psh]]+0.15*(1-Table134[[#This Row],[Psh]])))</f>
        <v>0.64979999999999993</v>
      </c>
      <c r="M838" s="14">
        <f>IF(Table134[[#This Row],[check]]=1,0.65,1)</f>
        <v>1</v>
      </c>
      <c r="N838" s="4">
        <v>1</v>
      </c>
      <c r="O838" s="4">
        <f>IF(Table134[[#This Row],[check]]=1,Table134[[#This Row],[مساحت آدرس]]*Table134[[#This Row],[A0 Inc]],Table134[[#This Row],[A_tree]]*Table134[[#This Row],[اصله مستقل]])</f>
        <v>5292</v>
      </c>
      <c r="P838" s="11">
        <f>IF(Table134[[#This Row],[check]]=1,Table134[[#This Row],[A0]]/Table134[[#This Row],[اصله مستقل]],Table134[[#This Row],[A_tree]])</f>
        <v>9</v>
      </c>
    </row>
    <row r="839" spans="2:16" ht="18.600000000000001" x14ac:dyDescent="0.3">
      <c r="B839" s="4" t="s">
        <v>1251</v>
      </c>
      <c r="C839" s="4">
        <v>86</v>
      </c>
      <c r="D839" s="4">
        <v>86</v>
      </c>
      <c r="E839" s="4">
        <v>103</v>
      </c>
      <c r="F839" s="4">
        <v>103</v>
      </c>
      <c r="G839" s="2" t="s">
        <v>21</v>
      </c>
      <c r="H839" s="4">
        <v>9</v>
      </c>
      <c r="I839" s="4">
        <f>Table134[[#This Row],[اصله مستقل]]*Table134[[#This Row],[A_tree]]</f>
        <v>774</v>
      </c>
      <c r="J839" s="4">
        <f>IF(Table134[[#This Row],[n * A_tree ]]&gt;Table134[[#This Row],[مساحت آدرس]],1,0)</f>
        <v>1</v>
      </c>
      <c r="K839" s="8">
        <f>IF(Table134[[#This Row],[check]]=1,1,Table134[[#This Row],[A_tree]]*Table134[[#This Row],[اصله مستقل]]/Table134[[#This Row],[مساحت آدرس]])</f>
        <v>1</v>
      </c>
      <c r="L839" s="14">
        <f>IF(Table134[[#This Row],[check]]=1,1,(Table134[[#This Row],[Psh]]+0.15*(1-Table134[[#This Row],[Psh]])))</f>
        <v>1</v>
      </c>
      <c r="M839" s="14">
        <f>IF(Table134[[#This Row],[check]]=1,0.65,1)</f>
        <v>0.65</v>
      </c>
      <c r="N839" s="4">
        <v>1</v>
      </c>
      <c r="O839" s="4">
        <f>IF(Table134[[#This Row],[check]]=1,Table134[[#This Row],[مساحت آدرس]]*Table134[[#This Row],[A0 Inc]],Table134[[#This Row],[A_tree]]*Table134[[#This Row],[اصله مستقل]])</f>
        <v>103</v>
      </c>
      <c r="P839" s="11">
        <f>IF(Table134[[#This Row],[check]]=1,Table134[[#This Row],[A0]]/Table134[[#This Row],[اصله مستقل]],Table134[[#This Row],[A_tree]])</f>
        <v>1.1976744186046511</v>
      </c>
    </row>
    <row r="840" spans="2:16" ht="18.600000000000001" x14ac:dyDescent="0.3">
      <c r="B840" s="4" t="s">
        <v>1252</v>
      </c>
      <c r="C840" s="4">
        <v>185</v>
      </c>
      <c r="D840" s="4">
        <v>185</v>
      </c>
      <c r="E840" s="4">
        <v>222</v>
      </c>
      <c r="F840" s="4">
        <v>222</v>
      </c>
      <c r="G840" s="2" t="s">
        <v>21</v>
      </c>
      <c r="H840" s="4">
        <v>9</v>
      </c>
      <c r="I840" s="4">
        <f>Table134[[#This Row],[اصله مستقل]]*Table134[[#This Row],[A_tree]]</f>
        <v>1665</v>
      </c>
      <c r="J840" s="4">
        <f>IF(Table134[[#This Row],[n * A_tree ]]&gt;Table134[[#This Row],[مساحت آدرس]],1,0)</f>
        <v>1</v>
      </c>
      <c r="K840" s="8">
        <f>IF(Table134[[#This Row],[check]]=1,1,Table134[[#This Row],[A_tree]]*Table134[[#This Row],[اصله مستقل]]/Table134[[#This Row],[مساحت آدرس]])</f>
        <v>1</v>
      </c>
      <c r="L840" s="14">
        <f>IF(Table134[[#This Row],[check]]=1,1,(Table134[[#This Row],[Psh]]+0.15*(1-Table134[[#This Row],[Psh]])))</f>
        <v>1</v>
      </c>
      <c r="M840" s="14">
        <f>IF(Table134[[#This Row],[check]]=1,0.65,1)</f>
        <v>0.65</v>
      </c>
      <c r="N840" s="4">
        <v>1</v>
      </c>
      <c r="O840" s="4">
        <f>IF(Table134[[#This Row],[check]]=1,Table134[[#This Row],[مساحت آدرس]]*Table134[[#This Row],[A0 Inc]],Table134[[#This Row],[A_tree]]*Table134[[#This Row],[اصله مستقل]])</f>
        <v>222</v>
      </c>
      <c r="P840" s="11">
        <f>IF(Table134[[#This Row],[check]]=1,Table134[[#This Row],[A0]]/Table134[[#This Row],[اصله مستقل]],Table134[[#This Row],[A_tree]])</f>
        <v>1.2</v>
      </c>
    </row>
    <row r="841" spans="2:16" ht="18.600000000000001" x14ac:dyDescent="0.3">
      <c r="B841" s="4" t="s">
        <v>1253</v>
      </c>
      <c r="C841" s="4">
        <v>137</v>
      </c>
      <c r="D841" s="4">
        <v>137</v>
      </c>
      <c r="E841" s="4">
        <v>205</v>
      </c>
      <c r="F841" s="4">
        <v>205</v>
      </c>
      <c r="G841" s="2" t="s">
        <v>21</v>
      </c>
      <c r="H841" s="4">
        <v>9</v>
      </c>
      <c r="I841" s="4">
        <f>Table134[[#This Row],[اصله مستقل]]*Table134[[#This Row],[A_tree]]</f>
        <v>1233</v>
      </c>
      <c r="J841" s="4">
        <f>IF(Table134[[#This Row],[n * A_tree ]]&gt;Table134[[#This Row],[مساحت آدرس]],1,0)</f>
        <v>1</v>
      </c>
      <c r="K841" s="8">
        <f>IF(Table134[[#This Row],[check]]=1,1,Table134[[#This Row],[A_tree]]*Table134[[#This Row],[اصله مستقل]]/Table134[[#This Row],[مساحت آدرس]])</f>
        <v>1</v>
      </c>
      <c r="L841" s="14">
        <f>IF(Table134[[#This Row],[check]]=1,1,(Table134[[#This Row],[Psh]]+0.15*(1-Table134[[#This Row],[Psh]])))</f>
        <v>1</v>
      </c>
      <c r="M841" s="14">
        <f>IF(Table134[[#This Row],[check]]=1,0.65,1)</f>
        <v>0.65</v>
      </c>
      <c r="N841" s="4">
        <v>1</v>
      </c>
      <c r="O841" s="4">
        <f>IF(Table134[[#This Row],[check]]=1,Table134[[#This Row],[مساحت آدرس]]*Table134[[#This Row],[A0 Inc]],Table134[[#This Row],[A_tree]]*Table134[[#This Row],[اصله مستقل]])</f>
        <v>205</v>
      </c>
      <c r="P841" s="11">
        <f>IF(Table134[[#This Row],[check]]=1,Table134[[#This Row],[A0]]/Table134[[#This Row],[اصله مستقل]],Table134[[#This Row],[A_tree]])</f>
        <v>1.4963503649635037</v>
      </c>
    </row>
    <row r="842" spans="2:16" ht="18.600000000000001" x14ac:dyDescent="0.3">
      <c r="B842" s="4" t="s">
        <v>1254</v>
      </c>
      <c r="C842" s="4">
        <v>40</v>
      </c>
      <c r="D842" s="4">
        <v>40</v>
      </c>
      <c r="E842" s="4">
        <v>110</v>
      </c>
      <c r="F842" s="4">
        <v>110</v>
      </c>
      <c r="G842" s="2" t="s">
        <v>62</v>
      </c>
      <c r="H842" s="4">
        <v>9</v>
      </c>
      <c r="I842" s="4">
        <f>Table134[[#This Row],[اصله مستقل]]*Table134[[#This Row],[A_tree]]</f>
        <v>360</v>
      </c>
      <c r="J842" s="4">
        <f>IF(Table134[[#This Row],[n * A_tree ]]&gt;Table134[[#This Row],[مساحت آدرس]],1,0)</f>
        <v>1</v>
      </c>
      <c r="K842" s="8">
        <f>IF(Table134[[#This Row],[check]]=1,1,Table134[[#This Row],[A_tree]]*Table134[[#This Row],[اصله مستقل]]/Table134[[#This Row],[مساحت آدرس]])</f>
        <v>1</v>
      </c>
      <c r="L842" s="14">
        <f>IF(Table134[[#This Row],[check]]=1,1,(Table134[[#This Row],[Psh]]+0.15*(1-Table134[[#This Row],[Psh]])))</f>
        <v>1</v>
      </c>
      <c r="M842" s="14">
        <f>IF(Table134[[#This Row],[check]]=1,0.65,1)</f>
        <v>0.65</v>
      </c>
      <c r="N842" s="4">
        <v>1</v>
      </c>
      <c r="O842" s="4">
        <f>IF(Table134[[#This Row],[check]]=1,Table134[[#This Row],[مساحت آدرس]]*Table134[[#This Row],[A0 Inc]],Table134[[#This Row],[A_tree]]*Table134[[#This Row],[اصله مستقل]])</f>
        <v>110</v>
      </c>
      <c r="P842" s="11">
        <f>IF(Table134[[#This Row],[check]]=1,Table134[[#This Row],[A0]]/Table134[[#This Row],[اصله مستقل]],Table134[[#This Row],[A_tree]])</f>
        <v>2.75</v>
      </c>
    </row>
    <row r="843" spans="2:16" ht="18.600000000000001" x14ac:dyDescent="0.3">
      <c r="B843" s="4" t="s">
        <v>1255</v>
      </c>
      <c r="C843" s="4">
        <v>264</v>
      </c>
      <c r="D843" s="4">
        <v>264</v>
      </c>
      <c r="E843" s="4">
        <v>1603</v>
      </c>
      <c r="F843" s="4">
        <v>1854</v>
      </c>
      <c r="G843" s="2" t="s">
        <v>62</v>
      </c>
      <c r="H843" s="4">
        <v>9</v>
      </c>
      <c r="I843" s="4">
        <f>Table134[[#This Row],[اصله مستقل]]*Table134[[#This Row],[A_tree]]</f>
        <v>2376</v>
      </c>
      <c r="J843" s="4">
        <f>IF(Table134[[#This Row],[n * A_tree ]]&gt;Table134[[#This Row],[مساحت آدرس]],1,0)</f>
        <v>1</v>
      </c>
      <c r="K843" s="8">
        <f>IF(Table134[[#This Row],[check]]=1,1,Table134[[#This Row],[A_tree]]*Table134[[#This Row],[اصله مستقل]]/Table134[[#This Row],[مساحت آدرس]])</f>
        <v>1</v>
      </c>
      <c r="L843" s="14">
        <f>IF(Table134[[#This Row],[check]]=1,1,(Table134[[#This Row],[Psh]]+0.15*(1-Table134[[#This Row],[Psh]])))</f>
        <v>1</v>
      </c>
      <c r="M843" s="14">
        <f>IF(Table134[[#This Row],[check]]=1,0.65,1)</f>
        <v>0.65</v>
      </c>
      <c r="N843" s="4">
        <v>1</v>
      </c>
      <c r="O843" s="4">
        <f>IF(Table134[[#This Row],[check]]=1,Table134[[#This Row],[مساحت آدرس]]*Table134[[#This Row],[A0 Inc]],Table134[[#This Row],[A_tree]]*Table134[[#This Row],[اصله مستقل]])</f>
        <v>1854</v>
      </c>
      <c r="P843" s="11">
        <f>IF(Table134[[#This Row],[check]]=1,Table134[[#This Row],[A0]]/Table134[[#This Row],[اصله مستقل]],Table134[[#This Row],[A_tree]])</f>
        <v>7.0227272727272725</v>
      </c>
    </row>
    <row r="844" spans="2:16" ht="18.600000000000001" x14ac:dyDescent="0.3">
      <c r="B844" s="4" t="s">
        <v>1256</v>
      </c>
      <c r="C844" s="4">
        <v>233</v>
      </c>
      <c r="D844" s="4">
        <v>233</v>
      </c>
      <c r="E844" s="4">
        <v>2896</v>
      </c>
      <c r="F844" s="4">
        <v>2896</v>
      </c>
      <c r="G844" s="2" t="s">
        <v>62</v>
      </c>
      <c r="H844" s="4">
        <v>9</v>
      </c>
      <c r="I844" s="4">
        <f>Table134[[#This Row],[اصله مستقل]]*Table134[[#This Row],[A_tree]]</f>
        <v>2097</v>
      </c>
      <c r="J844" s="4">
        <f>IF(Table134[[#This Row],[n * A_tree ]]&gt;Table134[[#This Row],[مساحت آدرس]],1,0)</f>
        <v>0</v>
      </c>
      <c r="K844" s="8">
        <f>IF(Table134[[#This Row],[check]]=1,1,Table134[[#This Row],[A_tree]]*Table134[[#This Row],[اصله مستقل]]/Table134[[#This Row],[مساحت آدرس]])</f>
        <v>0.72410220994475138</v>
      </c>
      <c r="L844" s="14">
        <f>IF(Table134[[#This Row],[check]]=1,1,(Table134[[#This Row],[Psh]]+0.15*(1-Table134[[#This Row],[Psh]])))</f>
        <v>0.76548687845303864</v>
      </c>
      <c r="M844" s="14">
        <f>IF(Table134[[#This Row],[check]]=1,0.65,1)</f>
        <v>1</v>
      </c>
      <c r="N844" s="4">
        <v>1</v>
      </c>
      <c r="O844" s="4">
        <f>IF(Table134[[#This Row],[check]]=1,Table134[[#This Row],[مساحت آدرس]]*Table134[[#This Row],[A0 Inc]],Table134[[#This Row],[A_tree]]*Table134[[#This Row],[اصله مستقل]])</f>
        <v>2097</v>
      </c>
      <c r="P844" s="11">
        <f>IF(Table134[[#This Row],[check]]=1,Table134[[#This Row],[A0]]/Table134[[#This Row],[اصله مستقل]],Table134[[#This Row],[A_tree]])</f>
        <v>9</v>
      </c>
    </row>
    <row r="845" spans="2:16" ht="18.600000000000001" x14ac:dyDescent="0.3">
      <c r="B845" s="4" t="s">
        <v>1257</v>
      </c>
      <c r="C845" s="4">
        <v>132</v>
      </c>
      <c r="D845" s="4">
        <v>132</v>
      </c>
      <c r="E845" s="4">
        <v>517</v>
      </c>
      <c r="F845" s="4">
        <v>517</v>
      </c>
      <c r="G845" s="2" t="s">
        <v>62</v>
      </c>
      <c r="H845" s="4">
        <v>9</v>
      </c>
      <c r="I845" s="4">
        <f>Table134[[#This Row],[اصله مستقل]]*Table134[[#This Row],[A_tree]]</f>
        <v>1188</v>
      </c>
      <c r="J845" s="4">
        <f>IF(Table134[[#This Row],[n * A_tree ]]&gt;Table134[[#This Row],[مساحت آدرس]],1,0)</f>
        <v>1</v>
      </c>
      <c r="K845" s="8">
        <f>IF(Table134[[#This Row],[check]]=1,1,Table134[[#This Row],[A_tree]]*Table134[[#This Row],[اصله مستقل]]/Table134[[#This Row],[مساحت آدرس]])</f>
        <v>1</v>
      </c>
      <c r="L845" s="14">
        <f>IF(Table134[[#This Row],[check]]=1,1,(Table134[[#This Row],[Psh]]+0.15*(1-Table134[[#This Row],[Psh]])))</f>
        <v>1</v>
      </c>
      <c r="M845" s="14">
        <f>IF(Table134[[#This Row],[check]]=1,0.65,1)</f>
        <v>0.65</v>
      </c>
      <c r="N845" s="4">
        <v>1</v>
      </c>
      <c r="O845" s="4">
        <f>IF(Table134[[#This Row],[check]]=1,Table134[[#This Row],[مساحت آدرس]]*Table134[[#This Row],[A0 Inc]],Table134[[#This Row],[A_tree]]*Table134[[#This Row],[اصله مستقل]])</f>
        <v>517</v>
      </c>
      <c r="P845" s="11">
        <f>IF(Table134[[#This Row],[check]]=1,Table134[[#This Row],[A0]]/Table134[[#This Row],[اصله مستقل]],Table134[[#This Row],[A_tree]])</f>
        <v>3.9166666666666665</v>
      </c>
    </row>
    <row r="846" spans="2:16" ht="18.600000000000001" x14ac:dyDescent="0.3">
      <c r="B846" s="4" t="s">
        <v>1258</v>
      </c>
      <c r="C846" s="4">
        <v>75</v>
      </c>
      <c r="D846" s="4">
        <v>75</v>
      </c>
      <c r="E846" s="4">
        <v>436</v>
      </c>
      <c r="F846" s="4">
        <v>436</v>
      </c>
      <c r="G846" s="2" t="s">
        <v>62</v>
      </c>
      <c r="H846" s="4">
        <v>9</v>
      </c>
      <c r="I846" s="4">
        <f>Table134[[#This Row],[اصله مستقل]]*Table134[[#This Row],[A_tree]]</f>
        <v>675</v>
      </c>
      <c r="J846" s="4">
        <f>IF(Table134[[#This Row],[n * A_tree ]]&gt;Table134[[#This Row],[مساحت آدرس]],1,0)</f>
        <v>1</v>
      </c>
      <c r="K846" s="8">
        <f>IF(Table134[[#This Row],[check]]=1,1,Table134[[#This Row],[A_tree]]*Table134[[#This Row],[اصله مستقل]]/Table134[[#This Row],[مساحت آدرس]])</f>
        <v>1</v>
      </c>
      <c r="L846" s="14">
        <f>IF(Table134[[#This Row],[check]]=1,1,(Table134[[#This Row],[Psh]]+0.15*(1-Table134[[#This Row],[Psh]])))</f>
        <v>1</v>
      </c>
      <c r="M846" s="14">
        <f>IF(Table134[[#This Row],[check]]=1,0.65,1)</f>
        <v>0.65</v>
      </c>
      <c r="N846" s="4">
        <v>1</v>
      </c>
      <c r="O846" s="4">
        <f>IF(Table134[[#This Row],[check]]=1,Table134[[#This Row],[مساحت آدرس]]*Table134[[#This Row],[A0 Inc]],Table134[[#This Row],[A_tree]]*Table134[[#This Row],[اصله مستقل]])</f>
        <v>436</v>
      </c>
      <c r="P846" s="11">
        <f>IF(Table134[[#This Row],[check]]=1,Table134[[#This Row],[A0]]/Table134[[#This Row],[اصله مستقل]],Table134[[#This Row],[A_tree]])</f>
        <v>5.8133333333333335</v>
      </c>
    </row>
    <row r="847" spans="2:16" ht="18.600000000000001" x14ac:dyDescent="0.3">
      <c r="B847" s="4" t="s">
        <v>1259</v>
      </c>
      <c r="C847" s="4">
        <v>265</v>
      </c>
      <c r="D847" s="4">
        <v>265</v>
      </c>
      <c r="E847" s="4">
        <v>2342</v>
      </c>
      <c r="F847" s="4">
        <v>2868</v>
      </c>
      <c r="G847" s="2" t="s">
        <v>62</v>
      </c>
      <c r="H847" s="4">
        <v>9</v>
      </c>
      <c r="I847" s="4">
        <f>Table134[[#This Row],[اصله مستقل]]*Table134[[#This Row],[A_tree]]</f>
        <v>2385</v>
      </c>
      <c r="J847" s="4">
        <f>IF(Table134[[#This Row],[n * A_tree ]]&gt;Table134[[#This Row],[مساحت آدرس]],1,0)</f>
        <v>0</v>
      </c>
      <c r="K847" s="8">
        <f>IF(Table134[[#This Row],[check]]=1,1,Table134[[#This Row],[A_tree]]*Table134[[#This Row],[اصله مستقل]]/Table134[[#This Row],[مساحت آدرس]])</f>
        <v>0.83158995815899583</v>
      </c>
      <c r="L847" s="14">
        <f>IF(Table134[[#This Row],[check]]=1,1,(Table134[[#This Row],[Psh]]+0.15*(1-Table134[[#This Row],[Psh]])))</f>
        <v>0.85685146443514648</v>
      </c>
      <c r="M847" s="14">
        <f>IF(Table134[[#This Row],[check]]=1,0.65,1)</f>
        <v>1</v>
      </c>
      <c r="N847" s="4">
        <v>1</v>
      </c>
      <c r="O847" s="4">
        <f>IF(Table134[[#This Row],[check]]=1,Table134[[#This Row],[مساحت آدرس]]*Table134[[#This Row],[A0 Inc]],Table134[[#This Row],[A_tree]]*Table134[[#This Row],[اصله مستقل]])</f>
        <v>2385</v>
      </c>
      <c r="P847" s="11">
        <f>IF(Table134[[#This Row],[check]]=1,Table134[[#This Row],[A0]]/Table134[[#This Row],[اصله مستقل]],Table134[[#This Row],[A_tree]])</f>
        <v>9</v>
      </c>
    </row>
    <row r="848" spans="2:16" ht="18.600000000000001" x14ac:dyDescent="0.3">
      <c r="B848" s="4" t="s">
        <v>1264</v>
      </c>
      <c r="C848" s="4">
        <v>2532</v>
      </c>
      <c r="D848" s="4">
        <v>3613</v>
      </c>
      <c r="E848" s="4">
        <v>27375</v>
      </c>
      <c r="F848" s="4">
        <v>35724</v>
      </c>
      <c r="G848" s="2" t="s">
        <v>300</v>
      </c>
      <c r="H848" s="4">
        <v>9</v>
      </c>
      <c r="I848" s="4">
        <f>Table134[[#This Row],[اصله مستقل]]*Table134[[#This Row],[A_tree]]</f>
        <v>32517</v>
      </c>
      <c r="J848" s="4">
        <f>IF(Table134[[#This Row],[n * A_tree ]]&gt;Table134[[#This Row],[مساحت آدرس]],1,0)</f>
        <v>0</v>
      </c>
      <c r="K848" s="8">
        <f>IF(Table134[[#This Row],[check]]=1,1,Table134[[#This Row],[A_tree]]*Table134[[#This Row],[اصله مستقل]]/Table134[[#This Row],[مساحت آدرس]])</f>
        <v>0.91022841787033926</v>
      </c>
      <c r="L848" s="14">
        <f>IF(Table134[[#This Row],[check]]=1,1,(Table134[[#This Row],[Psh]]+0.15*(1-Table134[[#This Row],[Psh]])))</f>
        <v>0.92369415518978837</v>
      </c>
      <c r="M848" s="14">
        <f>IF(Table134[[#This Row],[check]]=1,0.65,1)</f>
        <v>1</v>
      </c>
      <c r="N848" s="4">
        <v>1</v>
      </c>
      <c r="O848" s="4">
        <f>IF(Table134[[#This Row],[check]]=1,Table134[[#This Row],[مساحت آدرس]]*Table134[[#This Row],[A0 Inc]],Table134[[#This Row],[A_tree]]*Table134[[#This Row],[اصله مستقل]])</f>
        <v>32517</v>
      </c>
      <c r="P848" s="11">
        <f>IF(Table134[[#This Row],[check]]=1,Table134[[#This Row],[A0]]/Table134[[#This Row],[اصله مستقل]],Table134[[#This Row],[A_tree]])</f>
        <v>9</v>
      </c>
    </row>
    <row r="849" spans="2:16" ht="18.600000000000001" x14ac:dyDescent="0.3">
      <c r="B849" s="4" t="s">
        <v>1265</v>
      </c>
      <c r="C849" s="4">
        <v>68</v>
      </c>
      <c r="D849" s="4">
        <v>68</v>
      </c>
      <c r="E849" s="4">
        <v>308</v>
      </c>
      <c r="F849" s="4">
        <v>1288</v>
      </c>
      <c r="G849" s="2" t="s">
        <v>3</v>
      </c>
      <c r="H849" s="4">
        <v>9</v>
      </c>
      <c r="I849" s="4">
        <f>Table134[[#This Row],[اصله مستقل]]*Table134[[#This Row],[A_tree]]</f>
        <v>612</v>
      </c>
      <c r="J849" s="4">
        <f>IF(Table134[[#This Row],[n * A_tree ]]&gt;Table134[[#This Row],[مساحت آدرس]],1,0)</f>
        <v>0</v>
      </c>
      <c r="K849" s="8">
        <f>IF(Table134[[#This Row],[check]]=1,1,Table134[[#This Row],[A_tree]]*Table134[[#This Row],[اصله مستقل]]/Table134[[#This Row],[مساحت آدرس]])</f>
        <v>0.4751552795031056</v>
      </c>
      <c r="L849" s="14">
        <f>IF(Table134[[#This Row],[check]]=1,1,(Table134[[#This Row],[Psh]]+0.15*(1-Table134[[#This Row],[Psh]])))</f>
        <v>0.55388198757763973</v>
      </c>
      <c r="M849" s="14">
        <f>IF(Table134[[#This Row],[check]]=1,0.65,1)</f>
        <v>1</v>
      </c>
      <c r="N849" s="4">
        <v>1</v>
      </c>
      <c r="O849" s="4">
        <f>IF(Table134[[#This Row],[check]]=1,Table134[[#This Row],[مساحت آدرس]]*Table134[[#This Row],[A0 Inc]],Table134[[#This Row],[A_tree]]*Table134[[#This Row],[اصله مستقل]])</f>
        <v>612</v>
      </c>
      <c r="P849" s="11">
        <f>IF(Table134[[#This Row],[check]]=1,Table134[[#This Row],[A0]]/Table134[[#This Row],[اصله مستقل]],Table134[[#This Row],[A_tree]])</f>
        <v>9</v>
      </c>
    </row>
    <row r="850" spans="2:16" ht="18.600000000000001" x14ac:dyDescent="0.3">
      <c r="B850" s="4" t="s">
        <v>1266</v>
      </c>
      <c r="C850" s="4">
        <v>159</v>
      </c>
      <c r="D850" s="4">
        <v>159</v>
      </c>
      <c r="E850" s="4">
        <v>1123</v>
      </c>
      <c r="F850" s="4">
        <v>1773</v>
      </c>
      <c r="G850" s="2" t="s">
        <v>3</v>
      </c>
      <c r="H850" s="4">
        <v>9</v>
      </c>
      <c r="I850" s="4">
        <f>Table134[[#This Row],[اصله مستقل]]*Table134[[#This Row],[A_tree]]</f>
        <v>1431</v>
      </c>
      <c r="J850" s="4">
        <f>IF(Table134[[#This Row],[n * A_tree ]]&gt;Table134[[#This Row],[مساحت آدرس]],1,0)</f>
        <v>0</v>
      </c>
      <c r="K850" s="8">
        <f>IF(Table134[[#This Row],[check]]=1,1,Table134[[#This Row],[A_tree]]*Table134[[#This Row],[اصله مستقل]]/Table134[[#This Row],[مساحت آدرس]])</f>
        <v>0.80710659898477155</v>
      </c>
      <c r="L850" s="14">
        <f>IF(Table134[[#This Row],[check]]=1,1,(Table134[[#This Row],[Psh]]+0.15*(1-Table134[[#This Row],[Psh]])))</f>
        <v>0.8360406091370558</v>
      </c>
      <c r="M850" s="14">
        <f>IF(Table134[[#This Row],[check]]=1,0.65,1)</f>
        <v>1</v>
      </c>
      <c r="N850" s="4">
        <v>1</v>
      </c>
      <c r="O850" s="4">
        <f>IF(Table134[[#This Row],[check]]=1,Table134[[#This Row],[مساحت آدرس]]*Table134[[#This Row],[A0 Inc]],Table134[[#This Row],[A_tree]]*Table134[[#This Row],[اصله مستقل]])</f>
        <v>1431</v>
      </c>
      <c r="P850" s="11">
        <f>IF(Table134[[#This Row],[check]]=1,Table134[[#This Row],[A0]]/Table134[[#This Row],[اصله مستقل]],Table134[[#This Row],[A_tree]])</f>
        <v>9</v>
      </c>
    </row>
    <row r="851" spans="2:16" ht="18.600000000000001" x14ac:dyDescent="0.3">
      <c r="B851" s="4" t="s">
        <v>1267</v>
      </c>
      <c r="C851" s="4">
        <v>1212</v>
      </c>
      <c r="D851" s="4">
        <v>1212</v>
      </c>
      <c r="E851" s="4">
        <v>15316</v>
      </c>
      <c r="F851" s="4">
        <v>15316</v>
      </c>
      <c r="G851" s="2" t="s">
        <v>300</v>
      </c>
      <c r="H851" s="4">
        <v>9</v>
      </c>
      <c r="I851" s="4">
        <f>Table134[[#This Row],[اصله مستقل]]*Table134[[#This Row],[A_tree]]</f>
        <v>10908</v>
      </c>
      <c r="J851" s="4">
        <f>IF(Table134[[#This Row],[n * A_tree ]]&gt;Table134[[#This Row],[مساحت آدرس]],1,0)</f>
        <v>0</v>
      </c>
      <c r="K851" s="8">
        <f>IF(Table134[[#This Row],[check]]=1,1,Table134[[#This Row],[A_tree]]*Table134[[#This Row],[اصله مستقل]]/Table134[[#This Row],[مساحت آدرس]])</f>
        <v>0.71219639592582917</v>
      </c>
      <c r="L851" s="14">
        <f>IF(Table134[[#This Row],[check]]=1,1,(Table134[[#This Row],[Psh]]+0.15*(1-Table134[[#This Row],[Psh]])))</f>
        <v>0.75536693653695475</v>
      </c>
      <c r="M851" s="14">
        <f>IF(Table134[[#This Row],[check]]=1,0.65,1)</f>
        <v>1</v>
      </c>
      <c r="N851" s="4">
        <v>1</v>
      </c>
      <c r="O851" s="4">
        <f>IF(Table134[[#This Row],[check]]=1,Table134[[#This Row],[مساحت آدرس]]*Table134[[#This Row],[A0 Inc]],Table134[[#This Row],[A_tree]]*Table134[[#This Row],[اصله مستقل]])</f>
        <v>10908</v>
      </c>
      <c r="P851" s="11">
        <f>IF(Table134[[#This Row],[check]]=1,Table134[[#This Row],[A0]]/Table134[[#This Row],[اصله مستقل]],Table134[[#This Row],[A_tree]])</f>
        <v>9</v>
      </c>
    </row>
    <row r="852" spans="2:16" ht="18.600000000000001" x14ac:dyDescent="0.3">
      <c r="B852" s="4" t="s">
        <v>1268</v>
      </c>
      <c r="C852" s="4">
        <v>3213</v>
      </c>
      <c r="D852" s="4">
        <v>3213</v>
      </c>
      <c r="E852" s="4">
        <v>60345</v>
      </c>
      <c r="F852" s="4">
        <v>60345</v>
      </c>
      <c r="G852" s="2" t="s">
        <v>300</v>
      </c>
      <c r="H852" s="4">
        <v>9</v>
      </c>
      <c r="I852" s="4">
        <f>Table134[[#This Row],[اصله مستقل]]*Table134[[#This Row],[A_tree]]</f>
        <v>28917</v>
      </c>
      <c r="J852" s="4">
        <f>IF(Table134[[#This Row],[n * A_tree ]]&gt;Table134[[#This Row],[مساحت آدرس]],1,0)</f>
        <v>0</v>
      </c>
      <c r="K852" s="8">
        <f>IF(Table134[[#This Row],[check]]=1,1,Table134[[#This Row],[A_tree]]*Table134[[#This Row],[اصله مستقل]]/Table134[[#This Row],[مساحت آدرس]])</f>
        <v>0.47919463087248321</v>
      </c>
      <c r="L852" s="14">
        <f>IF(Table134[[#This Row],[check]]=1,1,(Table134[[#This Row],[Psh]]+0.15*(1-Table134[[#This Row],[Psh]])))</f>
        <v>0.55731543624161073</v>
      </c>
      <c r="M852" s="14">
        <f>IF(Table134[[#This Row],[check]]=1,0.65,1)</f>
        <v>1</v>
      </c>
      <c r="N852" s="4">
        <v>1</v>
      </c>
      <c r="O852" s="4">
        <f>IF(Table134[[#This Row],[check]]=1,Table134[[#This Row],[مساحت آدرس]]*Table134[[#This Row],[A0 Inc]],Table134[[#This Row],[A_tree]]*Table134[[#This Row],[اصله مستقل]])</f>
        <v>28917</v>
      </c>
      <c r="P852" s="11">
        <f>IF(Table134[[#This Row],[check]]=1,Table134[[#This Row],[A0]]/Table134[[#This Row],[اصله مستقل]],Table134[[#This Row],[A_tree]])</f>
        <v>9</v>
      </c>
    </row>
    <row r="853" spans="2:16" ht="18.600000000000001" x14ac:dyDescent="0.3">
      <c r="B853" s="4" t="s">
        <v>1269</v>
      </c>
      <c r="C853" s="4">
        <v>3223</v>
      </c>
      <c r="D853" s="4">
        <v>3223</v>
      </c>
      <c r="E853" s="4">
        <v>9228</v>
      </c>
      <c r="F853" s="4">
        <v>11818</v>
      </c>
      <c r="G853" s="2" t="s">
        <v>300</v>
      </c>
      <c r="H853" s="4">
        <v>9</v>
      </c>
      <c r="I853" s="4">
        <f>Table134[[#This Row],[اصله مستقل]]*Table134[[#This Row],[A_tree]]</f>
        <v>29007</v>
      </c>
      <c r="J853" s="4">
        <f>IF(Table134[[#This Row],[n * A_tree ]]&gt;Table134[[#This Row],[مساحت آدرس]],1,0)</f>
        <v>1</v>
      </c>
      <c r="K853" s="8">
        <f>IF(Table134[[#This Row],[check]]=1,1,Table134[[#This Row],[A_tree]]*Table134[[#This Row],[اصله مستقل]]/Table134[[#This Row],[مساحت آدرس]])</f>
        <v>1</v>
      </c>
      <c r="L853" s="14">
        <f>IF(Table134[[#This Row],[check]]=1,1,(Table134[[#This Row],[Psh]]+0.15*(1-Table134[[#This Row],[Psh]])))</f>
        <v>1</v>
      </c>
      <c r="M853" s="14">
        <f>IF(Table134[[#This Row],[check]]=1,0.65,1)</f>
        <v>0.65</v>
      </c>
      <c r="N853" s="4">
        <v>1</v>
      </c>
      <c r="O853" s="4">
        <f>IF(Table134[[#This Row],[check]]=1,Table134[[#This Row],[مساحت آدرس]]*Table134[[#This Row],[A0 Inc]],Table134[[#This Row],[A_tree]]*Table134[[#This Row],[اصله مستقل]])</f>
        <v>11818</v>
      </c>
      <c r="P853" s="11">
        <f>IF(Table134[[#This Row],[check]]=1,Table134[[#This Row],[A0]]/Table134[[#This Row],[اصله مستقل]],Table134[[#This Row],[A_tree]])</f>
        <v>3.6667700899782809</v>
      </c>
    </row>
    <row r="854" spans="2:16" ht="18.600000000000001" x14ac:dyDescent="0.3">
      <c r="B854" s="4" t="s">
        <v>1270</v>
      </c>
      <c r="C854" s="4">
        <v>1043</v>
      </c>
      <c r="D854" s="4">
        <v>1043</v>
      </c>
      <c r="E854" s="4">
        <v>22149</v>
      </c>
      <c r="F854" s="4">
        <v>22149</v>
      </c>
      <c r="G854" s="2" t="s">
        <v>300</v>
      </c>
      <c r="H854" s="4">
        <v>9</v>
      </c>
      <c r="I854" s="4">
        <f>Table134[[#This Row],[اصله مستقل]]*Table134[[#This Row],[A_tree]]</f>
        <v>9387</v>
      </c>
      <c r="J854" s="4">
        <f>IF(Table134[[#This Row],[n * A_tree ]]&gt;Table134[[#This Row],[مساحت آدرس]],1,0)</f>
        <v>0</v>
      </c>
      <c r="K854" s="8">
        <f>IF(Table134[[#This Row],[check]]=1,1,Table134[[#This Row],[A_tree]]*Table134[[#This Row],[اصله مستقل]]/Table134[[#This Row],[مساحت آدرس]])</f>
        <v>0.42381145875660303</v>
      </c>
      <c r="L854" s="14">
        <f>IF(Table134[[#This Row],[check]]=1,1,(Table134[[#This Row],[Psh]]+0.15*(1-Table134[[#This Row],[Psh]])))</f>
        <v>0.51023973994311256</v>
      </c>
      <c r="M854" s="14">
        <f>IF(Table134[[#This Row],[check]]=1,0.65,1)</f>
        <v>1</v>
      </c>
      <c r="N854" s="4">
        <v>1</v>
      </c>
      <c r="O854" s="4">
        <f>IF(Table134[[#This Row],[check]]=1,Table134[[#This Row],[مساحت آدرس]]*Table134[[#This Row],[A0 Inc]],Table134[[#This Row],[A_tree]]*Table134[[#This Row],[اصله مستقل]])</f>
        <v>9387</v>
      </c>
      <c r="P854" s="11">
        <f>IF(Table134[[#This Row],[check]]=1,Table134[[#This Row],[A0]]/Table134[[#This Row],[اصله مستقل]],Table134[[#This Row],[A_tree]])</f>
        <v>9</v>
      </c>
    </row>
    <row r="855" spans="2:16" ht="18.600000000000001" x14ac:dyDescent="0.3">
      <c r="B855" s="4" t="s">
        <v>1271</v>
      </c>
      <c r="C855" s="4">
        <v>917</v>
      </c>
      <c r="D855" s="4">
        <v>917</v>
      </c>
      <c r="E855" s="4">
        <v>13450</v>
      </c>
      <c r="F855" s="4">
        <v>13450</v>
      </c>
      <c r="G855" s="2" t="s">
        <v>300</v>
      </c>
      <c r="H855" s="4">
        <v>9</v>
      </c>
      <c r="I855" s="4">
        <f>Table134[[#This Row],[اصله مستقل]]*Table134[[#This Row],[A_tree]]</f>
        <v>8253</v>
      </c>
      <c r="J855" s="4">
        <f>IF(Table134[[#This Row],[n * A_tree ]]&gt;Table134[[#This Row],[مساحت آدرس]],1,0)</f>
        <v>0</v>
      </c>
      <c r="K855" s="8">
        <f>IF(Table134[[#This Row],[check]]=1,1,Table134[[#This Row],[A_tree]]*Table134[[#This Row],[اصله مستقل]]/Table134[[#This Row],[مساحت آدرس]])</f>
        <v>0.61360594795539036</v>
      </c>
      <c r="L855" s="14">
        <f>IF(Table134[[#This Row],[check]]=1,1,(Table134[[#This Row],[Psh]]+0.15*(1-Table134[[#This Row],[Psh]])))</f>
        <v>0.67156505576208181</v>
      </c>
      <c r="M855" s="14">
        <f>IF(Table134[[#This Row],[check]]=1,0.65,1)</f>
        <v>1</v>
      </c>
      <c r="N855" s="4">
        <v>1</v>
      </c>
      <c r="O855" s="4">
        <f>IF(Table134[[#This Row],[check]]=1,Table134[[#This Row],[مساحت آدرس]]*Table134[[#This Row],[A0 Inc]],Table134[[#This Row],[A_tree]]*Table134[[#This Row],[اصله مستقل]])</f>
        <v>8253</v>
      </c>
      <c r="P855" s="11">
        <f>IF(Table134[[#This Row],[check]]=1,Table134[[#This Row],[A0]]/Table134[[#This Row],[اصله مستقل]],Table134[[#This Row],[A_tree]])</f>
        <v>9</v>
      </c>
    </row>
    <row r="856" spans="2:16" ht="18.600000000000001" x14ac:dyDescent="0.3">
      <c r="B856" s="4" t="s">
        <v>1272</v>
      </c>
      <c r="C856" s="4">
        <v>28</v>
      </c>
      <c r="D856" s="4">
        <v>28</v>
      </c>
      <c r="E856" s="4">
        <v>397</v>
      </c>
      <c r="F856" s="4">
        <v>415</v>
      </c>
      <c r="G856" s="2" t="s">
        <v>21</v>
      </c>
      <c r="H856" s="4">
        <v>9</v>
      </c>
      <c r="I856" s="4">
        <f>Table134[[#This Row],[اصله مستقل]]*Table134[[#This Row],[A_tree]]</f>
        <v>252</v>
      </c>
      <c r="J856" s="4">
        <f>IF(Table134[[#This Row],[n * A_tree ]]&gt;Table134[[#This Row],[مساحت آدرس]],1,0)</f>
        <v>0</v>
      </c>
      <c r="K856" s="8">
        <f>IF(Table134[[#This Row],[check]]=1,1,Table134[[#This Row],[A_tree]]*Table134[[#This Row],[اصله مستقل]]/Table134[[#This Row],[مساحت آدرس]])</f>
        <v>0.60722891566265058</v>
      </c>
      <c r="L856" s="14">
        <f>IF(Table134[[#This Row],[check]]=1,1,(Table134[[#This Row],[Psh]]+0.15*(1-Table134[[#This Row],[Psh]])))</f>
        <v>0.66614457831325302</v>
      </c>
      <c r="M856" s="14">
        <f>IF(Table134[[#This Row],[check]]=1,0.65,1)</f>
        <v>1</v>
      </c>
      <c r="N856" s="4">
        <v>1</v>
      </c>
      <c r="O856" s="4">
        <f>IF(Table134[[#This Row],[check]]=1,Table134[[#This Row],[مساحت آدرس]]*Table134[[#This Row],[A0 Inc]],Table134[[#This Row],[A_tree]]*Table134[[#This Row],[اصله مستقل]])</f>
        <v>252</v>
      </c>
      <c r="P856" s="11">
        <f>IF(Table134[[#This Row],[check]]=1,Table134[[#This Row],[A0]]/Table134[[#This Row],[اصله مستقل]],Table134[[#This Row],[A_tree]])</f>
        <v>9</v>
      </c>
    </row>
    <row r="857" spans="2:16" ht="18.600000000000001" x14ac:dyDescent="0.3">
      <c r="B857" s="4" t="s">
        <v>1274</v>
      </c>
      <c r="C857" s="4">
        <v>293</v>
      </c>
      <c r="D857" s="4">
        <v>293</v>
      </c>
      <c r="E857" s="4">
        <v>187</v>
      </c>
      <c r="F857" s="4">
        <v>187</v>
      </c>
      <c r="G857" s="2" t="s">
        <v>21</v>
      </c>
      <c r="H857" s="4">
        <v>9</v>
      </c>
      <c r="I857" s="4">
        <f>Table134[[#This Row],[اصله مستقل]]*Table134[[#This Row],[A_tree]]</f>
        <v>2637</v>
      </c>
      <c r="J857" s="4">
        <f>IF(Table134[[#This Row],[n * A_tree ]]&gt;Table134[[#This Row],[مساحت آدرس]],1,0)</f>
        <v>1</v>
      </c>
      <c r="K857" s="8">
        <f>IF(Table134[[#This Row],[check]]=1,1,Table134[[#This Row],[A_tree]]*Table134[[#This Row],[اصله مستقل]]/Table134[[#This Row],[مساحت آدرس]])</f>
        <v>1</v>
      </c>
      <c r="L857" s="14">
        <f>IF(Table134[[#This Row],[check]]=1,1,(Table134[[#This Row],[Psh]]+0.15*(1-Table134[[#This Row],[Psh]])))</f>
        <v>1</v>
      </c>
      <c r="M857" s="14">
        <f>IF(Table134[[#This Row],[check]]=1,0.65,1)</f>
        <v>0.65</v>
      </c>
      <c r="N857" s="4">
        <v>1</v>
      </c>
      <c r="O857" s="4">
        <f>IF(Table134[[#This Row],[check]]=1,Table134[[#This Row],[مساحت آدرس]]*Table134[[#This Row],[A0 Inc]],Table134[[#This Row],[A_tree]]*Table134[[#This Row],[اصله مستقل]])</f>
        <v>187</v>
      </c>
      <c r="P857" s="11">
        <f>IF(Table134[[#This Row],[check]]=1,Table134[[#This Row],[A0]]/Table134[[#This Row],[اصله مستقل]],Table134[[#This Row],[A_tree]])</f>
        <v>0.63822525597269619</v>
      </c>
    </row>
    <row r="858" spans="2:16" ht="18.600000000000001" x14ac:dyDescent="0.3">
      <c r="B858" s="4" t="s">
        <v>1275</v>
      </c>
      <c r="C858" s="4">
        <v>293</v>
      </c>
      <c r="D858" s="4">
        <v>293</v>
      </c>
      <c r="E858" s="4">
        <v>293</v>
      </c>
      <c r="F858" s="4">
        <v>293</v>
      </c>
      <c r="G858" s="2" t="s">
        <v>21</v>
      </c>
      <c r="H858" s="4">
        <v>9</v>
      </c>
      <c r="I858" s="4">
        <f>Table134[[#This Row],[اصله مستقل]]*Table134[[#This Row],[A_tree]]</f>
        <v>2637</v>
      </c>
      <c r="J858" s="4">
        <f>IF(Table134[[#This Row],[n * A_tree ]]&gt;Table134[[#This Row],[مساحت آدرس]],1,0)</f>
        <v>1</v>
      </c>
      <c r="K858" s="8">
        <f>IF(Table134[[#This Row],[check]]=1,1,Table134[[#This Row],[A_tree]]*Table134[[#This Row],[اصله مستقل]]/Table134[[#This Row],[مساحت آدرس]])</f>
        <v>1</v>
      </c>
      <c r="L858" s="14">
        <f>IF(Table134[[#This Row],[check]]=1,1,(Table134[[#This Row],[Psh]]+0.15*(1-Table134[[#This Row],[Psh]])))</f>
        <v>1</v>
      </c>
      <c r="M858" s="14">
        <f>IF(Table134[[#This Row],[check]]=1,0.65,1)</f>
        <v>0.65</v>
      </c>
      <c r="N858" s="4">
        <v>1</v>
      </c>
      <c r="O858" s="4">
        <f>IF(Table134[[#This Row],[check]]=1,Table134[[#This Row],[مساحت آدرس]]*Table134[[#This Row],[A0 Inc]],Table134[[#This Row],[A_tree]]*Table134[[#This Row],[اصله مستقل]])</f>
        <v>293</v>
      </c>
      <c r="P858" s="11">
        <f>IF(Table134[[#This Row],[check]]=1,Table134[[#This Row],[A0]]/Table134[[#This Row],[اصله مستقل]],Table134[[#This Row],[A_tree]])</f>
        <v>1</v>
      </c>
    </row>
    <row r="859" spans="2:16" ht="18.600000000000001" x14ac:dyDescent="0.3">
      <c r="B859" s="4" t="s">
        <v>1276</v>
      </c>
      <c r="C859" s="4">
        <v>164</v>
      </c>
      <c r="D859" s="4">
        <v>164</v>
      </c>
      <c r="E859" s="4">
        <v>548</v>
      </c>
      <c r="F859" s="4">
        <v>598</v>
      </c>
      <c r="G859" s="2" t="s">
        <v>21</v>
      </c>
      <c r="H859" s="4">
        <v>9</v>
      </c>
      <c r="I859" s="4">
        <f>Table134[[#This Row],[اصله مستقل]]*Table134[[#This Row],[A_tree]]</f>
        <v>1476</v>
      </c>
      <c r="J859" s="4">
        <f>IF(Table134[[#This Row],[n * A_tree ]]&gt;Table134[[#This Row],[مساحت آدرس]],1,0)</f>
        <v>1</v>
      </c>
      <c r="K859" s="8">
        <f>IF(Table134[[#This Row],[check]]=1,1,Table134[[#This Row],[A_tree]]*Table134[[#This Row],[اصله مستقل]]/Table134[[#This Row],[مساحت آدرس]])</f>
        <v>1</v>
      </c>
      <c r="L859" s="14">
        <f>IF(Table134[[#This Row],[check]]=1,1,(Table134[[#This Row],[Psh]]+0.15*(1-Table134[[#This Row],[Psh]])))</f>
        <v>1</v>
      </c>
      <c r="M859" s="14">
        <f>IF(Table134[[#This Row],[check]]=1,0.65,1)</f>
        <v>0.65</v>
      </c>
      <c r="N859" s="4">
        <v>1</v>
      </c>
      <c r="O859" s="4">
        <f>IF(Table134[[#This Row],[check]]=1,Table134[[#This Row],[مساحت آدرس]]*Table134[[#This Row],[A0 Inc]],Table134[[#This Row],[A_tree]]*Table134[[#This Row],[اصله مستقل]])</f>
        <v>598</v>
      </c>
      <c r="P859" s="11">
        <f>IF(Table134[[#This Row],[check]]=1,Table134[[#This Row],[A0]]/Table134[[#This Row],[اصله مستقل]],Table134[[#This Row],[A_tree]])</f>
        <v>3.6463414634146343</v>
      </c>
    </row>
    <row r="860" spans="2:16" ht="18.600000000000001" x14ac:dyDescent="0.3">
      <c r="B860" s="4" t="s">
        <v>1277</v>
      </c>
      <c r="C860" s="4">
        <v>153</v>
      </c>
      <c r="D860" s="4">
        <v>153</v>
      </c>
      <c r="E860" s="4">
        <v>138</v>
      </c>
      <c r="F860" s="4">
        <v>138</v>
      </c>
      <c r="G860" s="2" t="s">
        <v>21</v>
      </c>
      <c r="H860" s="4">
        <v>9</v>
      </c>
      <c r="I860" s="4">
        <f>Table134[[#This Row],[اصله مستقل]]*Table134[[#This Row],[A_tree]]</f>
        <v>1377</v>
      </c>
      <c r="J860" s="4">
        <f>IF(Table134[[#This Row],[n * A_tree ]]&gt;Table134[[#This Row],[مساحت آدرس]],1,0)</f>
        <v>1</v>
      </c>
      <c r="K860" s="8">
        <f>IF(Table134[[#This Row],[check]]=1,1,Table134[[#This Row],[A_tree]]*Table134[[#This Row],[اصله مستقل]]/Table134[[#This Row],[مساحت آدرس]])</f>
        <v>1</v>
      </c>
      <c r="L860" s="14">
        <f>IF(Table134[[#This Row],[check]]=1,1,(Table134[[#This Row],[Psh]]+0.15*(1-Table134[[#This Row],[Psh]])))</f>
        <v>1</v>
      </c>
      <c r="M860" s="14">
        <f>IF(Table134[[#This Row],[check]]=1,0.65,1)</f>
        <v>0.65</v>
      </c>
      <c r="N860" s="4">
        <v>1</v>
      </c>
      <c r="O860" s="4">
        <f>IF(Table134[[#This Row],[check]]=1,Table134[[#This Row],[مساحت آدرس]]*Table134[[#This Row],[A0 Inc]],Table134[[#This Row],[A_tree]]*Table134[[#This Row],[اصله مستقل]])</f>
        <v>138</v>
      </c>
      <c r="P860" s="11">
        <f>IF(Table134[[#This Row],[check]]=1,Table134[[#This Row],[A0]]/Table134[[#This Row],[اصله مستقل]],Table134[[#This Row],[A_tree]])</f>
        <v>0.90196078431372551</v>
      </c>
    </row>
    <row r="861" spans="2:16" ht="18.600000000000001" x14ac:dyDescent="0.3">
      <c r="B861" s="4" t="s">
        <v>1278</v>
      </c>
      <c r="C861" s="4">
        <v>210</v>
      </c>
      <c r="D861" s="4">
        <v>210</v>
      </c>
      <c r="E861" s="4">
        <v>315</v>
      </c>
      <c r="F861" s="4">
        <v>315</v>
      </c>
      <c r="G861" s="2" t="s">
        <v>21</v>
      </c>
      <c r="H861" s="4">
        <v>9</v>
      </c>
      <c r="I861" s="4">
        <f>Table134[[#This Row],[اصله مستقل]]*Table134[[#This Row],[A_tree]]</f>
        <v>1890</v>
      </c>
      <c r="J861" s="4">
        <f>IF(Table134[[#This Row],[n * A_tree ]]&gt;Table134[[#This Row],[مساحت آدرس]],1,0)</f>
        <v>1</v>
      </c>
      <c r="K861" s="8">
        <f>IF(Table134[[#This Row],[check]]=1,1,Table134[[#This Row],[A_tree]]*Table134[[#This Row],[اصله مستقل]]/Table134[[#This Row],[مساحت آدرس]])</f>
        <v>1</v>
      </c>
      <c r="L861" s="14">
        <f>IF(Table134[[#This Row],[check]]=1,1,(Table134[[#This Row],[Psh]]+0.15*(1-Table134[[#This Row],[Psh]])))</f>
        <v>1</v>
      </c>
      <c r="M861" s="14">
        <f>IF(Table134[[#This Row],[check]]=1,0.65,1)</f>
        <v>0.65</v>
      </c>
      <c r="N861" s="4">
        <v>1</v>
      </c>
      <c r="O861" s="4">
        <f>IF(Table134[[#This Row],[check]]=1,Table134[[#This Row],[مساحت آدرس]]*Table134[[#This Row],[A0 Inc]],Table134[[#This Row],[A_tree]]*Table134[[#This Row],[اصله مستقل]])</f>
        <v>315</v>
      </c>
      <c r="P861" s="11">
        <f>IF(Table134[[#This Row],[check]]=1,Table134[[#This Row],[A0]]/Table134[[#This Row],[اصله مستقل]],Table134[[#This Row],[A_tree]])</f>
        <v>1.5</v>
      </c>
    </row>
    <row r="862" spans="2:16" ht="18.600000000000001" x14ac:dyDescent="0.3">
      <c r="B862" s="4" t="s">
        <v>1279</v>
      </c>
      <c r="C862" s="4">
        <v>250</v>
      </c>
      <c r="D862" s="4">
        <v>250</v>
      </c>
      <c r="E862" s="4">
        <v>184</v>
      </c>
      <c r="F862" s="4">
        <v>184</v>
      </c>
      <c r="G862" s="2" t="s">
        <v>21</v>
      </c>
      <c r="H862" s="4">
        <v>9</v>
      </c>
      <c r="I862" s="4">
        <f>Table134[[#This Row],[اصله مستقل]]*Table134[[#This Row],[A_tree]]</f>
        <v>2250</v>
      </c>
      <c r="J862" s="4">
        <f>IF(Table134[[#This Row],[n * A_tree ]]&gt;Table134[[#This Row],[مساحت آدرس]],1,0)</f>
        <v>1</v>
      </c>
      <c r="K862" s="8">
        <f>IF(Table134[[#This Row],[check]]=1,1,Table134[[#This Row],[A_tree]]*Table134[[#This Row],[اصله مستقل]]/Table134[[#This Row],[مساحت آدرس]])</f>
        <v>1</v>
      </c>
      <c r="L862" s="14">
        <f>IF(Table134[[#This Row],[check]]=1,1,(Table134[[#This Row],[Psh]]+0.15*(1-Table134[[#This Row],[Psh]])))</f>
        <v>1</v>
      </c>
      <c r="M862" s="14">
        <f>IF(Table134[[#This Row],[check]]=1,0.65,1)</f>
        <v>0.65</v>
      </c>
      <c r="N862" s="4">
        <v>1</v>
      </c>
      <c r="O862" s="4">
        <f>IF(Table134[[#This Row],[check]]=1,Table134[[#This Row],[مساحت آدرس]]*Table134[[#This Row],[A0 Inc]],Table134[[#This Row],[A_tree]]*Table134[[#This Row],[اصله مستقل]])</f>
        <v>184</v>
      </c>
      <c r="P862" s="11">
        <f>IF(Table134[[#This Row],[check]]=1,Table134[[#This Row],[A0]]/Table134[[#This Row],[اصله مستقل]],Table134[[#This Row],[A_tree]])</f>
        <v>0.73599999999999999</v>
      </c>
    </row>
    <row r="863" spans="2:16" ht="18.600000000000001" x14ac:dyDescent="0.3">
      <c r="B863" s="4" t="s">
        <v>1280</v>
      </c>
      <c r="C863" s="4">
        <v>228</v>
      </c>
      <c r="D863" s="4">
        <v>117</v>
      </c>
      <c r="E863" s="4">
        <v>278</v>
      </c>
      <c r="F863" s="4">
        <v>3267</v>
      </c>
      <c r="G863" s="2" t="s">
        <v>21</v>
      </c>
      <c r="H863" s="4">
        <v>9</v>
      </c>
      <c r="I863" s="4">
        <f>Table134[[#This Row],[اصله مستقل]]*Table134[[#This Row],[A_tree]]</f>
        <v>1053</v>
      </c>
      <c r="J863" s="4">
        <f>IF(Table134[[#This Row],[n * A_tree ]]&gt;Table134[[#This Row],[مساحت آدرس]],1,0)</f>
        <v>0</v>
      </c>
      <c r="K863" s="8">
        <f>IF(Table134[[#This Row],[check]]=1,1,Table134[[#This Row],[A_tree]]*Table134[[#This Row],[اصله مستقل]]/Table134[[#This Row],[مساحت آدرس]])</f>
        <v>0.32231404958677684</v>
      </c>
      <c r="L863" s="14">
        <f>IF(Table134[[#This Row],[check]]=1,1,(Table134[[#This Row],[Psh]]+0.15*(1-Table134[[#This Row],[Psh]])))</f>
        <v>0.4239669421487603</v>
      </c>
      <c r="M863" s="14">
        <f>IF(Table134[[#This Row],[check]]=1,0.65,1)</f>
        <v>1</v>
      </c>
      <c r="N863" s="4">
        <v>1</v>
      </c>
      <c r="O863" s="4">
        <f>IF(Table134[[#This Row],[check]]=1,Table134[[#This Row],[مساحت آدرس]]*Table134[[#This Row],[A0 Inc]],Table134[[#This Row],[A_tree]]*Table134[[#This Row],[اصله مستقل]])</f>
        <v>1053</v>
      </c>
      <c r="P863" s="11">
        <f>IF(Table134[[#This Row],[check]]=1,Table134[[#This Row],[A0]]/Table134[[#This Row],[اصله مستقل]],Table134[[#This Row],[A_tree]])</f>
        <v>9</v>
      </c>
    </row>
    <row r="864" spans="2:16" ht="18.600000000000001" x14ac:dyDescent="0.3">
      <c r="B864" s="4" t="s">
        <v>1281</v>
      </c>
      <c r="C864" s="4">
        <v>228</v>
      </c>
      <c r="D864" s="4">
        <v>228</v>
      </c>
      <c r="E864" s="4">
        <v>1215</v>
      </c>
      <c r="F864" s="4">
        <v>1475</v>
      </c>
      <c r="G864" s="2" t="s">
        <v>62</v>
      </c>
      <c r="H864" s="4">
        <v>9</v>
      </c>
      <c r="I864" s="4">
        <f>Table134[[#This Row],[اصله مستقل]]*Table134[[#This Row],[A_tree]]</f>
        <v>2052</v>
      </c>
      <c r="J864" s="4">
        <f>IF(Table134[[#This Row],[n * A_tree ]]&gt;Table134[[#This Row],[مساحت آدرس]],1,0)</f>
        <v>1</v>
      </c>
      <c r="K864" s="8">
        <f>IF(Table134[[#This Row],[check]]=1,1,Table134[[#This Row],[A_tree]]*Table134[[#This Row],[اصله مستقل]]/Table134[[#This Row],[مساحت آدرس]])</f>
        <v>1</v>
      </c>
      <c r="L864" s="14">
        <f>IF(Table134[[#This Row],[check]]=1,1,(Table134[[#This Row],[Psh]]+0.15*(1-Table134[[#This Row],[Psh]])))</f>
        <v>1</v>
      </c>
      <c r="M864" s="14">
        <f>IF(Table134[[#This Row],[check]]=1,0.65,1)</f>
        <v>0.65</v>
      </c>
      <c r="N864" s="4">
        <v>1</v>
      </c>
      <c r="O864" s="4">
        <f>IF(Table134[[#This Row],[check]]=1,Table134[[#This Row],[مساحت آدرس]]*Table134[[#This Row],[A0 Inc]],Table134[[#This Row],[A_tree]]*Table134[[#This Row],[اصله مستقل]])</f>
        <v>1475</v>
      </c>
      <c r="P864" s="11">
        <f>IF(Table134[[#This Row],[check]]=1,Table134[[#This Row],[A0]]/Table134[[#This Row],[اصله مستقل]],Table134[[#This Row],[A_tree]])</f>
        <v>6.4692982456140351</v>
      </c>
    </row>
    <row r="865" spans="2:16" ht="18.600000000000001" x14ac:dyDescent="0.3">
      <c r="B865" s="4" t="s">
        <v>1282</v>
      </c>
      <c r="C865" s="4">
        <v>160</v>
      </c>
      <c r="D865" s="4">
        <v>206</v>
      </c>
      <c r="E865" s="4">
        <v>750</v>
      </c>
      <c r="F865" s="4">
        <v>1398</v>
      </c>
      <c r="G865" s="2" t="s">
        <v>62</v>
      </c>
      <c r="H865" s="4">
        <v>9</v>
      </c>
      <c r="I865" s="4">
        <f>Table134[[#This Row],[اصله مستقل]]*Table134[[#This Row],[A_tree]]</f>
        <v>1854</v>
      </c>
      <c r="J865" s="4">
        <f>IF(Table134[[#This Row],[n * A_tree ]]&gt;Table134[[#This Row],[مساحت آدرس]],1,0)</f>
        <v>1</v>
      </c>
      <c r="K865" s="8">
        <f>IF(Table134[[#This Row],[check]]=1,1,Table134[[#This Row],[A_tree]]*Table134[[#This Row],[اصله مستقل]]/Table134[[#This Row],[مساحت آدرس]])</f>
        <v>1</v>
      </c>
      <c r="L865" s="14">
        <f>IF(Table134[[#This Row],[check]]=1,1,(Table134[[#This Row],[Psh]]+0.15*(1-Table134[[#This Row],[Psh]])))</f>
        <v>1</v>
      </c>
      <c r="M865" s="14">
        <f>IF(Table134[[#This Row],[check]]=1,0.65,1)</f>
        <v>0.65</v>
      </c>
      <c r="N865" s="4">
        <v>1</v>
      </c>
      <c r="O865" s="4">
        <f>IF(Table134[[#This Row],[check]]=1,Table134[[#This Row],[مساحت آدرس]]*Table134[[#This Row],[A0 Inc]],Table134[[#This Row],[A_tree]]*Table134[[#This Row],[اصله مستقل]])</f>
        <v>1398</v>
      </c>
      <c r="P865" s="11">
        <f>IF(Table134[[#This Row],[check]]=1,Table134[[#This Row],[A0]]/Table134[[#This Row],[اصله مستقل]],Table134[[#This Row],[A_tree]])</f>
        <v>6.7864077669902914</v>
      </c>
    </row>
    <row r="866" spans="2:16" ht="18.600000000000001" x14ac:dyDescent="0.3">
      <c r="B866" s="4" t="s">
        <v>1283</v>
      </c>
      <c r="C866" s="4">
        <v>44</v>
      </c>
      <c r="D866" s="4">
        <v>44</v>
      </c>
      <c r="E866" s="4">
        <v>0</v>
      </c>
      <c r="F866" s="4"/>
      <c r="G866" s="2" t="s">
        <v>62</v>
      </c>
      <c r="H866" s="4">
        <v>9</v>
      </c>
      <c r="I866" s="4">
        <f>Table134[[#This Row],[اصله مستقل]]*Table134[[#This Row],[A_tree]]</f>
        <v>396</v>
      </c>
      <c r="J866" s="4">
        <f>IF(Table134[[#This Row],[n * A_tree ]]&gt;Table134[[#This Row],[مساحت آدرس]],1,0)</f>
        <v>1</v>
      </c>
      <c r="K866" s="8">
        <f>IF(Table134[[#This Row],[check]]=1,1,Table134[[#This Row],[A_tree]]*Table134[[#This Row],[اصله مستقل]]/Table134[[#This Row],[مساحت آدرس]])</f>
        <v>1</v>
      </c>
      <c r="L866" s="14">
        <f>IF(Table134[[#This Row],[check]]=1,1,(Table134[[#This Row],[Psh]]+0.15*(1-Table134[[#This Row],[Psh]])))</f>
        <v>1</v>
      </c>
      <c r="M866" s="14">
        <f>IF(Table134[[#This Row],[check]]=1,0.65,1)</f>
        <v>0.65</v>
      </c>
      <c r="N866" s="4">
        <v>1</v>
      </c>
      <c r="O866" s="4">
        <f>IF(Table134[[#This Row],[check]]=1,Table134[[#This Row],[مساحت آدرس]]*Table134[[#This Row],[A0 Inc]],Table134[[#This Row],[A_tree]]*Table134[[#This Row],[اصله مستقل]])</f>
        <v>0</v>
      </c>
      <c r="P866" s="11">
        <f>IF(Table134[[#This Row],[check]]=1,Table134[[#This Row],[A0]]/Table134[[#This Row],[اصله مستقل]],Table134[[#This Row],[A_tree]])</f>
        <v>0</v>
      </c>
    </row>
    <row r="867" spans="2:16" ht="18.600000000000001" x14ac:dyDescent="0.3">
      <c r="B867" s="4" t="s">
        <v>1284</v>
      </c>
      <c r="C867" s="4">
        <v>741</v>
      </c>
      <c r="D867" s="4">
        <v>563</v>
      </c>
      <c r="E867" s="4">
        <v>2176</v>
      </c>
      <c r="F867" s="4">
        <v>4331</v>
      </c>
      <c r="G867" s="2" t="s">
        <v>62</v>
      </c>
      <c r="H867" s="4">
        <v>9</v>
      </c>
      <c r="I867" s="4">
        <f>Table134[[#This Row],[اصله مستقل]]*Table134[[#This Row],[A_tree]]</f>
        <v>5067</v>
      </c>
      <c r="J867" s="4">
        <f>IF(Table134[[#This Row],[n * A_tree ]]&gt;Table134[[#This Row],[مساحت آدرس]],1,0)</f>
        <v>1</v>
      </c>
      <c r="K867" s="8">
        <f>IF(Table134[[#This Row],[check]]=1,1,Table134[[#This Row],[A_tree]]*Table134[[#This Row],[اصله مستقل]]/Table134[[#This Row],[مساحت آدرس]])</f>
        <v>1</v>
      </c>
      <c r="L867" s="14">
        <f>IF(Table134[[#This Row],[check]]=1,1,(Table134[[#This Row],[Psh]]+0.15*(1-Table134[[#This Row],[Psh]])))</f>
        <v>1</v>
      </c>
      <c r="M867" s="14">
        <f>IF(Table134[[#This Row],[check]]=1,0.65,1)</f>
        <v>0.65</v>
      </c>
      <c r="N867" s="4">
        <v>1</v>
      </c>
      <c r="O867" s="4">
        <f>IF(Table134[[#This Row],[check]]=1,Table134[[#This Row],[مساحت آدرس]]*Table134[[#This Row],[A0 Inc]],Table134[[#This Row],[A_tree]]*Table134[[#This Row],[اصله مستقل]])</f>
        <v>4331</v>
      </c>
      <c r="P867" s="11">
        <f>IF(Table134[[#This Row],[check]]=1,Table134[[#This Row],[A0]]/Table134[[#This Row],[اصله مستقل]],Table134[[#This Row],[A_tree]])</f>
        <v>7.6927175843694497</v>
      </c>
    </row>
    <row r="868" spans="2:16" ht="18.600000000000001" x14ac:dyDescent="0.3">
      <c r="B868" s="4" t="s">
        <v>1298</v>
      </c>
      <c r="C868" s="4">
        <v>347</v>
      </c>
      <c r="D868" s="4">
        <v>129</v>
      </c>
      <c r="E868" s="4">
        <v>15</v>
      </c>
      <c r="F868" s="4">
        <v>4428</v>
      </c>
      <c r="G868" s="2" t="s">
        <v>3</v>
      </c>
      <c r="H868" s="4">
        <v>9</v>
      </c>
      <c r="I868" s="4">
        <f>Table134[[#This Row],[اصله مستقل]]*Table134[[#This Row],[A_tree]]</f>
        <v>1161</v>
      </c>
      <c r="J868" s="4">
        <f>IF(Table134[[#This Row],[n * A_tree ]]&gt;Table134[[#This Row],[مساحت آدرس]],1,0)</f>
        <v>0</v>
      </c>
      <c r="K868" s="8">
        <f>IF(Table134[[#This Row],[check]]=1,1,Table134[[#This Row],[A_tree]]*Table134[[#This Row],[اصله مستقل]]/Table134[[#This Row],[مساحت آدرس]])</f>
        <v>0.26219512195121952</v>
      </c>
      <c r="L868" s="14">
        <f>IF(Table134[[#This Row],[check]]=1,1,(Table134[[#This Row],[Psh]]+0.15*(1-Table134[[#This Row],[Psh]])))</f>
        <v>0.37286585365853658</v>
      </c>
      <c r="M868" s="14">
        <f>IF(Table134[[#This Row],[check]]=1,0.65,1)</f>
        <v>1</v>
      </c>
      <c r="N868" s="4">
        <v>1</v>
      </c>
      <c r="O868" s="4">
        <f>IF(Table134[[#This Row],[check]]=1,Table134[[#This Row],[مساحت آدرس]]*Table134[[#This Row],[A0 Inc]],Table134[[#This Row],[A_tree]]*Table134[[#This Row],[اصله مستقل]])</f>
        <v>1161</v>
      </c>
      <c r="P868" s="11">
        <f>IF(Table134[[#This Row],[check]]=1,Table134[[#This Row],[A0]]/Table134[[#This Row],[اصله مستقل]],Table134[[#This Row],[A_tree]])</f>
        <v>9</v>
      </c>
    </row>
    <row r="869" spans="2:16" ht="18.600000000000001" x14ac:dyDescent="0.3">
      <c r="B869" s="4" t="s">
        <v>1299</v>
      </c>
      <c r="C869" s="4">
        <v>377</v>
      </c>
      <c r="D869" s="4">
        <v>52</v>
      </c>
      <c r="E869" s="4">
        <v>75</v>
      </c>
      <c r="F869" s="4">
        <v>2915</v>
      </c>
      <c r="G869" s="2" t="s">
        <v>3</v>
      </c>
      <c r="H869" s="4">
        <v>9</v>
      </c>
      <c r="I869" s="4">
        <f>Table134[[#This Row],[اصله مستقل]]*Table134[[#This Row],[A_tree]]</f>
        <v>468</v>
      </c>
      <c r="J869" s="4">
        <f>IF(Table134[[#This Row],[n * A_tree ]]&gt;Table134[[#This Row],[مساحت آدرس]],1,0)</f>
        <v>0</v>
      </c>
      <c r="K869" s="8">
        <f>IF(Table134[[#This Row],[check]]=1,1,Table134[[#This Row],[A_tree]]*Table134[[#This Row],[اصله مستقل]]/Table134[[#This Row],[مساحت آدرس]])</f>
        <v>0.16054888507718695</v>
      </c>
      <c r="L869" s="14">
        <f>IF(Table134[[#This Row],[check]]=1,1,(Table134[[#This Row],[Psh]]+0.15*(1-Table134[[#This Row],[Psh]])))</f>
        <v>0.28646655231560891</v>
      </c>
      <c r="M869" s="14">
        <f>IF(Table134[[#This Row],[check]]=1,0.65,1)</f>
        <v>1</v>
      </c>
      <c r="N869" s="4">
        <v>1</v>
      </c>
      <c r="O869" s="4">
        <f>IF(Table134[[#This Row],[check]]=1,Table134[[#This Row],[مساحت آدرس]]*Table134[[#This Row],[A0 Inc]],Table134[[#This Row],[A_tree]]*Table134[[#This Row],[اصله مستقل]])</f>
        <v>468</v>
      </c>
      <c r="P869" s="11">
        <f>IF(Table134[[#This Row],[check]]=1,Table134[[#This Row],[A0]]/Table134[[#This Row],[اصله مستقل]],Table134[[#This Row],[A_tree]])</f>
        <v>9</v>
      </c>
    </row>
    <row r="870" spans="2:16" ht="18.600000000000001" x14ac:dyDescent="0.3">
      <c r="B870" s="4" t="s">
        <v>1300</v>
      </c>
      <c r="C870" s="4">
        <v>84</v>
      </c>
      <c r="D870" s="4">
        <v>84</v>
      </c>
      <c r="E870" s="4">
        <v>1000</v>
      </c>
      <c r="F870" s="4">
        <v>1000</v>
      </c>
      <c r="G870" s="2" t="s">
        <v>21</v>
      </c>
      <c r="H870" s="4">
        <v>9</v>
      </c>
      <c r="I870" s="4">
        <f>Table134[[#This Row],[اصله مستقل]]*Table134[[#This Row],[A_tree]]</f>
        <v>756</v>
      </c>
      <c r="J870" s="4">
        <f>IF(Table134[[#This Row],[n * A_tree ]]&gt;Table134[[#This Row],[مساحت آدرس]],1,0)</f>
        <v>0</v>
      </c>
      <c r="K870" s="8">
        <f>IF(Table134[[#This Row],[check]]=1,1,Table134[[#This Row],[A_tree]]*Table134[[#This Row],[اصله مستقل]]/Table134[[#This Row],[مساحت آدرس]])</f>
        <v>0.75600000000000001</v>
      </c>
      <c r="L870" s="14">
        <f>IF(Table134[[#This Row],[check]]=1,1,(Table134[[#This Row],[Psh]]+0.15*(1-Table134[[#This Row],[Psh]])))</f>
        <v>0.79259999999999997</v>
      </c>
      <c r="M870" s="14">
        <f>IF(Table134[[#This Row],[check]]=1,0.65,1)</f>
        <v>1</v>
      </c>
      <c r="N870" s="4">
        <v>1</v>
      </c>
      <c r="O870" s="4">
        <f>IF(Table134[[#This Row],[check]]=1,Table134[[#This Row],[مساحت آدرس]]*Table134[[#This Row],[A0 Inc]],Table134[[#This Row],[A_tree]]*Table134[[#This Row],[اصله مستقل]])</f>
        <v>756</v>
      </c>
      <c r="P870" s="11">
        <f>IF(Table134[[#This Row],[check]]=1,Table134[[#This Row],[A0]]/Table134[[#This Row],[اصله مستقل]],Table134[[#This Row],[A_tree]])</f>
        <v>9</v>
      </c>
    </row>
    <row r="871" spans="2:16" ht="18.600000000000001" x14ac:dyDescent="0.3">
      <c r="B871" s="4" t="s">
        <v>1301</v>
      </c>
      <c r="C871" s="4">
        <v>191</v>
      </c>
      <c r="D871" s="4">
        <v>185</v>
      </c>
      <c r="E871" s="4">
        <v>316</v>
      </c>
      <c r="F871" s="4">
        <v>316</v>
      </c>
      <c r="G871" s="2" t="s">
        <v>21</v>
      </c>
      <c r="H871" s="4">
        <v>9</v>
      </c>
      <c r="I871" s="4">
        <f>Table134[[#This Row],[اصله مستقل]]*Table134[[#This Row],[A_tree]]</f>
        <v>1665</v>
      </c>
      <c r="J871" s="4">
        <f>IF(Table134[[#This Row],[n * A_tree ]]&gt;Table134[[#This Row],[مساحت آدرس]],1,0)</f>
        <v>1</v>
      </c>
      <c r="K871" s="8">
        <f>IF(Table134[[#This Row],[check]]=1,1,Table134[[#This Row],[A_tree]]*Table134[[#This Row],[اصله مستقل]]/Table134[[#This Row],[مساحت آدرس]])</f>
        <v>1</v>
      </c>
      <c r="L871" s="14">
        <f>IF(Table134[[#This Row],[check]]=1,1,(Table134[[#This Row],[Psh]]+0.15*(1-Table134[[#This Row],[Psh]])))</f>
        <v>1</v>
      </c>
      <c r="M871" s="14">
        <f>IF(Table134[[#This Row],[check]]=1,0.65,1)</f>
        <v>0.65</v>
      </c>
      <c r="N871" s="4">
        <v>1</v>
      </c>
      <c r="O871" s="4">
        <f>IF(Table134[[#This Row],[check]]=1,Table134[[#This Row],[مساحت آدرس]]*Table134[[#This Row],[A0 Inc]],Table134[[#This Row],[A_tree]]*Table134[[#This Row],[اصله مستقل]])</f>
        <v>316</v>
      </c>
      <c r="P871" s="11">
        <f>IF(Table134[[#This Row],[check]]=1,Table134[[#This Row],[A0]]/Table134[[#This Row],[اصله مستقل]],Table134[[#This Row],[A_tree]])</f>
        <v>1.7081081081081082</v>
      </c>
    </row>
    <row r="872" spans="2:16" ht="18.600000000000001" x14ac:dyDescent="0.3">
      <c r="B872" s="4" t="s">
        <v>1302</v>
      </c>
      <c r="C872" s="4">
        <v>502</v>
      </c>
      <c r="D872" s="4">
        <v>126</v>
      </c>
      <c r="E872" s="4">
        <v>122</v>
      </c>
      <c r="F872" s="4">
        <v>1951</v>
      </c>
      <c r="G872" s="2" t="s">
        <v>21</v>
      </c>
      <c r="H872" s="4">
        <v>9</v>
      </c>
      <c r="I872" s="4">
        <f>Table134[[#This Row],[اصله مستقل]]*Table134[[#This Row],[A_tree]]</f>
        <v>1134</v>
      </c>
      <c r="J872" s="4">
        <f>IF(Table134[[#This Row],[n * A_tree ]]&gt;Table134[[#This Row],[مساحت آدرس]],1,0)</f>
        <v>0</v>
      </c>
      <c r="K872" s="8">
        <f>IF(Table134[[#This Row],[check]]=1,1,Table134[[#This Row],[A_tree]]*Table134[[#This Row],[اصله مستقل]]/Table134[[#This Row],[مساحت آدرس]])</f>
        <v>0.58124038954382373</v>
      </c>
      <c r="L872" s="14">
        <f>IF(Table134[[#This Row],[check]]=1,1,(Table134[[#This Row],[Psh]]+0.15*(1-Table134[[#This Row],[Psh]])))</f>
        <v>0.64405433111225019</v>
      </c>
      <c r="M872" s="14">
        <f>IF(Table134[[#This Row],[check]]=1,0.65,1)</f>
        <v>1</v>
      </c>
      <c r="N872" s="4">
        <v>1</v>
      </c>
      <c r="O872" s="4">
        <f>IF(Table134[[#This Row],[check]]=1,Table134[[#This Row],[مساحت آدرس]]*Table134[[#This Row],[A0 Inc]],Table134[[#This Row],[A_tree]]*Table134[[#This Row],[اصله مستقل]])</f>
        <v>1134</v>
      </c>
      <c r="P872" s="11">
        <f>IF(Table134[[#This Row],[check]]=1,Table134[[#This Row],[A0]]/Table134[[#This Row],[اصله مستقل]],Table134[[#This Row],[A_tree]])</f>
        <v>9</v>
      </c>
    </row>
    <row r="873" spans="2:16" ht="18.600000000000001" x14ac:dyDescent="0.3">
      <c r="B873" s="4" t="s">
        <v>1303</v>
      </c>
      <c r="C873" s="4">
        <v>1021</v>
      </c>
      <c r="D873" s="4">
        <v>582</v>
      </c>
      <c r="E873" s="4">
        <v>1040</v>
      </c>
      <c r="F873" s="4">
        <v>2417</v>
      </c>
      <c r="G873" s="2" t="s">
        <v>21</v>
      </c>
      <c r="H873" s="4">
        <v>9</v>
      </c>
      <c r="I873" s="4">
        <f>Table134[[#This Row],[اصله مستقل]]*Table134[[#This Row],[A_tree]]</f>
        <v>5238</v>
      </c>
      <c r="J873" s="4">
        <f>IF(Table134[[#This Row],[n * A_tree ]]&gt;Table134[[#This Row],[مساحت آدرس]],1,0)</f>
        <v>1</v>
      </c>
      <c r="K873" s="8">
        <f>IF(Table134[[#This Row],[check]]=1,1,Table134[[#This Row],[A_tree]]*Table134[[#This Row],[اصله مستقل]]/Table134[[#This Row],[مساحت آدرس]])</f>
        <v>1</v>
      </c>
      <c r="L873" s="14">
        <f>IF(Table134[[#This Row],[check]]=1,1,(Table134[[#This Row],[Psh]]+0.15*(1-Table134[[#This Row],[Psh]])))</f>
        <v>1</v>
      </c>
      <c r="M873" s="14">
        <f>IF(Table134[[#This Row],[check]]=1,0.65,1)</f>
        <v>0.65</v>
      </c>
      <c r="N873" s="4">
        <v>1</v>
      </c>
      <c r="O873" s="4">
        <f>IF(Table134[[#This Row],[check]]=1,Table134[[#This Row],[مساحت آدرس]]*Table134[[#This Row],[A0 Inc]],Table134[[#This Row],[A_tree]]*Table134[[#This Row],[اصله مستقل]])</f>
        <v>2417</v>
      </c>
      <c r="P873" s="11">
        <f>IF(Table134[[#This Row],[check]]=1,Table134[[#This Row],[A0]]/Table134[[#This Row],[اصله مستقل]],Table134[[#This Row],[A_tree]])</f>
        <v>4.1529209621993131</v>
      </c>
    </row>
    <row r="874" spans="2:16" ht="18.600000000000001" x14ac:dyDescent="0.3">
      <c r="B874" s="4" t="s">
        <v>1304</v>
      </c>
      <c r="C874" s="4">
        <v>48</v>
      </c>
      <c r="D874" s="4">
        <v>48</v>
      </c>
      <c r="E874" s="4">
        <v>34</v>
      </c>
      <c r="F874" s="4">
        <v>34</v>
      </c>
      <c r="G874" s="2" t="s">
        <v>21</v>
      </c>
      <c r="H874" s="4">
        <v>9</v>
      </c>
      <c r="I874" s="4">
        <f>Table134[[#This Row],[اصله مستقل]]*Table134[[#This Row],[A_tree]]</f>
        <v>432</v>
      </c>
      <c r="J874" s="4">
        <f>IF(Table134[[#This Row],[n * A_tree ]]&gt;Table134[[#This Row],[مساحت آدرس]],1,0)</f>
        <v>1</v>
      </c>
      <c r="K874" s="8">
        <f>IF(Table134[[#This Row],[check]]=1,1,Table134[[#This Row],[A_tree]]*Table134[[#This Row],[اصله مستقل]]/Table134[[#This Row],[مساحت آدرس]])</f>
        <v>1</v>
      </c>
      <c r="L874" s="14">
        <f>IF(Table134[[#This Row],[check]]=1,1,(Table134[[#This Row],[Psh]]+0.15*(1-Table134[[#This Row],[Psh]])))</f>
        <v>1</v>
      </c>
      <c r="M874" s="14">
        <f>IF(Table134[[#This Row],[check]]=1,0.65,1)</f>
        <v>0.65</v>
      </c>
      <c r="N874" s="4">
        <v>1</v>
      </c>
      <c r="O874" s="4">
        <f>IF(Table134[[#This Row],[check]]=1,Table134[[#This Row],[مساحت آدرس]]*Table134[[#This Row],[A0 Inc]],Table134[[#This Row],[A_tree]]*Table134[[#This Row],[اصله مستقل]])</f>
        <v>34</v>
      </c>
      <c r="P874" s="11">
        <f>IF(Table134[[#This Row],[check]]=1,Table134[[#This Row],[A0]]/Table134[[#This Row],[اصله مستقل]],Table134[[#This Row],[A_tree]])</f>
        <v>0.70833333333333337</v>
      </c>
    </row>
    <row r="875" spans="2:16" ht="18.600000000000001" x14ac:dyDescent="0.3">
      <c r="B875" s="4" t="s">
        <v>1305</v>
      </c>
      <c r="C875" s="4">
        <v>304</v>
      </c>
      <c r="D875" s="4">
        <v>304</v>
      </c>
      <c r="E875" s="4">
        <v>577</v>
      </c>
      <c r="F875" s="4">
        <v>577</v>
      </c>
      <c r="G875" s="2" t="s">
        <v>21</v>
      </c>
      <c r="H875" s="4">
        <v>9</v>
      </c>
      <c r="I875" s="4">
        <f>Table134[[#This Row],[اصله مستقل]]*Table134[[#This Row],[A_tree]]</f>
        <v>2736</v>
      </c>
      <c r="J875" s="4">
        <f>IF(Table134[[#This Row],[n * A_tree ]]&gt;Table134[[#This Row],[مساحت آدرس]],1,0)</f>
        <v>1</v>
      </c>
      <c r="K875" s="8">
        <f>IF(Table134[[#This Row],[check]]=1,1,Table134[[#This Row],[A_tree]]*Table134[[#This Row],[اصله مستقل]]/Table134[[#This Row],[مساحت آدرس]])</f>
        <v>1</v>
      </c>
      <c r="L875" s="14">
        <f>IF(Table134[[#This Row],[check]]=1,1,(Table134[[#This Row],[Psh]]+0.15*(1-Table134[[#This Row],[Psh]])))</f>
        <v>1</v>
      </c>
      <c r="M875" s="14">
        <f>IF(Table134[[#This Row],[check]]=1,0.65,1)</f>
        <v>0.65</v>
      </c>
      <c r="N875" s="4">
        <v>1</v>
      </c>
      <c r="O875" s="4">
        <f>IF(Table134[[#This Row],[check]]=1,Table134[[#This Row],[مساحت آدرس]]*Table134[[#This Row],[A0 Inc]],Table134[[#This Row],[A_tree]]*Table134[[#This Row],[اصله مستقل]])</f>
        <v>577</v>
      </c>
      <c r="P875" s="11">
        <f>IF(Table134[[#This Row],[check]]=1,Table134[[#This Row],[A0]]/Table134[[#This Row],[اصله مستقل]],Table134[[#This Row],[A_tree]])</f>
        <v>1.8980263157894737</v>
      </c>
    </row>
    <row r="876" spans="2:16" ht="18.600000000000001" x14ac:dyDescent="0.3">
      <c r="B876" s="4" t="s">
        <v>1306</v>
      </c>
      <c r="C876" s="4">
        <v>95</v>
      </c>
      <c r="D876" s="4">
        <v>95</v>
      </c>
      <c r="E876" s="4">
        <v>738</v>
      </c>
      <c r="F876" s="4">
        <v>738</v>
      </c>
      <c r="G876" s="2" t="s">
        <v>21</v>
      </c>
      <c r="H876" s="4">
        <v>9</v>
      </c>
      <c r="I876" s="4">
        <f>Table134[[#This Row],[اصله مستقل]]*Table134[[#This Row],[A_tree]]</f>
        <v>855</v>
      </c>
      <c r="J876" s="4">
        <f>IF(Table134[[#This Row],[n * A_tree ]]&gt;Table134[[#This Row],[مساحت آدرس]],1,0)</f>
        <v>1</v>
      </c>
      <c r="K876" s="8">
        <f>IF(Table134[[#This Row],[check]]=1,1,Table134[[#This Row],[A_tree]]*Table134[[#This Row],[اصله مستقل]]/Table134[[#This Row],[مساحت آدرس]])</f>
        <v>1</v>
      </c>
      <c r="L876" s="14">
        <f>IF(Table134[[#This Row],[check]]=1,1,(Table134[[#This Row],[Psh]]+0.15*(1-Table134[[#This Row],[Psh]])))</f>
        <v>1</v>
      </c>
      <c r="M876" s="14">
        <f>IF(Table134[[#This Row],[check]]=1,0.65,1)</f>
        <v>0.65</v>
      </c>
      <c r="N876" s="4">
        <v>1</v>
      </c>
      <c r="O876" s="4">
        <f>IF(Table134[[#This Row],[check]]=1,Table134[[#This Row],[مساحت آدرس]]*Table134[[#This Row],[A0 Inc]],Table134[[#This Row],[A_tree]]*Table134[[#This Row],[اصله مستقل]])</f>
        <v>738</v>
      </c>
      <c r="P876" s="11">
        <f>IF(Table134[[#This Row],[check]]=1,Table134[[#This Row],[A0]]/Table134[[#This Row],[اصله مستقل]],Table134[[#This Row],[A_tree]])</f>
        <v>7.7684210526315791</v>
      </c>
    </row>
    <row r="877" spans="2:16" ht="18.600000000000001" x14ac:dyDescent="0.3">
      <c r="B877" s="4" t="s">
        <v>1307</v>
      </c>
      <c r="C877" s="4">
        <v>135</v>
      </c>
      <c r="D877" s="4">
        <v>135</v>
      </c>
      <c r="E877" s="4">
        <v>1540</v>
      </c>
      <c r="F877" s="4">
        <v>1540</v>
      </c>
      <c r="G877" s="2" t="s">
        <v>62</v>
      </c>
      <c r="H877" s="4">
        <v>9</v>
      </c>
      <c r="I877" s="4">
        <f>Table134[[#This Row],[اصله مستقل]]*Table134[[#This Row],[A_tree]]</f>
        <v>1215</v>
      </c>
      <c r="J877" s="4">
        <f>IF(Table134[[#This Row],[n * A_tree ]]&gt;Table134[[#This Row],[مساحت آدرس]],1,0)</f>
        <v>0</v>
      </c>
      <c r="K877" s="8">
        <f>IF(Table134[[#This Row],[check]]=1,1,Table134[[#This Row],[A_tree]]*Table134[[#This Row],[اصله مستقل]]/Table134[[#This Row],[مساحت آدرس]])</f>
        <v>0.78896103896103897</v>
      </c>
      <c r="L877" s="14">
        <f>IF(Table134[[#This Row],[check]]=1,1,(Table134[[#This Row],[Psh]]+0.15*(1-Table134[[#This Row],[Psh]])))</f>
        <v>0.82061688311688308</v>
      </c>
      <c r="M877" s="14">
        <f>IF(Table134[[#This Row],[check]]=1,0.65,1)</f>
        <v>1</v>
      </c>
      <c r="N877" s="4">
        <v>1</v>
      </c>
      <c r="O877" s="4">
        <f>IF(Table134[[#This Row],[check]]=1,Table134[[#This Row],[مساحت آدرس]]*Table134[[#This Row],[A0 Inc]],Table134[[#This Row],[A_tree]]*Table134[[#This Row],[اصله مستقل]])</f>
        <v>1215</v>
      </c>
      <c r="P877" s="11">
        <f>IF(Table134[[#This Row],[check]]=1,Table134[[#This Row],[A0]]/Table134[[#This Row],[اصله مستقل]],Table134[[#This Row],[A_tree]])</f>
        <v>9</v>
      </c>
    </row>
    <row r="878" spans="2:16" ht="18.600000000000001" x14ac:dyDescent="0.3">
      <c r="B878" s="4" t="s">
        <v>1308</v>
      </c>
      <c r="C878" s="4">
        <v>81</v>
      </c>
      <c r="D878" s="4">
        <v>81</v>
      </c>
      <c r="E878" s="4">
        <v>1773</v>
      </c>
      <c r="F878" s="4">
        <v>1773</v>
      </c>
      <c r="G878" s="2" t="s">
        <v>62</v>
      </c>
      <c r="H878" s="4">
        <v>9</v>
      </c>
      <c r="I878" s="4">
        <f>Table134[[#This Row],[اصله مستقل]]*Table134[[#This Row],[A_tree]]</f>
        <v>729</v>
      </c>
      <c r="J878" s="4">
        <f>IF(Table134[[#This Row],[n * A_tree ]]&gt;Table134[[#This Row],[مساحت آدرس]],1,0)</f>
        <v>0</v>
      </c>
      <c r="K878" s="8">
        <f>IF(Table134[[#This Row],[check]]=1,1,Table134[[#This Row],[A_tree]]*Table134[[#This Row],[اصله مستقل]]/Table134[[#This Row],[مساحت آدرس]])</f>
        <v>0.41116751269035534</v>
      </c>
      <c r="L878" s="14">
        <f>IF(Table134[[#This Row],[check]]=1,1,(Table134[[#This Row],[Psh]]+0.15*(1-Table134[[#This Row],[Psh]])))</f>
        <v>0.49949238578680205</v>
      </c>
      <c r="M878" s="14">
        <f>IF(Table134[[#This Row],[check]]=1,0.65,1)</f>
        <v>1</v>
      </c>
      <c r="N878" s="4">
        <v>1</v>
      </c>
      <c r="O878" s="4">
        <f>IF(Table134[[#This Row],[check]]=1,Table134[[#This Row],[مساحت آدرس]]*Table134[[#This Row],[A0 Inc]],Table134[[#This Row],[A_tree]]*Table134[[#This Row],[اصله مستقل]])</f>
        <v>729</v>
      </c>
      <c r="P878" s="11">
        <f>IF(Table134[[#This Row],[check]]=1,Table134[[#This Row],[A0]]/Table134[[#This Row],[اصله مستقل]],Table134[[#This Row],[A_tree]])</f>
        <v>9</v>
      </c>
    </row>
    <row r="879" spans="2:16" ht="18.600000000000001" x14ac:dyDescent="0.3">
      <c r="B879" s="4" t="s">
        <v>1309</v>
      </c>
      <c r="C879" s="4">
        <v>586</v>
      </c>
      <c r="D879" s="4">
        <v>586</v>
      </c>
      <c r="E879" s="4">
        <v>1783</v>
      </c>
      <c r="F879" s="4">
        <v>1794</v>
      </c>
      <c r="G879" s="2" t="s">
        <v>62</v>
      </c>
      <c r="H879" s="4">
        <v>9</v>
      </c>
      <c r="I879" s="4">
        <f>Table134[[#This Row],[اصله مستقل]]*Table134[[#This Row],[A_tree]]</f>
        <v>5274</v>
      </c>
      <c r="J879" s="4">
        <f>IF(Table134[[#This Row],[n * A_tree ]]&gt;Table134[[#This Row],[مساحت آدرس]],1,0)</f>
        <v>1</v>
      </c>
      <c r="K879" s="8">
        <f>IF(Table134[[#This Row],[check]]=1,1,Table134[[#This Row],[A_tree]]*Table134[[#This Row],[اصله مستقل]]/Table134[[#This Row],[مساحت آدرس]])</f>
        <v>1</v>
      </c>
      <c r="L879" s="14">
        <f>IF(Table134[[#This Row],[check]]=1,1,(Table134[[#This Row],[Psh]]+0.15*(1-Table134[[#This Row],[Psh]])))</f>
        <v>1</v>
      </c>
      <c r="M879" s="14">
        <f>IF(Table134[[#This Row],[check]]=1,0.65,1)</f>
        <v>0.65</v>
      </c>
      <c r="N879" s="4">
        <v>1</v>
      </c>
      <c r="O879" s="4">
        <f>IF(Table134[[#This Row],[check]]=1,Table134[[#This Row],[مساحت آدرس]]*Table134[[#This Row],[A0 Inc]],Table134[[#This Row],[A_tree]]*Table134[[#This Row],[اصله مستقل]])</f>
        <v>1794</v>
      </c>
      <c r="P879" s="11">
        <f>IF(Table134[[#This Row],[check]]=1,Table134[[#This Row],[A0]]/Table134[[#This Row],[اصله مستقل]],Table134[[#This Row],[A_tree]])</f>
        <v>3.0614334470989761</v>
      </c>
    </row>
    <row r="880" spans="2:16" ht="18.600000000000001" x14ac:dyDescent="0.3">
      <c r="B880" s="4" t="s">
        <v>1310</v>
      </c>
      <c r="C880" s="4">
        <v>426</v>
      </c>
      <c r="D880" s="4">
        <v>426</v>
      </c>
      <c r="E880" s="4">
        <v>3650</v>
      </c>
      <c r="F880" s="4">
        <v>3696</v>
      </c>
      <c r="G880" s="2" t="s">
        <v>62</v>
      </c>
      <c r="H880" s="4">
        <v>9</v>
      </c>
      <c r="I880" s="4">
        <f>Table134[[#This Row],[اصله مستقل]]*Table134[[#This Row],[A_tree]]</f>
        <v>3834</v>
      </c>
      <c r="J880" s="4">
        <f>IF(Table134[[#This Row],[n * A_tree ]]&gt;Table134[[#This Row],[مساحت آدرس]],1,0)</f>
        <v>1</v>
      </c>
      <c r="K880" s="8">
        <f>IF(Table134[[#This Row],[check]]=1,1,Table134[[#This Row],[A_tree]]*Table134[[#This Row],[اصله مستقل]]/Table134[[#This Row],[مساحت آدرس]])</f>
        <v>1</v>
      </c>
      <c r="L880" s="14">
        <f>IF(Table134[[#This Row],[check]]=1,1,(Table134[[#This Row],[Psh]]+0.15*(1-Table134[[#This Row],[Psh]])))</f>
        <v>1</v>
      </c>
      <c r="M880" s="14">
        <f>IF(Table134[[#This Row],[check]]=1,0.65,1)</f>
        <v>0.65</v>
      </c>
      <c r="N880" s="4">
        <v>1</v>
      </c>
      <c r="O880" s="4">
        <f>IF(Table134[[#This Row],[check]]=1,Table134[[#This Row],[مساحت آدرس]]*Table134[[#This Row],[A0 Inc]],Table134[[#This Row],[A_tree]]*Table134[[#This Row],[اصله مستقل]])</f>
        <v>3696</v>
      </c>
      <c r="P880" s="11">
        <f>IF(Table134[[#This Row],[check]]=1,Table134[[#This Row],[A0]]/Table134[[#This Row],[اصله مستقل]],Table134[[#This Row],[A_tree]])</f>
        <v>8.6760563380281699</v>
      </c>
    </row>
    <row r="881" spans="2:16" ht="18.600000000000001" x14ac:dyDescent="0.3">
      <c r="B881" s="4" t="s">
        <v>1318</v>
      </c>
      <c r="C881" s="4">
        <v>100</v>
      </c>
      <c r="D881" s="4">
        <v>100</v>
      </c>
      <c r="E881" s="4">
        <v>260</v>
      </c>
      <c r="F881" s="4">
        <v>980</v>
      </c>
      <c r="G881" s="2" t="s">
        <v>3</v>
      </c>
      <c r="H881" s="4">
        <v>9</v>
      </c>
      <c r="I881" s="4">
        <f>Table134[[#This Row],[اصله مستقل]]*Table134[[#This Row],[A_tree]]</f>
        <v>900</v>
      </c>
      <c r="J881" s="4">
        <f>IF(Table134[[#This Row],[n * A_tree ]]&gt;Table134[[#This Row],[مساحت آدرس]],1,0)</f>
        <v>0</v>
      </c>
      <c r="K881" s="8">
        <f>IF(Table134[[#This Row],[check]]=1,1,Table134[[#This Row],[A_tree]]*Table134[[#This Row],[اصله مستقل]]/Table134[[#This Row],[مساحت آدرس]])</f>
        <v>0.91836734693877553</v>
      </c>
      <c r="L881" s="14">
        <f>IF(Table134[[#This Row],[check]]=1,1,(Table134[[#This Row],[Psh]]+0.15*(1-Table134[[#This Row],[Psh]])))</f>
        <v>0.93061224489795924</v>
      </c>
      <c r="M881" s="14">
        <f>IF(Table134[[#This Row],[check]]=1,0.65,1)</f>
        <v>1</v>
      </c>
      <c r="N881" s="4">
        <v>1</v>
      </c>
      <c r="O881" s="4">
        <f>IF(Table134[[#This Row],[check]]=1,Table134[[#This Row],[مساحت آدرس]]*Table134[[#This Row],[A0 Inc]],Table134[[#This Row],[A_tree]]*Table134[[#This Row],[اصله مستقل]])</f>
        <v>900</v>
      </c>
      <c r="P881" s="11">
        <f>IF(Table134[[#This Row],[check]]=1,Table134[[#This Row],[A0]]/Table134[[#This Row],[اصله مستقل]],Table134[[#This Row],[A_tree]])</f>
        <v>9</v>
      </c>
    </row>
    <row r="882" spans="2:16" ht="18.600000000000001" x14ac:dyDescent="0.3">
      <c r="B882" s="4" t="s">
        <v>1319</v>
      </c>
      <c r="C882" s="4">
        <v>970</v>
      </c>
      <c r="D882" s="4">
        <v>234</v>
      </c>
      <c r="E882" s="4">
        <v>865</v>
      </c>
      <c r="F882" s="4">
        <v>33785</v>
      </c>
      <c r="G882" s="2" t="s">
        <v>283</v>
      </c>
      <c r="H882" s="4">
        <v>9</v>
      </c>
      <c r="I882" s="4">
        <f>Table134[[#This Row],[اصله مستقل]]*Table134[[#This Row],[A_tree]]</f>
        <v>2106</v>
      </c>
      <c r="J882" s="4">
        <f>IF(Table134[[#This Row],[n * A_tree ]]&gt;Table134[[#This Row],[مساحت آدرس]],1,0)</f>
        <v>0</v>
      </c>
      <c r="K882" s="8">
        <f>IF(Table134[[#This Row],[check]]=1,1,Table134[[#This Row],[A_tree]]*Table134[[#This Row],[اصله مستقل]]/Table134[[#This Row],[مساحت آدرس]])</f>
        <v>6.2335355927186621E-2</v>
      </c>
      <c r="L882" s="14">
        <f>IF(Table134[[#This Row],[check]]=1,1,(Table134[[#This Row],[Psh]]+0.15*(1-Table134[[#This Row],[Psh]])))</f>
        <v>0.20298505253810861</v>
      </c>
      <c r="M882" s="14">
        <f>IF(Table134[[#This Row],[check]]=1,0.65,1)</f>
        <v>1</v>
      </c>
      <c r="N882" s="4">
        <v>1</v>
      </c>
      <c r="O882" s="4">
        <f>IF(Table134[[#This Row],[check]]=1,Table134[[#This Row],[مساحت آدرس]]*Table134[[#This Row],[A0 Inc]],Table134[[#This Row],[A_tree]]*Table134[[#This Row],[اصله مستقل]])</f>
        <v>2106</v>
      </c>
      <c r="P882" s="11">
        <f>IF(Table134[[#This Row],[check]]=1,Table134[[#This Row],[A0]]/Table134[[#This Row],[اصله مستقل]],Table134[[#This Row],[A_tree]])</f>
        <v>9</v>
      </c>
    </row>
    <row r="883" spans="2:16" ht="18.600000000000001" x14ac:dyDescent="0.3">
      <c r="B883" s="4" t="s">
        <v>1320</v>
      </c>
      <c r="C883" s="4">
        <v>1185</v>
      </c>
      <c r="D883" s="4">
        <v>651</v>
      </c>
      <c r="E883" s="4">
        <v>1627</v>
      </c>
      <c r="F883" s="4">
        <v>9037</v>
      </c>
      <c r="G883" s="2" t="s">
        <v>21</v>
      </c>
      <c r="H883" s="4">
        <v>9</v>
      </c>
      <c r="I883" s="4">
        <f>Table134[[#This Row],[اصله مستقل]]*Table134[[#This Row],[A_tree]]</f>
        <v>5859</v>
      </c>
      <c r="J883" s="4">
        <f>IF(Table134[[#This Row],[n * A_tree ]]&gt;Table134[[#This Row],[مساحت آدرس]],1,0)</f>
        <v>0</v>
      </c>
      <c r="K883" s="8">
        <f>IF(Table134[[#This Row],[check]]=1,1,Table134[[#This Row],[A_tree]]*Table134[[#This Row],[اصله مستقل]]/Table134[[#This Row],[مساحت آدرس]])</f>
        <v>0.64833462432223088</v>
      </c>
      <c r="L883" s="14">
        <f>IF(Table134[[#This Row],[check]]=1,1,(Table134[[#This Row],[Psh]]+0.15*(1-Table134[[#This Row],[Psh]])))</f>
        <v>0.70108443067389625</v>
      </c>
      <c r="M883" s="14">
        <f>IF(Table134[[#This Row],[check]]=1,0.65,1)</f>
        <v>1</v>
      </c>
      <c r="N883" s="4">
        <v>1</v>
      </c>
      <c r="O883" s="4">
        <f>IF(Table134[[#This Row],[check]]=1,Table134[[#This Row],[مساحت آدرس]]*Table134[[#This Row],[A0 Inc]],Table134[[#This Row],[A_tree]]*Table134[[#This Row],[اصله مستقل]])</f>
        <v>5859</v>
      </c>
      <c r="P883" s="11">
        <f>IF(Table134[[#This Row],[check]]=1,Table134[[#This Row],[A0]]/Table134[[#This Row],[اصله مستقل]],Table134[[#This Row],[A_tree]])</f>
        <v>9</v>
      </c>
    </row>
    <row r="884" spans="2:16" ht="18.600000000000001" x14ac:dyDescent="0.3">
      <c r="B884" s="4" t="s">
        <v>1321</v>
      </c>
      <c r="C884" s="4">
        <v>1306</v>
      </c>
      <c r="D884" s="4">
        <v>560</v>
      </c>
      <c r="E884" s="4">
        <v>1400</v>
      </c>
      <c r="F884" s="4">
        <v>8300</v>
      </c>
      <c r="G884" s="2" t="s">
        <v>21</v>
      </c>
      <c r="H884" s="4">
        <v>9</v>
      </c>
      <c r="I884" s="4">
        <f>Table134[[#This Row],[اصله مستقل]]*Table134[[#This Row],[A_tree]]</f>
        <v>5040</v>
      </c>
      <c r="J884" s="4">
        <f>IF(Table134[[#This Row],[n * A_tree ]]&gt;Table134[[#This Row],[مساحت آدرس]],1,0)</f>
        <v>0</v>
      </c>
      <c r="K884" s="8">
        <f>IF(Table134[[#This Row],[check]]=1,1,Table134[[#This Row],[A_tree]]*Table134[[#This Row],[اصله مستقل]]/Table134[[#This Row],[مساحت آدرس]])</f>
        <v>0.60722891566265058</v>
      </c>
      <c r="L884" s="14">
        <f>IF(Table134[[#This Row],[check]]=1,1,(Table134[[#This Row],[Psh]]+0.15*(1-Table134[[#This Row],[Psh]])))</f>
        <v>0.66614457831325302</v>
      </c>
      <c r="M884" s="14">
        <f>IF(Table134[[#This Row],[check]]=1,0.65,1)</f>
        <v>1</v>
      </c>
      <c r="N884" s="4">
        <v>1</v>
      </c>
      <c r="O884" s="4">
        <f>IF(Table134[[#This Row],[check]]=1,Table134[[#This Row],[مساحت آدرس]]*Table134[[#This Row],[A0 Inc]],Table134[[#This Row],[A_tree]]*Table134[[#This Row],[اصله مستقل]])</f>
        <v>5040</v>
      </c>
      <c r="P884" s="11">
        <f>IF(Table134[[#This Row],[check]]=1,Table134[[#This Row],[A0]]/Table134[[#This Row],[اصله مستقل]],Table134[[#This Row],[A_tree]])</f>
        <v>9</v>
      </c>
    </row>
    <row r="885" spans="2:16" ht="18.600000000000001" x14ac:dyDescent="0.3">
      <c r="B885" s="4" t="s">
        <v>1322</v>
      </c>
      <c r="C885" s="4">
        <v>1330</v>
      </c>
      <c r="D885" s="4">
        <v>1910</v>
      </c>
      <c r="E885" s="4">
        <v>2775</v>
      </c>
      <c r="F885" s="4">
        <v>6040</v>
      </c>
      <c r="G885" s="2" t="s">
        <v>21</v>
      </c>
      <c r="H885" s="4">
        <v>9</v>
      </c>
      <c r="I885" s="4">
        <f>Table134[[#This Row],[اصله مستقل]]*Table134[[#This Row],[A_tree]]</f>
        <v>17190</v>
      </c>
      <c r="J885" s="4">
        <f>IF(Table134[[#This Row],[n * A_tree ]]&gt;Table134[[#This Row],[مساحت آدرس]],1,0)</f>
        <v>1</v>
      </c>
      <c r="K885" s="8">
        <f>IF(Table134[[#This Row],[check]]=1,1,Table134[[#This Row],[A_tree]]*Table134[[#This Row],[اصله مستقل]]/Table134[[#This Row],[مساحت آدرس]])</f>
        <v>1</v>
      </c>
      <c r="L885" s="14">
        <f>IF(Table134[[#This Row],[check]]=1,1,(Table134[[#This Row],[Psh]]+0.15*(1-Table134[[#This Row],[Psh]])))</f>
        <v>1</v>
      </c>
      <c r="M885" s="14">
        <f>IF(Table134[[#This Row],[check]]=1,0.65,1)</f>
        <v>0.65</v>
      </c>
      <c r="N885" s="4">
        <v>1</v>
      </c>
      <c r="O885" s="4">
        <f>IF(Table134[[#This Row],[check]]=1,Table134[[#This Row],[مساحت آدرس]]*Table134[[#This Row],[A0 Inc]],Table134[[#This Row],[A_tree]]*Table134[[#This Row],[اصله مستقل]])</f>
        <v>6040</v>
      </c>
      <c r="P885" s="11">
        <f>IF(Table134[[#This Row],[check]]=1,Table134[[#This Row],[A0]]/Table134[[#This Row],[اصله مستقل]],Table134[[#This Row],[A_tree]])</f>
        <v>3.162303664921466</v>
      </c>
    </row>
    <row r="886" spans="2:16" ht="18.600000000000001" x14ac:dyDescent="0.3">
      <c r="B886" s="4" t="s">
        <v>1323</v>
      </c>
      <c r="C886" s="4">
        <v>1180</v>
      </c>
      <c r="D886" s="4">
        <v>1180</v>
      </c>
      <c r="E886" s="4">
        <v>2380</v>
      </c>
      <c r="F886" s="4">
        <v>4880</v>
      </c>
      <c r="G886" s="2" t="s">
        <v>21</v>
      </c>
      <c r="H886" s="4">
        <v>9</v>
      </c>
      <c r="I886" s="4">
        <f>Table134[[#This Row],[اصله مستقل]]*Table134[[#This Row],[A_tree]]</f>
        <v>10620</v>
      </c>
      <c r="J886" s="4">
        <f>IF(Table134[[#This Row],[n * A_tree ]]&gt;Table134[[#This Row],[مساحت آدرس]],1,0)</f>
        <v>1</v>
      </c>
      <c r="K886" s="8">
        <f>IF(Table134[[#This Row],[check]]=1,1,Table134[[#This Row],[A_tree]]*Table134[[#This Row],[اصله مستقل]]/Table134[[#This Row],[مساحت آدرس]])</f>
        <v>1</v>
      </c>
      <c r="L886" s="14">
        <f>IF(Table134[[#This Row],[check]]=1,1,(Table134[[#This Row],[Psh]]+0.15*(1-Table134[[#This Row],[Psh]])))</f>
        <v>1</v>
      </c>
      <c r="M886" s="14">
        <f>IF(Table134[[#This Row],[check]]=1,0.65,1)</f>
        <v>0.65</v>
      </c>
      <c r="N886" s="4">
        <v>1</v>
      </c>
      <c r="O886" s="4">
        <f>IF(Table134[[#This Row],[check]]=1,Table134[[#This Row],[مساحت آدرس]]*Table134[[#This Row],[A0 Inc]],Table134[[#This Row],[A_tree]]*Table134[[#This Row],[اصله مستقل]])</f>
        <v>4880</v>
      </c>
      <c r="P886" s="11">
        <f>IF(Table134[[#This Row],[check]]=1,Table134[[#This Row],[A0]]/Table134[[#This Row],[اصله مستقل]],Table134[[#This Row],[A_tree]])</f>
        <v>4.1355932203389827</v>
      </c>
    </row>
    <row r="887" spans="2:16" ht="18.600000000000001" x14ac:dyDescent="0.3">
      <c r="B887" s="4" t="s">
        <v>1325</v>
      </c>
      <c r="C887" s="4">
        <v>903</v>
      </c>
      <c r="D887" s="4">
        <v>535</v>
      </c>
      <c r="E887" s="4">
        <v>1337</v>
      </c>
      <c r="F887" s="4">
        <v>2619</v>
      </c>
      <c r="G887" s="2" t="s">
        <v>21</v>
      </c>
      <c r="H887" s="4">
        <v>9</v>
      </c>
      <c r="I887" s="4">
        <f>Table134[[#This Row],[اصله مستقل]]*Table134[[#This Row],[A_tree]]</f>
        <v>4815</v>
      </c>
      <c r="J887" s="4">
        <f>IF(Table134[[#This Row],[n * A_tree ]]&gt;Table134[[#This Row],[مساحت آدرس]],1,0)</f>
        <v>1</v>
      </c>
      <c r="K887" s="8">
        <f>IF(Table134[[#This Row],[check]]=1,1,Table134[[#This Row],[A_tree]]*Table134[[#This Row],[اصله مستقل]]/Table134[[#This Row],[مساحت آدرس]])</f>
        <v>1</v>
      </c>
      <c r="L887" s="14">
        <f>IF(Table134[[#This Row],[check]]=1,1,(Table134[[#This Row],[Psh]]+0.15*(1-Table134[[#This Row],[Psh]])))</f>
        <v>1</v>
      </c>
      <c r="M887" s="14">
        <f>IF(Table134[[#This Row],[check]]=1,0.65,1)</f>
        <v>0.65</v>
      </c>
      <c r="N887" s="4">
        <v>1</v>
      </c>
      <c r="O887" s="4">
        <f>IF(Table134[[#This Row],[check]]=1,Table134[[#This Row],[مساحت آدرس]]*Table134[[#This Row],[A0 Inc]],Table134[[#This Row],[A_tree]]*Table134[[#This Row],[اصله مستقل]])</f>
        <v>2619</v>
      </c>
      <c r="P887" s="11">
        <f>IF(Table134[[#This Row],[check]]=1,Table134[[#This Row],[A0]]/Table134[[#This Row],[اصله مستقل]],Table134[[#This Row],[A_tree]])</f>
        <v>4.895327102803738</v>
      </c>
    </row>
    <row r="888" spans="2:16" ht="18.600000000000001" x14ac:dyDescent="0.3">
      <c r="B888" s="4" t="s">
        <v>1327</v>
      </c>
      <c r="C888" s="4">
        <v>260</v>
      </c>
      <c r="D888" s="4">
        <v>260</v>
      </c>
      <c r="E888" s="4">
        <v>260</v>
      </c>
      <c r="F888" s="4">
        <v>395</v>
      </c>
      <c r="G888" s="2" t="s">
        <v>21</v>
      </c>
      <c r="H888" s="4">
        <v>9</v>
      </c>
      <c r="I888" s="4">
        <f>Table134[[#This Row],[اصله مستقل]]*Table134[[#This Row],[A_tree]]</f>
        <v>2340</v>
      </c>
      <c r="J888" s="4">
        <f>IF(Table134[[#This Row],[n * A_tree ]]&gt;Table134[[#This Row],[مساحت آدرس]],1,0)</f>
        <v>1</v>
      </c>
      <c r="K888" s="8">
        <f>IF(Table134[[#This Row],[check]]=1,1,Table134[[#This Row],[A_tree]]*Table134[[#This Row],[اصله مستقل]]/Table134[[#This Row],[مساحت آدرس]])</f>
        <v>1</v>
      </c>
      <c r="L888" s="14">
        <f>IF(Table134[[#This Row],[check]]=1,1,(Table134[[#This Row],[Psh]]+0.15*(1-Table134[[#This Row],[Psh]])))</f>
        <v>1</v>
      </c>
      <c r="M888" s="14">
        <f>IF(Table134[[#This Row],[check]]=1,0.65,1)</f>
        <v>0.65</v>
      </c>
      <c r="N888" s="4">
        <v>1</v>
      </c>
      <c r="O888" s="4">
        <f>IF(Table134[[#This Row],[check]]=1,Table134[[#This Row],[مساحت آدرس]]*Table134[[#This Row],[A0 Inc]],Table134[[#This Row],[A_tree]]*Table134[[#This Row],[اصله مستقل]])</f>
        <v>395</v>
      </c>
      <c r="P888" s="11">
        <f>IF(Table134[[#This Row],[check]]=1,Table134[[#This Row],[A0]]/Table134[[#This Row],[اصله مستقل]],Table134[[#This Row],[A_tree]])</f>
        <v>1.5192307692307692</v>
      </c>
    </row>
    <row r="889" spans="2:16" ht="18.600000000000001" x14ac:dyDescent="0.3">
      <c r="B889" s="4" t="s">
        <v>1328</v>
      </c>
      <c r="C889" s="4">
        <v>423</v>
      </c>
      <c r="D889" s="4">
        <v>275</v>
      </c>
      <c r="E889" s="4">
        <v>687</v>
      </c>
      <c r="F889" s="4">
        <v>811</v>
      </c>
      <c r="G889" s="2" t="s">
        <v>21</v>
      </c>
      <c r="H889" s="4">
        <v>9</v>
      </c>
      <c r="I889" s="4">
        <f>Table134[[#This Row],[اصله مستقل]]*Table134[[#This Row],[A_tree]]</f>
        <v>2475</v>
      </c>
      <c r="J889" s="4">
        <f>IF(Table134[[#This Row],[n * A_tree ]]&gt;Table134[[#This Row],[مساحت آدرس]],1,0)</f>
        <v>1</v>
      </c>
      <c r="K889" s="8">
        <f>IF(Table134[[#This Row],[check]]=1,1,Table134[[#This Row],[A_tree]]*Table134[[#This Row],[اصله مستقل]]/Table134[[#This Row],[مساحت آدرس]])</f>
        <v>1</v>
      </c>
      <c r="L889" s="14">
        <f>IF(Table134[[#This Row],[check]]=1,1,(Table134[[#This Row],[Psh]]+0.15*(1-Table134[[#This Row],[Psh]])))</f>
        <v>1</v>
      </c>
      <c r="M889" s="14">
        <f>IF(Table134[[#This Row],[check]]=1,0.65,1)</f>
        <v>0.65</v>
      </c>
      <c r="N889" s="4">
        <v>1</v>
      </c>
      <c r="O889" s="4">
        <f>IF(Table134[[#This Row],[check]]=1,Table134[[#This Row],[مساحت آدرس]]*Table134[[#This Row],[A0 Inc]],Table134[[#This Row],[A_tree]]*Table134[[#This Row],[اصله مستقل]])</f>
        <v>811</v>
      </c>
      <c r="P889" s="11">
        <f>IF(Table134[[#This Row],[check]]=1,Table134[[#This Row],[A0]]/Table134[[#This Row],[اصله مستقل]],Table134[[#This Row],[A_tree]])</f>
        <v>2.9490909090909092</v>
      </c>
    </row>
    <row r="890" spans="2:16" ht="18.600000000000001" x14ac:dyDescent="0.3">
      <c r="B890" s="4" t="s">
        <v>1329</v>
      </c>
      <c r="C890" s="4">
        <v>480</v>
      </c>
      <c r="D890" s="4">
        <v>480</v>
      </c>
      <c r="E890" s="4">
        <v>1440</v>
      </c>
      <c r="F890" s="4">
        <v>2940</v>
      </c>
      <c r="G890" s="2" t="s">
        <v>21</v>
      </c>
      <c r="H890" s="4">
        <v>9</v>
      </c>
      <c r="I890" s="4">
        <f>Table134[[#This Row],[اصله مستقل]]*Table134[[#This Row],[A_tree]]</f>
        <v>4320</v>
      </c>
      <c r="J890" s="4">
        <f>IF(Table134[[#This Row],[n * A_tree ]]&gt;Table134[[#This Row],[مساحت آدرس]],1,0)</f>
        <v>1</v>
      </c>
      <c r="K890" s="8">
        <f>IF(Table134[[#This Row],[check]]=1,1,Table134[[#This Row],[A_tree]]*Table134[[#This Row],[اصله مستقل]]/Table134[[#This Row],[مساحت آدرس]])</f>
        <v>1</v>
      </c>
      <c r="L890" s="14">
        <f>IF(Table134[[#This Row],[check]]=1,1,(Table134[[#This Row],[Psh]]+0.15*(1-Table134[[#This Row],[Psh]])))</f>
        <v>1</v>
      </c>
      <c r="M890" s="14">
        <f>IF(Table134[[#This Row],[check]]=1,0.65,1)</f>
        <v>0.65</v>
      </c>
      <c r="N890" s="4">
        <v>1</v>
      </c>
      <c r="O890" s="4">
        <f>IF(Table134[[#This Row],[check]]=1,Table134[[#This Row],[مساحت آدرس]]*Table134[[#This Row],[A0 Inc]],Table134[[#This Row],[A_tree]]*Table134[[#This Row],[اصله مستقل]])</f>
        <v>2940</v>
      </c>
      <c r="P890" s="11">
        <f>IF(Table134[[#This Row],[check]]=1,Table134[[#This Row],[A0]]/Table134[[#This Row],[اصله مستقل]],Table134[[#This Row],[A_tree]])</f>
        <v>6.125</v>
      </c>
    </row>
    <row r="891" spans="2:16" ht="18.600000000000001" x14ac:dyDescent="0.3">
      <c r="B891" s="4" t="s">
        <v>1330</v>
      </c>
      <c r="C891" s="4">
        <v>1237</v>
      </c>
      <c r="D891" s="4">
        <v>680</v>
      </c>
      <c r="E891" s="4">
        <v>1080</v>
      </c>
      <c r="F891" s="4">
        <v>6572</v>
      </c>
      <c r="G891" s="2" t="s">
        <v>21</v>
      </c>
      <c r="H891" s="4">
        <v>9</v>
      </c>
      <c r="I891" s="4">
        <f>Table134[[#This Row],[اصله مستقل]]*Table134[[#This Row],[A_tree]]</f>
        <v>6120</v>
      </c>
      <c r="J891" s="4">
        <f>IF(Table134[[#This Row],[n * A_tree ]]&gt;Table134[[#This Row],[مساحت آدرس]],1,0)</f>
        <v>0</v>
      </c>
      <c r="K891" s="8">
        <f>IF(Table134[[#This Row],[check]]=1,1,Table134[[#This Row],[A_tree]]*Table134[[#This Row],[اصله مستقل]]/Table134[[#This Row],[مساحت آدرس]])</f>
        <v>0.93122337188070603</v>
      </c>
      <c r="L891" s="14">
        <f>IF(Table134[[#This Row],[check]]=1,1,(Table134[[#This Row],[Psh]]+0.15*(1-Table134[[#This Row],[Psh]])))</f>
        <v>0.94153986609860008</v>
      </c>
      <c r="M891" s="14">
        <f>IF(Table134[[#This Row],[check]]=1,0.65,1)</f>
        <v>1</v>
      </c>
      <c r="N891" s="4">
        <v>1</v>
      </c>
      <c r="O891" s="4">
        <f>IF(Table134[[#This Row],[check]]=1,Table134[[#This Row],[مساحت آدرس]]*Table134[[#This Row],[A0 Inc]],Table134[[#This Row],[A_tree]]*Table134[[#This Row],[اصله مستقل]])</f>
        <v>6120</v>
      </c>
      <c r="P891" s="11">
        <f>IF(Table134[[#This Row],[check]]=1,Table134[[#This Row],[A0]]/Table134[[#This Row],[اصله مستقل]],Table134[[#This Row],[A_tree]])</f>
        <v>9</v>
      </c>
    </row>
    <row r="892" spans="2:16" ht="18.600000000000001" x14ac:dyDescent="0.3">
      <c r="B892" s="4" t="s">
        <v>1331</v>
      </c>
      <c r="C892" s="4">
        <v>590</v>
      </c>
      <c r="D892" s="4">
        <v>210</v>
      </c>
      <c r="E892" s="4">
        <v>525</v>
      </c>
      <c r="F892" s="4">
        <v>1375</v>
      </c>
      <c r="G892" s="2" t="s">
        <v>21</v>
      </c>
      <c r="H892" s="4">
        <v>9</v>
      </c>
      <c r="I892" s="4">
        <f>Table134[[#This Row],[اصله مستقل]]*Table134[[#This Row],[A_tree]]</f>
        <v>1890</v>
      </c>
      <c r="J892" s="4">
        <f>IF(Table134[[#This Row],[n * A_tree ]]&gt;Table134[[#This Row],[مساحت آدرس]],1,0)</f>
        <v>1</v>
      </c>
      <c r="K892" s="8">
        <f>IF(Table134[[#This Row],[check]]=1,1,Table134[[#This Row],[A_tree]]*Table134[[#This Row],[اصله مستقل]]/Table134[[#This Row],[مساحت آدرس]])</f>
        <v>1</v>
      </c>
      <c r="L892" s="14">
        <f>IF(Table134[[#This Row],[check]]=1,1,(Table134[[#This Row],[Psh]]+0.15*(1-Table134[[#This Row],[Psh]])))</f>
        <v>1</v>
      </c>
      <c r="M892" s="14">
        <f>IF(Table134[[#This Row],[check]]=1,0.65,1)</f>
        <v>0.65</v>
      </c>
      <c r="N892" s="4">
        <v>1</v>
      </c>
      <c r="O892" s="4">
        <f>IF(Table134[[#This Row],[check]]=1,Table134[[#This Row],[مساحت آدرس]]*Table134[[#This Row],[A0 Inc]],Table134[[#This Row],[A_tree]]*Table134[[#This Row],[اصله مستقل]])</f>
        <v>1375</v>
      </c>
      <c r="P892" s="11">
        <f>IF(Table134[[#This Row],[check]]=1,Table134[[#This Row],[A0]]/Table134[[#This Row],[اصله مستقل]],Table134[[#This Row],[A_tree]])</f>
        <v>6.5476190476190474</v>
      </c>
    </row>
    <row r="893" spans="2:16" ht="18.600000000000001" x14ac:dyDescent="0.3">
      <c r="B893" s="4" t="s">
        <v>1332</v>
      </c>
      <c r="C893" s="4">
        <v>245</v>
      </c>
      <c r="D893" s="4">
        <v>120</v>
      </c>
      <c r="E893" s="4">
        <v>300</v>
      </c>
      <c r="F893" s="4">
        <v>750</v>
      </c>
      <c r="G893" s="2" t="s">
        <v>21</v>
      </c>
      <c r="H893" s="4">
        <v>9</v>
      </c>
      <c r="I893" s="4">
        <f>Table134[[#This Row],[اصله مستقل]]*Table134[[#This Row],[A_tree]]</f>
        <v>1080</v>
      </c>
      <c r="J893" s="4">
        <f>IF(Table134[[#This Row],[n * A_tree ]]&gt;Table134[[#This Row],[مساحت آدرس]],1,0)</f>
        <v>1</v>
      </c>
      <c r="K893" s="8">
        <f>IF(Table134[[#This Row],[check]]=1,1,Table134[[#This Row],[A_tree]]*Table134[[#This Row],[اصله مستقل]]/Table134[[#This Row],[مساحت آدرس]])</f>
        <v>1</v>
      </c>
      <c r="L893" s="14">
        <f>IF(Table134[[#This Row],[check]]=1,1,(Table134[[#This Row],[Psh]]+0.15*(1-Table134[[#This Row],[Psh]])))</f>
        <v>1</v>
      </c>
      <c r="M893" s="14">
        <f>IF(Table134[[#This Row],[check]]=1,0.65,1)</f>
        <v>0.65</v>
      </c>
      <c r="N893" s="4">
        <v>1</v>
      </c>
      <c r="O893" s="4">
        <f>IF(Table134[[#This Row],[check]]=1,Table134[[#This Row],[مساحت آدرس]]*Table134[[#This Row],[A0 Inc]],Table134[[#This Row],[A_tree]]*Table134[[#This Row],[اصله مستقل]])</f>
        <v>750</v>
      </c>
      <c r="P893" s="11">
        <f>IF(Table134[[#This Row],[check]]=1,Table134[[#This Row],[A0]]/Table134[[#This Row],[اصله مستقل]],Table134[[#This Row],[A_tree]])</f>
        <v>6.25</v>
      </c>
    </row>
    <row r="894" spans="2:16" ht="18.600000000000001" x14ac:dyDescent="0.3">
      <c r="B894" s="4" t="s">
        <v>1333</v>
      </c>
      <c r="C894" s="4">
        <v>767</v>
      </c>
      <c r="D894" s="4">
        <v>566</v>
      </c>
      <c r="E894" s="4">
        <v>1600</v>
      </c>
      <c r="F894" s="4">
        <v>6505</v>
      </c>
      <c r="G894" s="2" t="s">
        <v>62</v>
      </c>
      <c r="H894" s="4">
        <v>9</v>
      </c>
      <c r="I894" s="4">
        <f>Table134[[#This Row],[اصله مستقل]]*Table134[[#This Row],[A_tree]]</f>
        <v>5094</v>
      </c>
      <c r="J894" s="4">
        <f>IF(Table134[[#This Row],[n * A_tree ]]&gt;Table134[[#This Row],[مساحت آدرس]],1,0)</f>
        <v>0</v>
      </c>
      <c r="K894" s="8">
        <f>IF(Table134[[#This Row],[check]]=1,1,Table134[[#This Row],[A_tree]]*Table134[[#This Row],[اصله مستقل]]/Table134[[#This Row],[مساحت آدرس]])</f>
        <v>0.78308993082244427</v>
      </c>
      <c r="L894" s="14">
        <f>IF(Table134[[#This Row],[check]]=1,1,(Table134[[#This Row],[Psh]]+0.15*(1-Table134[[#This Row],[Psh]])))</f>
        <v>0.81562644119907768</v>
      </c>
      <c r="M894" s="14">
        <f>IF(Table134[[#This Row],[check]]=1,0.65,1)</f>
        <v>1</v>
      </c>
      <c r="N894" s="4">
        <v>1</v>
      </c>
      <c r="O894" s="4">
        <f>IF(Table134[[#This Row],[check]]=1,Table134[[#This Row],[مساحت آدرس]]*Table134[[#This Row],[A0 Inc]],Table134[[#This Row],[A_tree]]*Table134[[#This Row],[اصله مستقل]])</f>
        <v>5094</v>
      </c>
      <c r="P894" s="11">
        <f>IF(Table134[[#This Row],[check]]=1,Table134[[#This Row],[A0]]/Table134[[#This Row],[اصله مستقل]],Table134[[#This Row],[A_tree]])</f>
        <v>9</v>
      </c>
    </row>
    <row r="895" spans="2:16" ht="18.600000000000001" x14ac:dyDescent="0.3">
      <c r="B895" s="4" t="s">
        <v>1334</v>
      </c>
      <c r="C895" s="4">
        <v>1232</v>
      </c>
      <c r="D895" s="4">
        <v>1232</v>
      </c>
      <c r="E895" s="4">
        <v>2260</v>
      </c>
      <c r="F895" s="4">
        <v>2741</v>
      </c>
      <c r="G895" s="2" t="s">
        <v>21</v>
      </c>
      <c r="H895" s="4">
        <v>9</v>
      </c>
      <c r="I895" s="4">
        <f>Table134[[#This Row],[اصله مستقل]]*Table134[[#This Row],[A_tree]]</f>
        <v>11088</v>
      </c>
      <c r="J895" s="4">
        <f>IF(Table134[[#This Row],[n * A_tree ]]&gt;Table134[[#This Row],[مساحت آدرس]],1,0)</f>
        <v>1</v>
      </c>
      <c r="K895" s="8">
        <f>IF(Table134[[#This Row],[check]]=1,1,Table134[[#This Row],[A_tree]]*Table134[[#This Row],[اصله مستقل]]/Table134[[#This Row],[مساحت آدرس]])</f>
        <v>1</v>
      </c>
      <c r="L895" s="14">
        <f>IF(Table134[[#This Row],[check]]=1,1,(Table134[[#This Row],[Psh]]+0.15*(1-Table134[[#This Row],[Psh]])))</f>
        <v>1</v>
      </c>
      <c r="M895" s="14">
        <f>IF(Table134[[#This Row],[check]]=1,0.65,1)</f>
        <v>0.65</v>
      </c>
      <c r="N895" s="4">
        <v>1</v>
      </c>
      <c r="O895" s="4">
        <f>IF(Table134[[#This Row],[check]]=1,Table134[[#This Row],[مساحت آدرس]]*Table134[[#This Row],[A0 Inc]],Table134[[#This Row],[A_tree]]*Table134[[#This Row],[اصله مستقل]])</f>
        <v>2741</v>
      </c>
      <c r="P895" s="11">
        <f>IF(Table134[[#This Row],[check]]=1,Table134[[#This Row],[A0]]/Table134[[#This Row],[اصله مستقل]],Table134[[#This Row],[A_tree]])</f>
        <v>2.2248376623376624</v>
      </c>
    </row>
    <row r="896" spans="2:16" ht="18.600000000000001" x14ac:dyDescent="0.3">
      <c r="B896" s="4" t="s">
        <v>1336</v>
      </c>
      <c r="C896" s="4">
        <v>1243</v>
      </c>
      <c r="D896" s="4">
        <v>823</v>
      </c>
      <c r="E896" s="4">
        <v>6146</v>
      </c>
      <c r="F896" s="4">
        <v>10183</v>
      </c>
      <c r="G896" s="2" t="s">
        <v>21</v>
      </c>
      <c r="H896" s="4">
        <v>9</v>
      </c>
      <c r="I896" s="4">
        <f>Table134[[#This Row],[اصله مستقل]]*Table134[[#This Row],[A_tree]]</f>
        <v>7407</v>
      </c>
      <c r="J896" s="4">
        <f>IF(Table134[[#This Row],[n * A_tree ]]&gt;Table134[[#This Row],[مساحت آدرس]],1,0)</f>
        <v>0</v>
      </c>
      <c r="K896" s="8">
        <f>IF(Table134[[#This Row],[check]]=1,1,Table134[[#This Row],[A_tree]]*Table134[[#This Row],[اصله مستقل]]/Table134[[#This Row],[مساحت آدرس]])</f>
        <v>0.72738878523028572</v>
      </c>
      <c r="L896" s="14">
        <f>IF(Table134[[#This Row],[check]]=1,1,(Table134[[#This Row],[Psh]]+0.15*(1-Table134[[#This Row],[Psh]])))</f>
        <v>0.76828046744574285</v>
      </c>
      <c r="M896" s="14">
        <f>IF(Table134[[#This Row],[check]]=1,0.65,1)</f>
        <v>1</v>
      </c>
      <c r="N896" s="4">
        <v>1</v>
      </c>
      <c r="O896" s="4">
        <f>IF(Table134[[#This Row],[check]]=1,Table134[[#This Row],[مساحت آدرس]]*Table134[[#This Row],[A0 Inc]],Table134[[#This Row],[A_tree]]*Table134[[#This Row],[اصله مستقل]])</f>
        <v>7407</v>
      </c>
      <c r="P896" s="11">
        <f>IF(Table134[[#This Row],[check]]=1,Table134[[#This Row],[A0]]/Table134[[#This Row],[اصله مستقل]],Table134[[#This Row],[A_tree]])</f>
        <v>9</v>
      </c>
    </row>
    <row r="897" spans="2:16" ht="18.600000000000001" x14ac:dyDescent="0.3">
      <c r="B897" s="4" t="s">
        <v>1337</v>
      </c>
      <c r="C897" s="4">
        <v>620</v>
      </c>
      <c r="D897" s="4">
        <v>225</v>
      </c>
      <c r="E897" s="4">
        <v>1125</v>
      </c>
      <c r="F897" s="4">
        <v>4860</v>
      </c>
      <c r="G897" s="2" t="s">
        <v>21</v>
      </c>
      <c r="H897" s="4">
        <v>9</v>
      </c>
      <c r="I897" s="4">
        <f>Table134[[#This Row],[اصله مستقل]]*Table134[[#This Row],[A_tree]]</f>
        <v>2025</v>
      </c>
      <c r="J897" s="4">
        <f>IF(Table134[[#This Row],[n * A_tree ]]&gt;Table134[[#This Row],[مساحت آدرس]],1,0)</f>
        <v>0</v>
      </c>
      <c r="K897" s="8">
        <f>IF(Table134[[#This Row],[check]]=1,1,Table134[[#This Row],[A_tree]]*Table134[[#This Row],[اصله مستقل]]/Table134[[#This Row],[مساحت آدرس]])</f>
        <v>0.41666666666666669</v>
      </c>
      <c r="L897" s="14">
        <f>IF(Table134[[#This Row],[check]]=1,1,(Table134[[#This Row],[Psh]]+0.15*(1-Table134[[#This Row],[Psh]])))</f>
        <v>0.50416666666666665</v>
      </c>
      <c r="M897" s="14">
        <f>IF(Table134[[#This Row],[check]]=1,0.65,1)</f>
        <v>1</v>
      </c>
      <c r="N897" s="4">
        <v>1</v>
      </c>
      <c r="O897" s="4">
        <f>IF(Table134[[#This Row],[check]]=1,Table134[[#This Row],[مساحت آدرس]]*Table134[[#This Row],[A0 Inc]],Table134[[#This Row],[A_tree]]*Table134[[#This Row],[اصله مستقل]])</f>
        <v>2025</v>
      </c>
      <c r="P897" s="11">
        <f>IF(Table134[[#This Row],[check]]=1,Table134[[#This Row],[A0]]/Table134[[#This Row],[اصله مستقل]],Table134[[#This Row],[A_tree]])</f>
        <v>9</v>
      </c>
    </row>
    <row r="898" spans="2:16" ht="18.600000000000001" x14ac:dyDescent="0.3">
      <c r="B898" s="4" t="s">
        <v>1338</v>
      </c>
      <c r="C898" s="4">
        <v>235</v>
      </c>
      <c r="D898" s="4">
        <v>34</v>
      </c>
      <c r="E898" s="4">
        <v>170</v>
      </c>
      <c r="F898" s="4">
        <v>1470</v>
      </c>
      <c r="G898" s="2" t="s">
        <v>21</v>
      </c>
      <c r="H898" s="4">
        <v>9</v>
      </c>
      <c r="I898" s="4">
        <f>Table134[[#This Row],[اصله مستقل]]*Table134[[#This Row],[A_tree]]</f>
        <v>306</v>
      </c>
      <c r="J898" s="4">
        <f>IF(Table134[[#This Row],[n * A_tree ]]&gt;Table134[[#This Row],[مساحت آدرس]],1,0)</f>
        <v>0</v>
      </c>
      <c r="K898" s="8">
        <f>IF(Table134[[#This Row],[check]]=1,1,Table134[[#This Row],[A_tree]]*Table134[[#This Row],[اصله مستقل]]/Table134[[#This Row],[مساحت آدرس]])</f>
        <v>0.20816326530612245</v>
      </c>
      <c r="L898" s="14">
        <f>IF(Table134[[#This Row],[check]]=1,1,(Table134[[#This Row],[Psh]]+0.15*(1-Table134[[#This Row],[Psh]])))</f>
        <v>0.32693877551020406</v>
      </c>
      <c r="M898" s="14">
        <f>IF(Table134[[#This Row],[check]]=1,0.65,1)</f>
        <v>1</v>
      </c>
      <c r="N898" s="4">
        <v>1</v>
      </c>
      <c r="O898" s="4">
        <f>IF(Table134[[#This Row],[check]]=1,Table134[[#This Row],[مساحت آدرس]]*Table134[[#This Row],[A0 Inc]],Table134[[#This Row],[A_tree]]*Table134[[#This Row],[اصله مستقل]])</f>
        <v>306</v>
      </c>
      <c r="P898" s="11">
        <f>IF(Table134[[#This Row],[check]]=1,Table134[[#This Row],[A0]]/Table134[[#This Row],[اصله مستقل]],Table134[[#This Row],[A_tree]])</f>
        <v>9</v>
      </c>
    </row>
    <row r="899" spans="2:16" ht="18.600000000000001" x14ac:dyDescent="0.3">
      <c r="B899" s="4" t="s">
        <v>1339</v>
      </c>
      <c r="C899" s="4">
        <v>142</v>
      </c>
      <c r="D899" s="4">
        <v>710</v>
      </c>
      <c r="E899" s="4">
        <v>142</v>
      </c>
      <c r="F899" s="4">
        <v>822</v>
      </c>
      <c r="G899" s="2" t="s">
        <v>21</v>
      </c>
      <c r="H899" s="4">
        <v>9</v>
      </c>
      <c r="I899" s="4">
        <f>Table134[[#This Row],[اصله مستقل]]*Table134[[#This Row],[A_tree]]</f>
        <v>6390</v>
      </c>
      <c r="J899" s="4">
        <f>IF(Table134[[#This Row],[n * A_tree ]]&gt;Table134[[#This Row],[مساحت آدرس]],1,0)</f>
        <v>1</v>
      </c>
      <c r="K899" s="8">
        <f>IF(Table134[[#This Row],[check]]=1,1,Table134[[#This Row],[A_tree]]*Table134[[#This Row],[اصله مستقل]]/Table134[[#This Row],[مساحت آدرس]])</f>
        <v>1</v>
      </c>
      <c r="L899" s="14">
        <f>IF(Table134[[#This Row],[check]]=1,1,(Table134[[#This Row],[Psh]]+0.15*(1-Table134[[#This Row],[Psh]])))</f>
        <v>1</v>
      </c>
      <c r="M899" s="14">
        <f>IF(Table134[[#This Row],[check]]=1,0.65,1)</f>
        <v>0.65</v>
      </c>
      <c r="N899" s="4">
        <v>1</v>
      </c>
      <c r="O899" s="4">
        <f>IF(Table134[[#This Row],[check]]=1,Table134[[#This Row],[مساحت آدرس]]*Table134[[#This Row],[A0 Inc]],Table134[[#This Row],[A_tree]]*Table134[[#This Row],[اصله مستقل]])</f>
        <v>822</v>
      </c>
      <c r="P899" s="11">
        <f>IF(Table134[[#This Row],[check]]=1,Table134[[#This Row],[A0]]/Table134[[#This Row],[اصله مستقل]],Table134[[#This Row],[A_tree]])</f>
        <v>1.1577464788732394</v>
      </c>
    </row>
    <row r="900" spans="2:16" ht="18.600000000000001" x14ac:dyDescent="0.3">
      <c r="B900" s="4" t="s">
        <v>1340</v>
      </c>
      <c r="C900" s="4">
        <v>3011</v>
      </c>
      <c r="D900" s="4">
        <v>922</v>
      </c>
      <c r="E900" s="4">
        <v>3622</v>
      </c>
      <c r="F900" s="4">
        <v>21875</v>
      </c>
      <c r="G900" s="2" t="s">
        <v>300</v>
      </c>
      <c r="H900" s="4">
        <v>9</v>
      </c>
      <c r="I900" s="4">
        <f>Table134[[#This Row],[اصله مستقل]]*Table134[[#This Row],[A_tree]]</f>
        <v>8298</v>
      </c>
      <c r="J900" s="4">
        <f>IF(Table134[[#This Row],[n * A_tree ]]&gt;Table134[[#This Row],[مساحت آدرس]],1,0)</f>
        <v>0</v>
      </c>
      <c r="K900" s="8">
        <f>IF(Table134[[#This Row],[check]]=1,1,Table134[[#This Row],[A_tree]]*Table134[[#This Row],[اصله مستقل]]/Table134[[#This Row],[مساحت آدرس]])</f>
        <v>0.37933714285714287</v>
      </c>
      <c r="L900" s="14">
        <f>IF(Table134[[#This Row],[check]]=1,1,(Table134[[#This Row],[Psh]]+0.15*(1-Table134[[#This Row],[Psh]])))</f>
        <v>0.47243657142857143</v>
      </c>
      <c r="M900" s="14">
        <f>IF(Table134[[#This Row],[check]]=1,0.65,1)</f>
        <v>1</v>
      </c>
      <c r="N900" s="4">
        <v>1</v>
      </c>
      <c r="O900" s="4">
        <f>IF(Table134[[#This Row],[check]]=1,Table134[[#This Row],[مساحت آدرس]]*Table134[[#This Row],[A0 Inc]],Table134[[#This Row],[A_tree]]*Table134[[#This Row],[اصله مستقل]])</f>
        <v>8298</v>
      </c>
      <c r="P900" s="11">
        <f>IF(Table134[[#This Row],[check]]=1,Table134[[#This Row],[A0]]/Table134[[#This Row],[اصله مستقل]],Table134[[#This Row],[A_tree]])</f>
        <v>9</v>
      </c>
    </row>
    <row r="901" spans="2:16" ht="18.600000000000001" x14ac:dyDescent="0.3">
      <c r="B901" s="4" t="s">
        <v>1345</v>
      </c>
      <c r="C901" s="4">
        <v>187</v>
      </c>
      <c r="D901" s="4">
        <v>5</v>
      </c>
      <c r="E901" s="4">
        <v>12</v>
      </c>
      <c r="F901" s="4">
        <v>1508</v>
      </c>
      <c r="G901" s="2" t="s">
        <v>62</v>
      </c>
      <c r="H901" s="4">
        <v>9</v>
      </c>
      <c r="I901" s="4">
        <f>Table134[[#This Row],[اصله مستقل]]*Table134[[#This Row],[A_tree]]</f>
        <v>45</v>
      </c>
      <c r="J901" s="4">
        <f>IF(Table134[[#This Row],[n * A_tree ]]&gt;Table134[[#This Row],[مساحت آدرس]],1,0)</f>
        <v>0</v>
      </c>
      <c r="K901" s="8">
        <f>IF(Table134[[#This Row],[check]]=1,1,Table134[[#This Row],[A_tree]]*Table134[[#This Row],[اصله مستقل]]/Table134[[#This Row],[مساحت آدرس]])</f>
        <v>2.9840848806366047E-2</v>
      </c>
      <c r="L901" s="14">
        <f>IF(Table134[[#This Row],[check]]=1,1,(Table134[[#This Row],[Psh]]+0.15*(1-Table134[[#This Row],[Psh]])))</f>
        <v>0.17536472148541116</v>
      </c>
      <c r="M901" s="14">
        <f>IF(Table134[[#This Row],[check]]=1,0.65,1)</f>
        <v>1</v>
      </c>
      <c r="N901" s="4">
        <v>1</v>
      </c>
      <c r="O901" s="4">
        <f>IF(Table134[[#This Row],[check]]=1,Table134[[#This Row],[مساحت آدرس]]*Table134[[#This Row],[A0 Inc]],Table134[[#This Row],[A_tree]]*Table134[[#This Row],[اصله مستقل]])</f>
        <v>45</v>
      </c>
      <c r="P901" s="11">
        <f>IF(Table134[[#This Row],[check]]=1,Table134[[#This Row],[A0]]/Table134[[#This Row],[اصله مستقل]],Table134[[#This Row],[A_tree]])</f>
        <v>9</v>
      </c>
    </row>
    <row r="902" spans="2:16" ht="18.600000000000001" x14ac:dyDescent="0.3">
      <c r="B902" s="4" t="s">
        <v>1346</v>
      </c>
      <c r="C902" s="4">
        <v>41</v>
      </c>
      <c r="D902" s="4">
        <v>18</v>
      </c>
      <c r="E902" s="4">
        <v>90</v>
      </c>
      <c r="F902" s="4">
        <v>515</v>
      </c>
      <c r="G902" s="2" t="s">
        <v>62</v>
      </c>
      <c r="H902" s="4">
        <v>9</v>
      </c>
      <c r="I902" s="4">
        <f>Table134[[#This Row],[اصله مستقل]]*Table134[[#This Row],[A_tree]]</f>
        <v>162</v>
      </c>
      <c r="J902" s="4">
        <f>IF(Table134[[#This Row],[n * A_tree ]]&gt;Table134[[#This Row],[مساحت آدرس]],1,0)</f>
        <v>0</v>
      </c>
      <c r="K902" s="8">
        <f>IF(Table134[[#This Row],[check]]=1,1,Table134[[#This Row],[A_tree]]*Table134[[#This Row],[اصله مستقل]]/Table134[[#This Row],[مساحت آدرس]])</f>
        <v>0.31456310679611649</v>
      </c>
      <c r="L902" s="14">
        <f>IF(Table134[[#This Row],[check]]=1,1,(Table134[[#This Row],[Psh]]+0.15*(1-Table134[[#This Row],[Psh]])))</f>
        <v>0.41737864077669901</v>
      </c>
      <c r="M902" s="14">
        <f>IF(Table134[[#This Row],[check]]=1,0.65,1)</f>
        <v>1</v>
      </c>
      <c r="N902" s="4">
        <v>1</v>
      </c>
      <c r="O902" s="4">
        <f>IF(Table134[[#This Row],[check]]=1,Table134[[#This Row],[مساحت آدرس]]*Table134[[#This Row],[A0 Inc]],Table134[[#This Row],[A_tree]]*Table134[[#This Row],[اصله مستقل]])</f>
        <v>162</v>
      </c>
      <c r="P902" s="11">
        <f>IF(Table134[[#This Row],[check]]=1,Table134[[#This Row],[A0]]/Table134[[#This Row],[اصله مستقل]],Table134[[#This Row],[A_tree]])</f>
        <v>9</v>
      </c>
    </row>
    <row r="903" spans="2:16" ht="18.600000000000001" x14ac:dyDescent="0.3">
      <c r="B903" s="4" t="s">
        <v>1347</v>
      </c>
      <c r="C903" s="4">
        <v>79</v>
      </c>
      <c r="D903" s="4">
        <v>79</v>
      </c>
      <c r="E903" s="4">
        <v>550</v>
      </c>
      <c r="F903" s="4">
        <v>550</v>
      </c>
      <c r="G903" s="2" t="s">
        <v>62</v>
      </c>
      <c r="H903" s="4">
        <v>9</v>
      </c>
      <c r="I903" s="4">
        <f>Table134[[#This Row],[اصله مستقل]]*Table134[[#This Row],[A_tree]]</f>
        <v>711</v>
      </c>
      <c r="J903" s="4">
        <f>IF(Table134[[#This Row],[n * A_tree ]]&gt;Table134[[#This Row],[مساحت آدرس]],1,0)</f>
        <v>1</v>
      </c>
      <c r="K903" s="8">
        <f>IF(Table134[[#This Row],[check]]=1,1,Table134[[#This Row],[A_tree]]*Table134[[#This Row],[اصله مستقل]]/Table134[[#This Row],[مساحت آدرس]])</f>
        <v>1</v>
      </c>
      <c r="L903" s="14">
        <f>IF(Table134[[#This Row],[check]]=1,1,(Table134[[#This Row],[Psh]]+0.15*(1-Table134[[#This Row],[Psh]])))</f>
        <v>1</v>
      </c>
      <c r="M903" s="14">
        <f>IF(Table134[[#This Row],[check]]=1,0.65,1)</f>
        <v>0.65</v>
      </c>
      <c r="N903" s="4">
        <v>1</v>
      </c>
      <c r="O903" s="4">
        <f>IF(Table134[[#This Row],[check]]=1,Table134[[#This Row],[مساحت آدرس]]*Table134[[#This Row],[A0 Inc]],Table134[[#This Row],[A_tree]]*Table134[[#This Row],[اصله مستقل]])</f>
        <v>550</v>
      </c>
      <c r="P903" s="11">
        <f>IF(Table134[[#This Row],[check]]=1,Table134[[#This Row],[A0]]/Table134[[#This Row],[اصله مستقل]],Table134[[#This Row],[A_tree]])</f>
        <v>6.962025316455696</v>
      </c>
    </row>
    <row r="904" spans="2:16" ht="18.600000000000001" x14ac:dyDescent="0.3">
      <c r="B904" s="4" t="s">
        <v>1348</v>
      </c>
      <c r="C904" s="4">
        <v>78</v>
      </c>
      <c r="D904" s="4">
        <v>35</v>
      </c>
      <c r="E904" s="4">
        <v>140</v>
      </c>
      <c r="F904" s="4">
        <v>1388</v>
      </c>
      <c r="G904" s="2" t="s">
        <v>66</v>
      </c>
      <c r="H904" s="4">
        <v>9</v>
      </c>
      <c r="I904" s="4">
        <f>Table134[[#This Row],[اصله مستقل]]*Table134[[#This Row],[A_tree]]</f>
        <v>315</v>
      </c>
      <c r="J904" s="4">
        <f>IF(Table134[[#This Row],[n * A_tree ]]&gt;Table134[[#This Row],[مساحت آدرس]],1,0)</f>
        <v>0</v>
      </c>
      <c r="K904" s="8">
        <f>IF(Table134[[#This Row],[check]]=1,1,Table134[[#This Row],[A_tree]]*Table134[[#This Row],[اصله مستقل]]/Table134[[#This Row],[مساحت آدرس]])</f>
        <v>0.22694524495677235</v>
      </c>
      <c r="L904" s="14">
        <f>IF(Table134[[#This Row],[check]]=1,1,(Table134[[#This Row],[Psh]]+0.15*(1-Table134[[#This Row],[Psh]])))</f>
        <v>0.34290345821325652</v>
      </c>
      <c r="M904" s="14">
        <f>IF(Table134[[#This Row],[check]]=1,0.65,1)</f>
        <v>1</v>
      </c>
      <c r="N904" s="4">
        <v>1</v>
      </c>
      <c r="O904" s="4">
        <f>IF(Table134[[#This Row],[check]]=1,Table134[[#This Row],[مساحت آدرس]]*Table134[[#This Row],[A0 Inc]],Table134[[#This Row],[A_tree]]*Table134[[#This Row],[اصله مستقل]])</f>
        <v>315</v>
      </c>
      <c r="P904" s="11">
        <f>IF(Table134[[#This Row],[check]]=1,Table134[[#This Row],[A0]]/Table134[[#This Row],[اصله مستقل]],Table134[[#This Row],[A_tree]])</f>
        <v>9</v>
      </c>
    </row>
    <row r="905" spans="2:16" ht="18.600000000000001" x14ac:dyDescent="0.3">
      <c r="B905" s="4" t="s">
        <v>1349</v>
      </c>
      <c r="C905" s="4">
        <v>57</v>
      </c>
      <c r="D905" s="4">
        <v>35</v>
      </c>
      <c r="E905" s="4">
        <v>140</v>
      </c>
      <c r="F905" s="4">
        <v>1533</v>
      </c>
      <c r="G905" s="2" t="s">
        <v>66</v>
      </c>
      <c r="H905" s="4">
        <v>9</v>
      </c>
      <c r="I905" s="4">
        <f>Table134[[#This Row],[اصله مستقل]]*Table134[[#This Row],[A_tree]]</f>
        <v>315</v>
      </c>
      <c r="J905" s="4">
        <f>IF(Table134[[#This Row],[n * A_tree ]]&gt;Table134[[#This Row],[مساحت آدرس]],1,0)</f>
        <v>0</v>
      </c>
      <c r="K905" s="8">
        <f>IF(Table134[[#This Row],[check]]=1,1,Table134[[#This Row],[A_tree]]*Table134[[#This Row],[اصله مستقل]]/Table134[[#This Row],[مساحت آدرس]])</f>
        <v>0.20547945205479451</v>
      </c>
      <c r="L905" s="14">
        <f>IF(Table134[[#This Row],[check]]=1,1,(Table134[[#This Row],[Psh]]+0.15*(1-Table134[[#This Row],[Psh]])))</f>
        <v>0.32465753424657534</v>
      </c>
      <c r="M905" s="14">
        <f>IF(Table134[[#This Row],[check]]=1,0.65,1)</f>
        <v>1</v>
      </c>
      <c r="N905" s="4">
        <v>1</v>
      </c>
      <c r="O905" s="4">
        <f>IF(Table134[[#This Row],[check]]=1,Table134[[#This Row],[مساحت آدرس]]*Table134[[#This Row],[A0 Inc]],Table134[[#This Row],[A_tree]]*Table134[[#This Row],[اصله مستقل]])</f>
        <v>315</v>
      </c>
      <c r="P905" s="11">
        <f>IF(Table134[[#This Row],[check]]=1,Table134[[#This Row],[A0]]/Table134[[#This Row],[اصله مستقل]],Table134[[#This Row],[A_tree]])</f>
        <v>9</v>
      </c>
    </row>
    <row r="906" spans="2:16" ht="18.600000000000001" x14ac:dyDescent="0.3">
      <c r="B906" s="4" t="s">
        <v>1354</v>
      </c>
      <c r="C906" s="4">
        <v>153</v>
      </c>
      <c r="D906" s="4">
        <v>43</v>
      </c>
      <c r="E906" s="4">
        <v>680</v>
      </c>
      <c r="F906" s="4">
        <v>3822</v>
      </c>
      <c r="G906" s="2" t="s">
        <v>3</v>
      </c>
      <c r="H906" s="4">
        <v>9</v>
      </c>
      <c r="I906" s="4">
        <f>Table134[[#This Row],[اصله مستقل]]*Table134[[#This Row],[A_tree]]</f>
        <v>387</v>
      </c>
      <c r="J906" s="4">
        <f>IF(Table134[[#This Row],[n * A_tree ]]&gt;Table134[[#This Row],[مساحت آدرس]],1,0)</f>
        <v>0</v>
      </c>
      <c r="K906" s="8">
        <f>IF(Table134[[#This Row],[check]]=1,1,Table134[[#This Row],[A_tree]]*Table134[[#This Row],[اصله مستقل]]/Table134[[#This Row],[مساحت آدرس]])</f>
        <v>0.10125588697017268</v>
      </c>
      <c r="L906" s="14">
        <f>IF(Table134[[#This Row],[check]]=1,1,(Table134[[#This Row],[Psh]]+0.15*(1-Table134[[#This Row],[Psh]])))</f>
        <v>0.23606750392464676</v>
      </c>
      <c r="M906" s="14">
        <f>IF(Table134[[#This Row],[check]]=1,0.65,1)</f>
        <v>1</v>
      </c>
      <c r="N906" s="4">
        <v>1</v>
      </c>
      <c r="O906" s="4">
        <f>IF(Table134[[#This Row],[check]]=1,Table134[[#This Row],[مساحت آدرس]]*Table134[[#This Row],[A0 Inc]],Table134[[#This Row],[A_tree]]*Table134[[#This Row],[اصله مستقل]])</f>
        <v>387</v>
      </c>
      <c r="P906" s="11">
        <f>IF(Table134[[#This Row],[check]]=1,Table134[[#This Row],[A0]]/Table134[[#This Row],[اصله مستقل]],Table134[[#This Row],[A_tree]])</f>
        <v>9</v>
      </c>
    </row>
    <row r="907" spans="2:16" ht="18.600000000000001" x14ac:dyDescent="0.3">
      <c r="B907" s="4" t="s">
        <v>1355</v>
      </c>
      <c r="C907" s="4">
        <v>244</v>
      </c>
      <c r="D907" s="4">
        <v>74</v>
      </c>
      <c r="E907" s="4">
        <v>468</v>
      </c>
      <c r="F907" s="4">
        <v>1047</v>
      </c>
      <c r="G907" s="2" t="s">
        <v>21</v>
      </c>
      <c r="H907" s="4">
        <v>9</v>
      </c>
      <c r="I907" s="4">
        <f>Table134[[#This Row],[اصله مستقل]]*Table134[[#This Row],[A_tree]]</f>
        <v>666</v>
      </c>
      <c r="J907" s="4">
        <f>IF(Table134[[#This Row],[n * A_tree ]]&gt;Table134[[#This Row],[مساحت آدرس]],1,0)</f>
        <v>0</v>
      </c>
      <c r="K907" s="8">
        <f>IF(Table134[[#This Row],[check]]=1,1,Table134[[#This Row],[A_tree]]*Table134[[#This Row],[اصله مستقل]]/Table134[[#This Row],[مساحت آدرس]])</f>
        <v>0.63610315186246413</v>
      </c>
      <c r="L907" s="14">
        <f>IF(Table134[[#This Row],[check]]=1,1,(Table134[[#This Row],[Psh]]+0.15*(1-Table134[[#This Row],[Psh]])))</f>
        <v>0.69068767908309447</v>
      </c>
      <c r="M907" s="14">
        <f>IF(Table134[[#This Row],[check]]=1,0.65,1)</f>
        <v>1</v>
      </c>
      <c r="N907" s="4">
        <v>1</v>
      </c>
      <c r="O907" s="4">
        <f>IF(Table134[[#This Row],[check]]=1,Table134[[#This Row],[مساحت آدرس]]*Table134[[#This Row],[A0 Inc]],Table134[[#This Row],[A_tree]]*Table134[[#This Row],[اصله مستقل]])</f>
        <v>666</v>
      </c>
      <c r="P907" s="11">
        <f>IF(Table134[[#This Row],[check]]=1,Table134[[#This Row],[A0]]/Table134[[#This Row],[اصله مستقل]],Table134[[#This Row],[A_tree]])</f>
        <v>9</v>
      </c>
    </row>
    <row r="908" spans="2:16" ht="18.600000000000001" x14ac:dyDescent="0.3">
      <c r="B908" s="4" t="s">
        <v>1356</v>
      </c>
      <c r="C908" s="4">
        <v>411</v>
      </c>
      <c r="D908" s="4">
        <v>79</v>
      </c>
      <c r="E908" s="4">
        <v>650</v>
      </c>
      <c r="F908" s="4">
        <v>990</v>
      </c>
      <c r="G908" s="2" t="s">
        <v>21</v>
      </c>
      <c r="H908" s="4">
        <v>9</v>
      </c>
      <c r="I908" s="4">
        <f>Table134[[#This Row],[اصله مستقل]]*Table134[[#This Row],[A_tree]]</f>
        <v>711</v>
      </c>
      <c r="J908" s="4">
        <f>IF(Table134[[#This Row],[n * A_tree ]]&gt;Table134[[#This Row],[مساحت آدرس]],1,0)</f>
        <v>0</v>
      </c>
      <c r="K908" s="8">
        <f>IF(Table134[[#This Row],[check]]=1,1,Table134[[#This Row],[A_tree]]*Table134[[#This Row],[اصله مستقل]]/Table134[[#This Row],[مساحت آدرس]])</f>
        <v>0.71818181818181814</v>
      </c>
      <c r="L908" s="14">
        <f>IF(Table134[[#This Row],[check]]=1,1,(Table134[[#This Row],[Psh]]+0.15*(1-Table134[[#This Row],[Psh]])))</f>
        <v>0.76045454545454538</v>
      </c>
      <c r="M908" s="14">
        <f>IF(Table134[[#This Row],[check]]=1,0.65,1)</f>
        <v>1</v>
      </c>
      <c r="N908" s="4">
        <v>1</v>
      </c>
      <c r="O908" s="4">
        <f>IF(Table134[[#This Row],[check]]=1,Table134[[#This Row],[مساحت آدرس]]*Table134[[#This Row],[A0 Inc]],Table134[[#This Row],[A_tree]]*Table134[[#This Row],[اصله مستقل]])</f>
        <v>711</v>
      </c>
      <c r="P908" s="11">
        <f>IF(Table134[[#This Row],[check]]=1,Table134[[#This Row],[A0]]/Table134[[#This Row],[اصله مستقل]],Table134[[#This Row],[A_tree]])</f>
        <v>9</v>
      </c>
    </row>
    <row r="909" spans="2:16" ht="18.600000000000001" x14ac:dyDescent="0.3">
      <c r="B909" s="4" t="s">
        <v>1368</v>
      </c>
      <c r="C909" s="4">
        <v>213</v>
      </c>
      <c r="D909" s="4">
        <v>174</v>
      </c>
      <c r="E909" s="4">
        <v>696</v>
      </c>
      <c r="F909" s="4">
        <v>831</v>
      </c>
      <c r="G909" s="2" t="s">
        <v>21</v>
      </c>
      <c r="H909" s="4">
        <v>9</v>
      </c>
      <c r="I909" s="4">
        <f>Table134[[#This Row],[اصله مستقل]]*Table134[[#This Row],[A_tree]]</f>
        <v>1566</v>
      </c>
      <c r="J909" s="4">
        <f>IF(Table134[[#This Row],[n * A_tree ]]&gt;Table134[[#This Row],[مساحت آدرس]],1,0)</f>
        <v>1</v>
      </c>
      <c r="K909" s="8">
        <f>IF(Table134[[#This Row],[check]]=1,1,Table134[[#This Row],[A_tree]]*Table134[[#This Row],[اصله مستقل]]/Table134[[#This Row],[مساحت آدرس]])</f>
        <v>1</v>
      </c>
      <c r="L909" s="14">
        <f>IF(Table134[[#This Row],[check]]=1,1,(Table134[[#This Row],[Psh]]+0.15*(1-Table134[[#This Row],[Psh]])))</f>
        <v>1</v>
      </c>
      <c r="M909" s="14">
        <f>IF(Table134[[#This Row],[check]]=1,0.65,1)</f>
        <v>0.65</v>
      </c>
      <c r="N909" s="4">
        <v>1</v>
      </c>
      <c r="O909" s="4">
        <f>IF(Table134[[#This Row],[check]]=1,Table134[[#This Row],[مساحت آدرس]]*Table134[[#This Row],[A0 Inc]],Table134[[#This Row],[A_tree]]*Table134[[#This Row],[اصله مستقل]])</f>
        <v>831</v>
      </c>
      <c r="P909" s="11">
        <f>IF(Table134[[#This Row],[check]]=1,Table134[[#This Row],[A0]]/Table134[[#This Row],[اصله مستقل]],Table134[[#This Row],[A_tree]])</f>
        <v>4.7758620689655169</v>
      </c>
    </row>
    <row r="910" spans="2:16" ht="18.600000000000001" x14ac:dyDescent="0.3">
      <c r="B910" s="4" t="s">
        <v>1369</v>
      </c>
      <c r="C910" s="4">
        <v>402</v>
      </c>
      <c r="D910" s="4">
        <v>86</v>
      </c>
      <c r="E910" s="4">
        <v>545</v>
      </c>
      <c r="F910" s="4">
        <v>1473</v>
      </c>
      <c r="G910" s="2" t="s">
        <v>21</v>
      </c>
      <c r="H910" s="4">
        <v>9</v>
      </c>
      <c r="I910" s="4">
        <f>Table134[[#This Row],[اصله مستقل]]*Table134[[#This Row],[A_tree]]</f>
        <v>774</v>
      </c>
      <c r="J910" s="4">
        <f>IF(Table134[[#This Row],[n * A_tree ]]&gt;Table134[[#This Row],[مساحت آدرس]],1,0)</f>
        <v>0</v>
      </c>
      <c r="K910" s="8">
        <f>IF(Table134[[#This Row],[check]]=1,1,Table134[[#This Row],[A_tree]]*Table134[[#This Row],[اصله مستقل]]/Table134[[#This Row],[مساحت آدرس]])</f>
        <v>0.52545824847250511</v>
      </c>
      <c r="L910" s="14">
        <f>IF(Table134[[#This Row],[check]]=1,1,(Table134[[#This Row],[Psh]]+0.15*(1-Table134[[#This Row],[Psh]])))</f>
        <v>0.59663951120162939</v>
      </c>
      <c r="M910" s="14">
        <f>IF(Table134[[#This Row],[check]]=1,0.65,1)</f>
        <v>1</v>
      </c>
      <c r="N910" s="4">
        <v>1</v>
      </c>
      <c r="O910" s="4">
        <f>IF(Table134[[#This Row],[check]]=1,Table134[[#This Row],[مساحت آدرس]]*Table134[[#This Row],[A0 Inc]],Table134[[#This Row],[A_tree]]*Table134[[#This Row],[اصله مستقل]])</f>
        <v>774</v>
      </c>
      <c r="P910" s="11">
        <f>IF(Table134[[#This Row],[check]]=1,Table134[[#This Row],[A0]]/Table134[[#This Row],[اصله مستقل]],Table134[[#This Row],[A_tree]])</f>
        <v>9</v>
      </c>
    </row>
    <row r="911" spans="2:16" ht="18.600000000000001" x14ac:dyDescent="0.3">
      <c r="B911" s="4" t="s">
        <v>1370</v>
      </c>
      <c r="C911" s="4">
        <v>1411</v>
      </c>
      <c r="D911" s="4">
        <v>420</v>
      </c>
      <c r="E911" s="4">
        <v>1680</v>
      </c>
      <c r="F911" s="4">
        <v>4952</v>
      </c>
      <c r="G911" s="2" t="s">
        <v>21</v>
      </c>
      <c r="H911" s="4">
        <v>9</v>
      </c>
      <c r="I911" s="4">
        <f>Table134[[#This Row],[اصله مستقل]]*Table134[[#This Row],[A_tree]]</f>
        <v>3780</v>
      </c>
      <c r="J911" s="4">
        <f>IF(Table134[[#This Row],[n * A_tree ]]&gt;Table134[[#This Row],[مساحت آدرس]],1,0)</f>
        <v>0</v>
      </c>
      <c r="K911" s="8">
        <f>IF(Table134[[#This Row],[check]]=1,1,Table134[[#This Row],[A_tree]]*Table134[[#This Row],[اصله مستقل]]/Table134[[#This Row],[مساحت آدرس]])</f>
        <v>0.76332794830371564</v>
      </c>
      <c r="L911" s="14">
        <f>IF(Table134[[#This Row],[check]]=1,1,(Table134[[#This Row],[Psh]]+0.15*(1-Table134[[#This Row],[Psh]])))</f>
        <v>0.79882875605815828</v>
      </c>
      <c r="M911" s="14">
        <f>IF(Table134[[#This Row],[check]]=1,0.65,1)</f>
        <v>1</v>
      </c>
      <c r="N911" s="4">
        <v>1</v>
      </c>
      <c r="O911" s="4">
        <f>IF(Table134[[#This Row],[check]]=1,Table134[[#This Row],[مساحت آدرس]]*Table134[[#This Row],[A0 Inc]],Table134[[#This Row],[A_tree]]*Table134[[#This Row],[اصله مستقل]])</f>
        <v>3780</v>
      </c>
      <c r="P911" s="11">
        <f>IF(Table134[[#This Row],[check]]=1,Table134[[#This Row],[A0]]/Table134[[#This Row],[اصله مستقل]],Table134[[#This Row],[A_tree]])</f>
        <v>9</v>
      </c>
    </row>
    <row r="912" spans="2:16" ht="18.600000000000001" x14ac:dyDescent="0.3">
      <c r="B912" s="4" t="s">
        <v>1371</v>
      </c>
      <c r="C912" s="4">
        <v>417</v>
      </c>
      <c r="D912" s="4">
        <v>192</v>
      </c>
      <c r="E912" s="4">
        <v>1260</v>
      </c>
      <c r="F912" s="4">
        <v>2045</v>
      </c>
      <c r="G912" s="2" t="s">
        <v>21</v>
      </c>
      <c r="H912" s="4">
        <v>9</v>
      </c>
      <c r="I912" s="4">
        <f>Table134[[#This Row],[اصله مستقل]]*Table134[[#This Row],[A_tree]]</f>
        <v>1728</v>
      </c>
      <c r="J912" s="4">
        <f>IF(Table134[[#This Row],[n * A_tree ]]&gt;Table134[[#This Row],[مساحت آدرس]],1,0)</f>
        <v>0</v>
      </c>
      <c r="K912" s="8">
        <f>IF(Table134[[#This Row],[check]]=1,1,Table134[[#This Row],[A_tree]]*Table134[[#This Row],[اصله مستقل]]/Table134[[#This Row],[مساحت آدرس]])</f>
        <v>0.84498777506112466</v>
      </c>
      <c r="L912" s="14">
        <f>IF(Table134[[#This Row],[check]]=1,1,(Table134[[#This Row],[Psh]]+0.15*(1-Table134[[#This Row],[Psh]])))</f>
        <v>0.86823960880195594</v>
      </c>
      <c r="M912" s="14">
        <f>IF(Table134[[#This Row],[check]]=1,0.65,1)</f>
        <v>1</v>
      </c>
      <c r="N912" s="4">
        <v>1</v>
      </c>
      <c r="O912" s="4">
        <f>IF(Table134[[#This Row],[check]]=1,Table134[[#This Row],[مساحت آدرس]]*Table134[[#This Row],[A0 Inc]],Table134[[#This Row],[A_tree]]*Table134[[#This Row],[اصله مستقل]])</f>
        <v>1728</v>
      </c>
      <c r="P912" s="11">
        <f>IF(Table134[[#This Row],[check]]=1,Table134[[#This Row],[A0]]/Table134[[#This Row],[اصله مستقل]],Table134[[#This Row],[A_tree]])</f>
        <v>9</v>
      </c>
    </row>
    <row r="913" spans="2:16" ht="18.600000000000001" x14ac:dyDescent="0.3">
      <c r="B913" s="4" t="s">
        <v>1372</v>
      </c>
      <c r="C913" s="4">
        <v>213</v>
      </c>
      <c r="D913" s="4">
        <v>53</v>
      </c>
      <c r="E913" s="4">
        <v>212</v>
      </c>
      <c r="F913" s="4">
        <v>315</v>
      </c>
      <c r="G913" s="2" t="s">
        <v>21</v>
      </c>
      <c r="H913" s="4">
        <v>9</v>
      </c>
      <c r="I913" s="4">
        <f>Table134[[#This Row],[اصله مستقل]]*Table134[[#This Row],[A_tree]]</f>
        <v>477</v>
      </c>
      <c r="J913" s="4">
        <f>IF(Table134[[#This Row],[n * A_tree ]]&gt;Table134[[#This Row],[مساحت آدرس]],1,0)</f>
        <v>1</v>
      </c>
      <c r="K913" s="8">
        <f>IF(Table134[[#This Row],[check]]=1,1,Table134[[#This Row],[A_tree]]*Table134[[#This Row],[اصله مستقل]]/Table134[[#This Row],[مساحت آدرس]])</f>
        <v>1</v>
      </c>
      <c r="L913" s="14">
        <f>IF(Table134[[#This Row],[check]]=1,1,(Table134[[#This Row],[Psh]]+0.15*(1-Table134[[#This Row],[Psh]])))</f>
        <v>1</v>
      </c>
      <c r="M913" s="14">
        <f>IF(Table134[[#This Row],[check]]=1,0.65,1)</f>
        <v>0.65</v>
      </c>
      <c r="N913" s="4">
        <v>1</v>
      </c>
      <c r="O913" s="4">
        <f>IF(Table134[[#This Row],[check]]=1,Table134[[#This Row],[مساحت آدرس]]*Table134[[#This Row],[A0 Inc]],Table134[[#This Row],[A_tree]]*Table134[[#This Row],[اصله مستقل]])</f>
        <v>315</v>
      </c>
      <c r="P913" s="11">
        <f>IF(Table134[[#This Row],[check]]=1,Table134[[#This Row],[A0]]/Table134[[#This Row],[اصله مستقل]],Table134[[#This Row],[A_tree]])</f>
        <v>5.9433962264150946</v>
      </c>
    </row>
    <row r="914" spans="2:16" ht="18.600000000000001" x14ac:dyDescent="0.3">
      <c r="B914" s="4" t="s">
        <v>1373</v>
      </c>
      <c r="C914" s="4">
        <v>509</v>
      </c>
      <c r="D914" s="4">
        <v>365</v>
      </c>
      <c r="E914" s="4">
        <v>1460</v>
      </c>
      <c r="F914" s="4">
        <v>2411</v>
      </c>
      <c r="G914" s="2" t="s">
        <v>21</v>
      </c>
      <c r="H914" s="4">
        <v>9</v>
      </c>
      <c r="I914" s="4">
        <f>Table134[[#This Row],[اصله مستقل]]*Table134[[#This Row],[A_tree]]</f>
        <v>3285</v>
      </c>
      <c r="J914" s="4">
        <f>IF(Table134[[#This Row],[n * A_tree ]]&gt;Table134[[#This Row],[مساحت آدرس]],1,0)</f>
        <v>1</v>
      </c>
      <c r="K914" s="8">
        <f>IF(Table134[[#This Row],[check]]=1,1,Table134[[#This Row],[A_tree]]*Table134[[#This Row],[اصله مستقل]]/Table134[[#This Row],[مساحت آدرس]])</f>
        <v>1</v>
      </c>
      <c r="L914" s="14">
        <f>IF(Table134[[#This Row],[check]]=1,1,(Table134[[#This Row],[Psh]]+0.15*(1-Table134[[#This Row],[Psh]])))</f>
        <v>1</v>
      </c>
      <c r="M914" s="14">
        <f>IF(Table134[[#This Row],[check]]=1,0.65,1)</f>
        <v>0.65</v>
      </c>
      <c r="N914" s="4">
        <v>1</v>
      </c>
      <c r="O914" s="4">
        <f>IF(Table134[[#This Row],[check]]=1,Table134[[#This Row],[مساحت آدرس]]*Table134[[#This Row],[A0 Inc]],Table134[[#This Row],[A_tree]]*Table134[[#This Row],[اصله مستقل]])</f>
        <v>2411</v>
      </c>
      <c r="P914" s="11">
        <f>IF(Table134[[#This Row],[check]]=1,Table134[[#This Row],[A0]]/Table134[[#This Row],[اصله مستقل]],Table134[[#This Row],[A_tree]])</f>
        <v>6.6054794520547944</v>
      </c>
    </row>
    <row r="915" spans="2:16" ht="18.600000000000001" x14ac:dyDescent="0.3">
      <c r="B915" s="4" t="s">
        <v>1374</v>
      </c>
      <c r="C915" s="4">
        <v>516</v>
      </c>
      <c r="D915" s="4">
        <v>255</v>
      </c>
      <c r="E915" s="4">
        <v>1020</v>
      </c>
      <c r="F915" s="4">
        <v>1781</v>
      </c>
      <c r="G915" s="2" t="s">
        <v>21</v>
      </c>
      <c r="H915" s="4">
        <v>9</v>
      </c>
      <c r="I915" s="4">
        <f>Table134[[#This Row],[اصله مستقل]]*Table134[[#This Row],[A_tree]]</f>
        <v>2295</v>
      </c>
      <c r="J915" s="4">
        <f>IF(Table134[[#This Row],[n * A_tree ]]&gt;Table134[[#This Row],[مساحت آدرس]],1,0)</f>
        <v>1</v>
      </c>
      <c r="K915" s="8">
        <f>IF(Table134[[#This Row],[check]]=1,1,Table134[[#This Row],[A_tree]]*Table134[[#This Row],[اصله مستقل]]/Table134[[#This Row],[مساحت آدرس]])</f>
        <v>1</v>
      </c>
      <c r="L915" s="14">
        <f>IF(Table134[[#This Row],[check]]=1,1,(Table134[[#This Row],[Psh]]+0.15*(1-Table134[[#This Row],[Psh]])))</f>
        <v>1</v>
      </c>
      <c r="M915" s="14">
        <f>IF(Table134[[#This Row],[check]]=1,0.65,1)</f>
        <v>0.65</v>
      </c>
      <c r="N915" s="4">
        <v>1</v>
      </c>
      <c r="O915" s="4">
        <f>IF(Table134[[#This Row],[check]]=1,Table134[[#This Row],[مساحت آدرس]]*Table134[[#This Row],[A0 Inc]],Table134[[#This Row],[A_tree]]*Table134[[#This Row],[اصله مستقل]])</f>
        <v>1781</v>
      </c>
      <c r="P915" s="11">
        <f>IF(Table134[[#This Row],[check]]=1,Table134[[#This Row],[A0]]/Table134[[#This Row],[اصله مستقل]],Table134[[#This Row],[A_tree]])</f>
        <v>6.9843137254901961</v>
      </c>
    </row>
    <row r="916" spans="2:16" ht="18.600000000000001" x14ac:dyDescent="0.3">
      <c r="B916" s="4" t="s">
        <v>1375</v>
      </c>
      <c r="C916" s="4">
        <v>395</v>
      </c>
      <c r="D916" s="4">
        <v>165</v>
      </c>
      <c r="E916" s="4">
        <v>660</v>
      </c>
      <c r="F916" s="4">
        <v>2165</v>
      </c>
      <c r="G916" s="2" t="s">
        <v>21</v>
      </c>
      <c r="H916" s="4">
        <v>9</v>
      </c>
      <c r="I916" s="4">
        <f>Table134[[#This Row],[اصله مستقل]]*Table134[[#This Row],[A_tree]]</f>
        <v>1485</v>
      </c>
      <c r="J916" s="4">
        <f>IF(Table134[[#This Row],[n * A_tree ]]&gt;Table134[[#This Row],[مساحت آدرس]],1,0)</f>
        <v>0</v>
      </c>
      <c r="K916" s="8">
        <f>IF(Table134[[#This Row],[check]]=1,1,Table134[[#This Row],[A_tree]]*Table134[[#This Row],[اصله مستقل]]/Table134[[#This Row],[مساحت آدرس]])</f>
        <v>0.68591224018475749</v>
      </c>
      <c r="L916" s="14">
        <f>IF(Table134[[#This Row],[check]]=1,1,(Table134[[#This Row],[Psh]]+0.15*(1-Table134[[#This Row],[Psh]])))</f>
        <v>0.73302540415704387</v>
      </c>
      <c r="M916" s="14">
        <f>IF(Table134[[#This Row],[check]]=1,0.65,1)</f>
        <v>1</v>
      </c>
      <c r="N916" s="4">
        <v>1</v>
      </c>
      <c r="O916" s="4">
        <f>IF(Table134[[#This Row],[check]]=1,Table134[[#This Row],[مساحت آدرس]]*Table134[[#This Row],[A0 Inc]],Table134[[#This Row],[A_tree]]*Table134[[#This Row],[اصله مستقل]])</f>
        <v>1485</v>
      </c>
      <c r="P916" s="11">
        <f>IF(Table134[[#This Row],[check]]=1,Table134[[#This Row],[A0]]/Table134[[#This Row],[اصله مستقل]],Table134[[#This Row],[A_tree]])</f>
        <v>9</v>
      </c>
    </row>
    <row r="917" spans="2:16" ht="18.600000000000001" x14ac:dyDescent="0.3">
      <c r="B917" s="4" t="s">
        <v>1376</v>
      </c>
      <c r="C917" s="4">
        <v>698</v>
      </c>
      <c r="D917" s="4">
        <v>675</v>
      </c>
      <c r="E917" s="4">
        <v>2700</v>
      </c>
      <c r="F917" s="4">
        <v>3220</v>
      </c>
      <c r="G917" s="2" t="s">
        <v>21</v>
      </c>
      <c r="H917" s="4">
        <v>9</v>
      </c>
      <c r="I917" s="4">
        <f>Table134[[#This Row],[اصله مستقل]]*Table134[[#This Row],[A_tree]]</f>
        <v>6075</v>
      </c>
      <c r="J917" s="4">
        <f>IF(Table134[[#This Row],[n * A_tree ]]&gt;Table134[[#This Row],[مساحت آدرس]],1,0)</f>
        <v>1</v>
      </c>
      <c r="K917" s="8">
        <f>IF(Table134[[#This Row],[check]]=1,1,Table134[[#This Row],[A_tree]]*Table134[[#This Row],[اصله مستقل]]/Table134[[#This Row],[مساحت آدرس]])</f>
        <v>1</v>
      </c>
      <c r="L917" s="14">
        <f>IF(Table134[[#This Row],[check]]=1,1,(Table134[[#This Row],[Psh]]+0.15*(1-Table134[[#This Row],[Psh]])))</f>
        <v>1</v>
      </c>
      <c r="M917" s="14">
        <f>IF(Table134[[#This Row],[check]]=1,0.65,1)</f>
        <v>0.65</v>
      </c>
      <c r="N917" s="4">
        <v>1</v>
      </c>
      <c r="O917" s="4">
        <f>IF(Table134[[#This Row],[check]]=1,Table134[[#This Row],[مساحت آدرس]]*Table134[[#This Row],[A0 Inc]],Table134[[#This Row],[A_tree]]*Table134[[#This Row],[اصله مستقل]])</f>
        <v>3220</v>
      </c>
      <c r="P917" s="11">
        <f>IF(Table134[[#This Row],[check]]=1,Table134[[#This Row],[A0]]/Table134[[#This Row],[اصله مستقل]],Table134[[#This Row],[A_tree]])</f>
        <v>4.7703703703703706</v>
      </c>
    </row>
    <row r="918" spans="2:16" ht="18.600000000000001" x14ac:dyDescent="0.3">
      <c r="B918" s="4" t="s">
        <v>1377</v>
      </c>
      <c r="C918" s="4">
        <v>140</v>
      </c>
      <c r="D918" s="4">
        <v>97</v>
      </c>
      <c r="E918" s="4">
        <v>388</v>
      </c>
      <c r="F918" s="4">
        <v>463</v>
      </c>
      <c r="G918" s="2" t="s">
        <v>21</v>
      </c>
      <c r="H918" s="4">
        <v>9</v>
      </c>
      <c r="I918" s="4">
        <f>Table134[[#This Row],[اصله مستقل]]*Table134[[#This Row],[A_tree]]</f>
        <v>873</v>
      </c>
      <c r="J918" s="4">
        <f>IF(Table134[[#This Row],[n * A_tree ]]&gt;Table134[[#This Row],[مساحت آدرس]],1,0)</f>
        <v>1</v>
      </c>
      <c r="K918" s="8">
        <f>IF(Table134[[#This Row],[check]]=1,1,Table134[[#This Row],[A_tree]]*Table134[[#This Row],[اصله مستقل]]/Table134[[#This Row],[مساحت آدرس]])</f>
        <v>1</v>
      </c>
      <c r="L918" s="14">
        <f>IF(Table134[[#This Row],[check]]=1,1,(Table134[[#This Row],[Psh]]+0.15*(1-Table134[[#This Row],[Psh]])))</f>
        <v>1</v>
      </c>
      <c r="M918" s="14">
        <f>IF(Table134[[#This Row],[check]]=1,0.65,1)</f>
        <v>0.65</v>
      </c>
      <c r="N918" s="4">
        <v>1</v>
      </c>
      <c r="O918" s="4">
        <f>IF(Table134[[#This Row],[check]]=1,Table134[[#This Row],[مساحت آدرس]]*Table134[[#This Row],[A0 Inc]],Table134[[#This Row],[A_tree]]*Table134[[#This Row],[اصله مستقل]])</f>
        <v>463</v>
      </c>
      <c r="P918" s="11">
        <f>IF(Table134[[#This Row],[check]]=1,Table134[[#This Row],[A0]]/Table134[[#This Row],[اصله مستقل]],Table134[[#This Row],[A_tree]])</f>
        <v>4.7731958762886597</v>
      </c>
    </row>
    <row r="919" spans="2:16" ht="18.600000000000001" x14ac:dyDescent="0.3">
      <c r="B919" s="4" t="s">
        <v>1378</v>
      </c>
      <c r="C919" s="4">
        <v>52</v>
      </c>
      <c r="D919" s="4">
        <v>227</v>
      </c>
      <c r="E919" s="4">
        <v>1695</v>
      </c>
      <c r="F919" s="4">
        <v>2418</v>
      </c>
      <c r="G919" s="2" t="s">
        <v>62</v>
      </c>
      <c r="H919" s="4">
        <v>9</v>
      </c>
      <c r="I919" s="4">
        <f>Table134[[#This Row],[اصله مستقل]]*Table134[[#This Row],[A_tree]]</f>
        <v>2043</v>
      </c>
      <c r="J919" s="4">
        <f>IF(Table134[[#This Row],[n * A_tree ]]&gt;Table134[[#This Row],[مساحت آدرس]],1,0)</f>
        <v>0</v>
      </c>
      <c r="K919" s="8">
        <f>IF(Table134[[#This Row],[check]]=1,1,Table134[[#This Row],[A_tree]]*Table134[[#This Row],[اصله مستقل]]/Table134[[#This Row],[مساحت آدرس]])</f>
        <v>0.8449131513647643</v>
      </c>
      <c r="L919" s="14">
        <f>IF(Table134[[#This Row],[check]]=1,1,(Table134[[#This Row],[Psh]]+0.15*(1-Table134[[#This Row],[Psh]])))</f>
        <v>0.8681761786600497</v>
      </c>
      <c r="M919" s="14">
        <f>IF(Table134[[#This Row],[check]]=1,0.65,1)</f>
        <v>1</v>
      </c>
      <c r="N919" s="4">
        <v>1</v>
      </c>
      <c r="O919" s="4">
        <f>IF(Table134[[#This Row],[check]]=1,Table134[[#This Row],[مساحت آدرس]]*Table134[[#This Row],[A0 Inc]],Table134[[#This Row],[A_tree]]*Table134[[#This Row],[اصله مستقل]])</f>
        <v>2043</v>
      </c>
      <c r="P919" s="11">
        <f>IF(Table134[[#This Row],[check]]=1,Table134[[#This Row],[A0]]/Table134[[#This Row],[اصله مستقل]],Table134[[#This Row],[A_tree]])</f>
        <v>9</v>
      </c>
    </row>
    <row r="920" spans="2:16" ht="18.600000000000001" x14ac:dyDescent="0.3">
      <c r="B920" s="4" t="s">
        <v>1379</v>
      </c>
      <c r="C920" s="4">
        <v>227</v>
      </c>
      <c r="D920" s="4">
        <v>52</v>
      </c>
      <c r="E920" s="4">
        <v>620</v>
      </c>
      <c r="F920" s="4">
        <v>740</v>
      </c>
      <c r="G920" s="2" t="s">
        <v>62</v>
      </c>
      <c r="H920" s="4">
        <v>9</v>
      </c>
      <c r="I920" s="4">
        <f>Table134[[#This Row],[اصله مستقل]]*Table134[[#This Row],[A_tree]]</f>
        <v>468</v>
      </c>
      <c r="J920" s="4">
        <f>IF(Table134[[#This Row],[n * A_tree ]]&gt;Table134[[#This Row],[مساحت آدرس]],1,0)</f>
        <v>0</v>
      </c>
      <c r="K920" s="8">
        <f>IF(Table134[[#This Row],[check]]=1,1,Table134[[#This Row],[A_tree]]*Table134[[#This Row],[اصله مستقل]]/Table134[[#This Row],[مساحت آدرس]])</f>
        <v>0.63243243243243241</v>
      </c>
      <c r="L920" s="14">
        <f>IF(Table134[[#This Row],[check]]=1,1,(Table134[[#This Row],[Psh]]+0.15*(1-Table134[[#This Row],[Psh]])))</f>
        <v>0.68756756756756754</v>
      </c>
      <c r="M920" s="14">
        <f>IF(Table134[[#This Row],[check]]=1,0.65,1)</f>
        <v>1</v>
      </c>
      <c r="N920" s="4">
        <v>1</v>
      </c>
      <c r="O920" s="4">
        <f>IF(Table134[[#This Row],[check]]=1,Table134[[#This Row],[مساحت آدرس]]*Table134[[#This Row],[A0 Inc]],Table134[[#This Row],[A_tree]]*Table134[[#This Row],[اصله مستقل]])</f>
        <v>468</v>
      </c>
      <c r="P920" s="11">
        <f>IF(Table134[[#This Row],[check]]=1,Table134[[#This Row],[A0]]/Table134[[#This Row],[اصله مستقل]],Table134[[#This Row],[A_tree]])</f>
        <v>9</v>
      </c>
    </row>
    <row r="921" spans="2:16" ht="18.600000000000001" x14ac:dyDescent="0.3">
      <c r="B921" s="4" t="s">
        <v>1380</v>
      </c>
      <c r="C921" s="4">
        <v>103</v>
      </c>
      <c r="D921" s="4">
        <v>84</v>
      </c>
      <c r="E921" s="4">
        <v>850</v>
      </c>
      <c r="F921" s="4">
        <v>1700</v>
      </c>
      <c r="G921" s="2" t="s">
        <v>62</v>
      </c>
      <c r="H921" s="4">
        <v>9</v>
      </c>
      <c r="I921" s="4">
        <f>Table134[[#This Row],[اصله مستقل]]*Table134[[#This Row],[A_tree]]</f>
        <v>756</v>
      </c>
      <c r="J921" s="4">
        <f>IF(Table134[[#This Row],[n * A_tree ]]&gt;Table134[[#This Row],[مساحت آدرس]],1,0)</f>
        <v>0</v>
      </c>
      <c r="K921" s="8">
        <f>IF(Table134[[#This Row],[check]]=1,1,Table134[[#This Row],[A_tree]]*Table134[[#This Row],[اصله مستقل]]/Table134[[#This Row],[مساحت آدرس]])</f>
        <v>0.44470588235294117</v>
      </c>
      <c r="L921" s="14">
        <f>IF(Table134[[#This Row],[check]]=1,1,(Table134[[#This Row],[Psh]]+0.15*(1-Table134[[#This Row],[Psh]])))</f>
        <v>0.52800000000000002</v>
      </c>
      <c r="M921" s="14">
        <f>IF(Table134[[#This Row],[check]]=1,0.65,1)</f>
        <v>1</v>
      </c>
      <c r="N921" s="4">
        <v>1</v>
      </c>
      <c r="O921" s="4">
        <f>IF(Table134[[#This Row],[check]]=1,Table134[[#This Row],[مساحت آدرس]]*Table134[[#This Row],[A0 Inc]],Table134[[#This Row],[A_tree]]*Table134[[#This Row],[اصله مستقل]])</f>
        <v>756</v>
      </c>
      <c r="P921" s="11">
        <f>IF(Table134[[#This Row],[check]]=1,Table134[[#This Row],[A0]]/Table134[[#This Row],[اصله مستقل]],Table134[[#This Row],[A_tree]])</f>
        <v>9</v>
      </c>
    </row>
    <row r="922" spans="2:16" ht="18.600000000000001" x14ac:dyDescent="0.3">
      <c r="B922" s="4" t="s">
        <v>1381</v>
      </c>
      <c r="C922" s="4">
        <v>45</v>
      </c>
      <c r="D922" s="4">
        <v>28</v>
      </c>
      <c r="E922" s="4">
        <v>1000</v>
      </c>
      <c r="F922" s="4">
        <v>1170</v>
      </c>
      <c r="G922" s="2" t="s">
        <v>62</v>
      </c>
      <c r="H922" s="4">
        <v>9</v>
      </c>
      <c r="I922" s="4">
        <f>Table134[[#This Row],[اصله مستقل]]*Table134[[#This Row],[A_tree]]</f>
        <v>252</v>
      </c>
      <c r="J922" s="4">
        <f>IF(Table134[[#This Row],[n * A_tree ]]&gt;Table134[[#This Row],[مساحت آدرس]],1,0)</f>
        <v>0</v>
      </c>
      <c r="K922" s="8">
        <f>IF(Table134[[#This Row],[check]]=1,1,Table134[[#This Row],[A_tree]]*Table134[[#This Row],[اصله مستقل]]/Table134[[#This Row],[مساحت آدرس]])</f>
        <v>0.2153846153846154</v>
      </c>
      <c r="L922" s="14">
        <f>IF(Table134[[#This Row],[check]]=1,1,(Table134[[#This Row],[Psh]]+0.15*(1-Table134[[#This Row],[Psh]])))</f>
        <v>0.33307692307692305</v>
      </c>
      <c r="M922" s="14">
        <f>IF(Table134[[#This Row],[check]]=1,0.65,1)</f>
        <v>1</v>
      </c>
      <c r="N922" s="4">
        <v>1</v>
      </c>
      <c r="O922" s="4">
        <f>IF(Table134[[#This Row],[check]]=1,Table134[[#This Row],[مساحت آدرس]]*Table134[[#This Row],[A0 Inc]],Table134[[#This Row],[A_tree]]*Table134[[#This Row],[اصله مستقل]])</f>
        <v>252</v>
      </c>
      <c r="P922" s="11">
        <f>IF(Table134[[#This Row],[check]]=1,Table134[[#This Row],[A0]]/Table134[[#This Row],[اصله مستقل]],Table134[[#This Row],[A_tree]])</f>
        <v>9</v>
      </c>
    </row>
    <row r="923" spans="2:16" ht="18.600000000000001" x14ac:dyDescent="0.3">
      <c r="B923" s="4" t="s">
        <v>1382</v>
      </c>
      <c r="C923" s="4">
        <v>95</v>
      </c>
      <c r="D923" s="4">
        <v>195</v>
      </c>
      <c r="E923" s="4">
        <v>870</v>
      </c>
      <c r="F923" s="4">
        <v>1130</v>
      </c>
      <c r="G923" s="2" t="s">
        <v>62</v>
      </c>
      <c r="H923" s="4">
        <v>9</v>
      </c>
      <c r="I923" s="4">
        <f>Table134[[#This Row],[اصله مستقل]]*Table134[[#This Row],[A_tree]]</f>
        <v>1755</v>
      </c>
      <c r="J923" s="4">
        <f>IF(Table134[[#This Row],[n * A_tree ]]&gt;Table134[[#This Row],[مساحت آدرس]],1,0)</f>
        <v>1</v>
      </c>
      <c r="K923" s="8">
        <f>IF(Table134[[#This Row],[check]]=1,1,Table134[[#This Row],[A_tree]]*Table134[[#This Row],[اصله مستقل]]/Table134[[#This Row],[مساحت آدرس]])</f>
        <v>1</v>
      </c>
      <c r="L923" s="14">
        <f>IF(Table134[[#This Row],[check]]=1,1,(Table134[[#This Row],[Psh]]+0.15*(1-Table134[[#This Row],[Psh]])))</f>
        <v>1</v>
      </c>
      <c r="M923" s="14">
        <f>IF(Table134[[#This Row],[check]]=1,0.65,1)</f>
        <v>0.65</v>
      </c>
      <c r="N923" s="4">
        <v>1</v>
      </c>
      <c r="O923" s="4">
        <f>IF(Table134[[#This Row],[check]]=1,Table134[[#This Row],[مساحت آدرس]]*Table134[[#This Row],[A0 Inc]],Table134[[#This Row],[A_tree]]*Table134[[#This Row],[اصله مستقل]])</f>
        <v>1130</v>
      </c>
      <c r="P923" s="11">
        <f>IF(Table134[[#This Row],[check]]=1,Table134[[#This Row],[A0]]/Table134[[#This Row],[اصله مستقل]],Table134[[#This Row],[A_tree]])</f>
        <v>5.7948717948717947</v>
      </c>
    </row>
    <row r="924" spans="2:16" ht="18.600000000000001" x14ac:dyDescent="0.3">
      <c r="B924" s="4" t="s">
        <v>1383</v>
      </c>
      <c r="C924" s="4">
        <v>225</v>
      </c>
      <c r="D924" s="4">
        <v>59</v>
      </c>
      <c r="E924" s="4">
        <v>376</v>
      </c>
      <c r="F924" s="4">
        <v>974</v>
      </c>
      <c r="G924" s="2" t="s">
        <v>62</v>
      </c>
      <c r="H924" s="4">
        <v>9</v>
      </c>
      <c r="I924" s="4">
        <f>Table134[[#This Row],[اصله مستقل]]*Table134[[#This Row],[A_tree]]</f>
        <v>531</v>
      </c>
      <c r="J924" s="4">
        <f>IF(Table134[[#This Row],[n * A_tree ]]&gt;Table134[[#This Row],[مساحت آدرس]],1,0)</f>
        <v>0</v>
      </c>
      <c r="K924" s="8">
        <f>IF(Table134[[#This Row],[check]]=1,1,Table134[[#This Row],[A_tree]]*Table134[[#This Row],[اصله مستقل]]/Table134[[#This Row],[مساحت آدرس]])</f>
        <v>0.54517453798767967</v>
      </c>
      <c r="L924" s="14">
        <f>IF(Table134[[#This Row],[check]]=1,1,(Table134[[#This Row],[Psh]]+0.15*(1-Table134[[#This Row],[Psh]])))</f>
        <v>0.61339835728952774</v>
      </c>
      <c r="M924" s="14">
        <f>IF(Table134[[#This Row],[check]]=1,0.65,1)</f>
        <v>1</v>
      </c>
      <c r="N924" s="4">
        <v>1</v>
      </c>
      <c r="O924" s="4">
        <f>IF(Table134[[#This Row],[check]]=1,Table134[[#This Row],[مساحت آدرس]]*Table134[[#This Row],[A0 Inc]],Table134[[#This Row],[A_tree]]*Table134[[#This Row],[اصله مستقل]])</f>
        <v>531</v>
      </c>
      <c r="P924" s="11">
        <f>IF(Table134[[#This Row],[check]]=1,Table134[[#This Row],[A0]]/Table134[[#This Row],[اصله مستقل]],Table134[[#This Row],[A_tree]])</f>
        <v>9</v>
      </c>
    </row>
    <row r="925" spans="2:16" ht="18.600000000000001" x14ac:dyDescent="0.3">
      <c r="B925" s="4" t="s">
        <v>1384</v>
      </c>
      <c r="C925" s="4">
        <v>118</v>
      </c>
      <c r="D925" s="4">
        <v>11</v>
      </c>
      <c r="E925" s="4">
        <v>44</v>
      </c>
      <c r="F925" s="4">
        <v>2519</v>
      </c>
      <c r="G925" s="2" t="s">
        <v>62</v>
      </c>
      <c r="H925" s="4">
        <v>9</v>
      </c>
      <c r="I925" s="4">
        <f>Table134[[#This Row],[اصله مستقل]]*Table134[[#This Row],[A_tree]]</f>
        <v>99</v>
      </c>
      <c r="J925" s="4">
        <f>IF(Table134[[#This Row],[n * A_tree ]]&gt;Table134[[#This Row],[مساحت آدرس]],1,0)</f>
        <v>0</v>
      </c>
      <c r="K925" s="8">
        <f>IF(Table134[[#This Row],[check]]=1,1,Table134[[#This Row],[A_tree]]*Table134[[#This Row],[اصله مستقل]]/Table134[[#This Row],[مساحت آدرس]])</f>
        <v>3.9301310043668124E-2</v>
      </c>
      <c r="L925" s="14">
        <f>IF(Table134[[#This Row],[check]]=1,1,(Table134[[#This Row],[Psh]]+0.15*(1-Table134[[#This Row],[Psh]])))</f>
        <v>0.18340611353711792</v>
      </c>
      <c r="M925" s="14">
        <f>IF(Table134[[#This Row],[check]]=1,0.65,1)</f>
        <v>1</v>
      </c>
      <c r="N925" s="4">
        <v>1</v>
      </c>
      <c r="O925" s="4">
        <f>IF(Table134[[#This Row],[check]]=1,Table134[[#This Row],[مساحت آدرس]]*Table134[[#This Row],[A0 Inc]],Table134[[#This Row],[A_tree]]*Table134[[#This Row],[اصله مستقل]])</f>
        <v>99</v>
      </c>
      <c r="P925" s="11">
        <f>IF(Table134[[#This Row],[check]]=1,Table134[[#This Row],[A0]]/Table134[[#This Row],[اصله مستقل]],Table134[[#This Row],[A_tree]])</f>
        <v>9</v>
      </c>
    </row>
    <row r="926" spans="2:16" ht="18.600000000000001" x14ac:dyDescent="0.3">
      <c r="B926" s="4" t="s">
        <v>1385</v>
      </c>
      <c r="C926" s="4">
        <v>310</v>
      </c>
      <c r="D926" s="4">
        <v>138</v>
      </c>
      <c r="E926" s="4">
        <v>1400</v>
      </c>
      <c r="F926" s="4">
        <v>4609</v>
      </c>
      <c r="G926" s="2" t="s">
        <v>66</v>
      </c>
      <c r="H926" s="4">
        <v>9</v>
      </c>
      <c r="I926" s="4">
        <f>Table134[[#This Row],[اصله مستقل]]*Table134[[#This Row],[A_tree]]</f>
        <v>1242</v>
      </c>
      <c r="J926" s="4">
        <f>IF(Table134[[#This Row],[n * A_tree ]]&gt;Table134[[#This Row],[مساحت آدرس]],1,0)</f>
        <v>0</v>
      </c>
      <c r="K926" s="8">
        <f>IF(Table134[[#This Row],[check]]=1,1,Table134[[#This Row],[A_tree]]*Table134[[#This Row],[اصله مستقل]]/Table134[[#This Row],[مساحت آدرس]])</f>
        <v>0.2694727706660881</v>
      </c>
      <c r="L926" s="14">
        <f>IF(Table134[[#This Row],[check]]=1,1,(Table134[[#This Row],[Psh]]+0.15*(1-Table134[[#This Row],[Psh]])))</f>
        <v>0.37905185506617489</v>
      </c>
      <c r="M926" s="14">
        <f>IF(Table134[[#This Row],[check]]=1,0.65,1)</f>
        <v>1</v>
      </c>
      <c r="N926" s="4">
        <v>1</v>
      </c>
      <c r="O926" s="4">
        <f>IF(Table134[[#This Row],[check]]=1,Table134[[#This Row],[مساحت آدرس]]*Table134[[#This Row],[A0 Inc]],Table134[[#This Row],[A_tree]]*Table134[[#This Row],[اصله مستقل]])</f>
        <v>1242</v>
      </c>
      <c r="P926" s="11">
        <f>IF(Table134[[#This Row],[check]]=1,Table134[[#This Row],[A0]]/Table134[[#This Row],[اصله مستقل]],Table134[[#This Row],[A_tree]])</f>
        <v>9</v>
      </c>
    </row>
    <row r="927" spans="2:16" ht="18.600000000000001" x14ac:dyDescent="0.3">
      <c r="B927" s="4" t="s">
        <v>1386</v>
      </c>
      <c r="C927" s="4">
        <v>31</v>
      </c>
      <c r="D927" s="4">
        <v>1</v>
      </c>
      <c r="E927" s="4">
        <v>4</v>
      </c>
      <c r="F927" s="4">
        <v>883</v>
      </c>
      <c r="G927" s="2" t="s">
        <v>66</v>
      </c>
      <c r="H927" s="4">
        <v>9</v>
      </c>
      <c r="I927" s="4">
        <f>Table134[[#This Row],[اصله مستقل]]*Table134[[#This Row],[A_tree]]</f>
        <v>9</v>
      </c>
      <c r="J927" s="4">
        <f>IF(Table134[[#This Row],[n * A_tree ]]&gt;Table134[[#This Row],[مساحت آدرس]],1,0)</f>
        <v>0</v>
      </c>
      <c r="K927" s="8">
        <f>IF(Table134[[#This Row],[check]]=1,1,Table134[[#This Row],[A_tree]]*Table134[[#This Row],[اصله مستقل]]/Table134[[#This Row],[مساحت آدرس]])</f>
        <v>1.0192525481313703E-2</v>
      </c>
      <c r="L927" s="14">
        <f>IF(Table134[[#This Row],[check]]=1,1,(Table134[[#This Row],[Psh]]+0.15*(1-Table134[[#This Row],[Psh]])))</f>
        <v>0.15866364665911664</v>
      </c>
      <c r="M927" s="14">
        <f>IF(Table134[[#This Row],[check]]=1,0.65,1)</f>
        <v>1</v>
      </c>
      <c r="N927" s="4">
        <v>1</v>
      </c>
      <c r="O927" s="4">
        <f>IF(Table134[[#This Row],[check]]=1,Table134[[#This Row],[مساحت آدرس]]*Table134[[#This Row],[A0 Inc]],Table134[[#This Row],[A_tree]]*Table134[[#This Row],[اصله مستقل]])</f>
        <v>9</v>
      </c>
      <c r="P927" s="11">
        <f>IF(Table134[[#This Row],[check]]=1,Table134[[#This Row],[A0]]/Table134[[#This Row],[اصله مستقل]],Table134[[#This Row],[A_tree]])</f>
        <v>9</v>
      </c>
    </row>
    <row r="928" spans="2:16" ht="18.600000000000001" x14ac:dyDescent="0.3">
      <c r="B928" s="4" t="s">
        <v>1388</v>
      </c>
      <c r="C928" s="4">
        <v>3611</v>
      </c>
      <c r="D928" s="4">
        <v>3611</v>
      </c>
      <c r="E928" s="4">
        <v>7970</v>
      </c>
      <c r="F928" s="4">
        <v>15114</v>
      </c>
      <c r="G928" s="2" t="s">
        <v>283</v>
      </c>
      <c r="H928" s="4">
        <v>9</v>
      </c>
      <c r="I928" s="4">
        <f>Table134[[#This Row],[اصله مستقل]]*Table134[[#This Row],[A_tree]]</f>
        <v>32499</v>
      </c>
      <c r="J928" s="4">
        <f>IF(Table134[[#This Row],[n * A_tree ]]&gt;Table134[[#This Row],[مساحت آدرس]],1,0)</f>
        <v>1</v>
      </c>
      <c r="K928" s="8">
        <f>IF(Table134[[#This Row],[check]]=1,1,Table134[[#This Row],[A_tree]]*Table134[[#This Row],[اصله مستقل]]/Table134[[#This Row],[مساحت آدرس]])</f>
        <v>1</v>
      </c>
      <c r="L928" s="14">
        <f>IF(Table134[[#This Row],[check]]=1,1,(Table134[[#This Row],[Psh]]+0.15*(1-Table134[[#This Row],[Psh]])))</f>
        <v>1</v>
      </c>
      <c r="M928" s="14">
        <f>IF(Table134[[#This Row],[check]]=1,0.65,1)</f>
        <v>0.65</v>
      </c>
      <c r="N928" s="4">
        <v>1</v>
      </c>
      <c r="O928" s="4">
        <f>IF(Table134[[#This Row],[check]]=1,Table134[[#This Row],[مساحت آدرس]]*Table134[[#This Row],[A0 Inc]],Table134[[#This Row],[A_tree]]*Table134[[#This Row],[اصله مستقل]])</f>
        <v>15114</v>
      </c>
      <c r="P928" s="11">
        <f>IF(Table134[[#This Row],[check]]=1,Table134[[#This Row],[A0]]/Table134[[#This Row],[اصله مستقل]],Table134[[#This Row],[A_tree]])</f>
        <v>4.1855441705898642</v>
      </c>
    </row>
    <row r="929" spans="2:16" ht="18.600000000000001" x14ac:dyDescent="0.3">
      <c r="B929" s="4" t="s">
        <v>1389</v>
      </c>
      <c r="C929" s="4">
        <v>1006</v>
      </c>
      <c r="D929" s="4">
        <v>1006</v>
      </c>
      <c r="E929" s="4">
        <v>4229</v>
      </c>
      <c r="F929" s="4">
        <v>7209</v>
      </c>
      <c r="G929" s="2" t="s">
        <v>3</v>
      </c>
      <c r="H929" s="4">
        <v>9</v>
      </c>
      <c r="I929" s="4">
        <f>Table134[[#This Row],[اصله مستقل]]*Table134[[#This Row],[A_tree]]</f>
        <v>9054</v>
      </c>
      <c r="J929" s="4">
        <f>IF(Table134[[#This Row],[n * A_tree ]]&gt;Table134[[#This Row],[مساحت آدرس]],1,0)</f>
        <v>1</v>
      </c>
      <c r="K929" s="8">
        <f>IF(Table134[[#This Row],[check]]=1,1,Table134[[#This Row],[A_tree]]*Table134[[#This Row],[اصله مستقل]]/Table134[[#This Row],[مساحت آدرس]])</f>
        <v>1</v>
      </c>
      <c r="L929" s="14">
        <f>IF(Table134[[#This Row],[check]]=1,1,(Table134[[#This Row],[Psh]]+0.15*(1-Table134[[#This Row],[Psh]])))</f>
        <v>1</v>
      </c>
      <c r="M929" s="14">
        <f>IF(Table134[[#This Row],[check]]=1,0.65,1)</f>
        <v>0.65</v>
      </c>
      <c r="N929" s="4">
        <v>1</v>
      </c>
      <c r="O929" s="4">
        <f>IF(Table134[[#This Row],[check]]=1,Table134[[#This Row],[مساحت آدرس]]*Table134[[#This Row],[A0 Inc]],Table134[[#This Row],[A_tree]]*Table134[[#This Row],[اصله مستقل]])</f>
        <v>7209</v>
      </c>
      <c r="P929" s="11">
        <f>IF(Table134[[#This Row],[check]]=1,Table134[[#This Row],[A0]]/Table134[[#This Row],[اصله مستقل]],Table134[[#This Row],[A_tree]])</f>
        <v>7.1660039761431413</v>
      </c>
    </row>
    <row r="930" spans="2:16" ht="18.600000000000001" x14ac:dyDescent="0.3">
      <c r="B930" s="4" t="s">
        <v>1390</v>
      </c>
      <c r="C930" s="4">
        <v>308</v>
      </c>
      <c r="D930" s="4">
        <v>308</v>
      </c>
      <c r="E930" s="4">
        <v>4420</v>
      </c>
      <c r="F930" s="4">
        <v>8306</v>
      </c>
      <c r="G930" s="2" t="s">
        <v>3</v>
      </c>
      <c r="H930" s="4">
        <v>9</v>
      </c>
      <c r="I930" s="4">
        <f>Table134[[#This Row],[اصله مستقل]]*Table134[[#This Row],[A_tree]]</f>
        <v>2772</v>
      </c>
      <c r="J930" s="4">
        <f>IF(Table134[[#This Row],[n * A_tree ]]&gt;Table134[[#This Row],[مساحت آدرس]],1,0)</f>
        <v>0</v>
      </c>
      <c r="K930" s="8">
        <f>IF(Table134[[#This Row],[check]]=1,1,Table134[[#This Row],[A_tree]]*Table134[[#This Row],[اصله مستقل]]/Table134[[#This Row],[مساحت آدرس]])</f>
        <v>0.33373464965085481</v>
      </c>
      <c r="L930" s="14">
        <f>IF(Table134[[#This Row],[check]]=1,1,(Table134[[#This Row],[Psh]]+0.15*(1-Table134[[#This Row],[Psh]])))</f>
        <v>0.43367445220322659</v>
      </c>
      <c r="M930" s="14">
        <f>IF(Table134[[#This Row],[check]]=1,0.65,1)</f>
        <v>1</v>
      </c>
      <c r="N930" s="4">
        <v>1</v>
      </c>
      <c r="O930" s="4">
        <f>IF(Table134[[#This Row],[check]]=1,Table134[[#This Row],[مساحت آدرس]]*Table134[[#This Row],[A0 Inc]],Table134[[#This Row],[A_tree]]*Table134[[#This Row],[اصله مستقل]])</f>
        <v>2772</v>
      </c>
      <c r="P930" s="11">
        <f>IF(Table134[[#This Row],[check]]=1,Table134[[#This Row],[A0]]/Table134[[#This Row],[اصله مستقل]],Table134[[#This Row],[A_tree]])</f>
        <v>9</v>
      </c>
    </row>
    <row r="931" spans="2:16" ht="18.600000000000001" x14ac:dyDescent="0.3">
      <c r="B931" s="4" t="s">
        <v>1391</v>
      </c>
      <c r="C931" s="4">
        <v>112</v>
      </c>
      <c r="D931" s="4">
        <v>112</v>
      </c>
      <c r="E931" s="4">
        <v>1255</v>
      </c>
      <c r="F931" s="4">
        <v>2155</v>
      </c>
      <c r="G931" s="2" t="s">
        <v>3</v>
      </c>
      <c r="H931" s="4">
        <v>9</v>
      </c>
      <c r="I931" s="4">
        <f>Table134[[#This Row],[اصله مستقل]]*Table134[[#This Row],[A_tree]]</f>
        <v>1008</v>
      </c>
      <c r="J931" s="4">
        <f>IF(Table134[[#This Row],[n * A_tree ]]&gt;Table134[[#This Row],[مساحت آدرس]],1,0)</f>
        <v>0</v>
      </c>
      <c r="K931" s="8">
        <f>IF(Table134[[#This Row],[check]]=1,1,Table134[[#This Row],[A_tree]]*Table134[[#This Row],[اصله مستقل]]/Table134[[#This Row],[مساحت آدرس]])</f>
        <v>0.46774941995359631</v>
      </c>
      <c r="L931" s="14">
        <f>IF(Table134[[#This Row],[check]]=1,1,(Table134[[#This Row],[Psh]]+0.15*(1-Table134[[#This Row],[Psh]])))</f>
        <v>0.54758700696055684</v>
      </c>
      <c r="M931" s="14">
        <f>IF(Table134[[#This Row],[check]]=1,0.65,1)</f>
        <v>1</v>
      </c>
      <c r="N931" s="4">
        <v>1</v>
      </c>
      <c r="O931" s="4">
        <f>IF(Table134[[#This Row],[check]]=1,Table134[[#This Row],[مساحت آدرس]]*Table134[[#This Row],[A0 Inc]],Table134[[#This Row],[A_tree]]*Table134[[#This Row],[اصله مستقل]])</f>
        <v>1008</v>
      </c>
      <c r="P931" s="11">
        <f>IF(Table134[[#This Row],[check]]=1,Table134[[#This Row],[A0]]/Table134[[#This Row],[اصله مستقل]],Table134[[#This Row],[A_tree]])</f>
        <v>9</v>
      </c>
    </row>
    <row r="932" spans="2:16" ht="18.600000000000001" x14ac:dyDescent="0.3">
      <c r="B932" s="4" t="s">
        <v>1392</v>
      </c>
      <c r="C932" s="4">
        <v>661</v>
      </c>
      <c r="D932" s="4">
        <v>661</v>
      </c>
      <c r="E932" s="4">
        <v>2694</v>
      </c>
      <c r="F932" s="4">
        <v>8647</v>
      </c>
      <c r="G932" s="2" t="s">
        <v>3</v>
      </c>
      <c r="H932" s="4">
        <v>9</v>
      </c>
      <c r="I932" s="4">
        <f>Table134[[#This Row],[اصله مستقل]]*Table134[[#This Row],[A_tree]]</f>
        <v>5949</v>
      </c>
      <c r="J932" s="4">
        <f>IF(Table134[[#This Row],[n * A_tree ]]&gt;Table134[[#This Row],[مساحت آدرس]],1,0)</f>
        <v>0</v>
      </c>
      <c r="K932" s="8">
        <f>IF(Table134[[#This Row],[check]]=1,1,Table134[[#This Row],[A_tree]]*Table134[[#This Row],[اصله مستقل]]/Table134[[#This Row],[مساحت آدرس]])</f>
        <v>0.68798427200185031</v>
      </c>
      <c r="L932" s="14">
        <f>IF(Table134[[#This Row],[check]]=1,1,(Table134[[#This Row],[Psh]]+0.15*(1-Table134[[#This Row],[Psh]])))</f>
        <v>0.73478663120157273</v>
      </c>
      <c r="M932" s="14">
        <f>IF(Table134[[#This Row],[check]]=1,0.65,1)</f>
        <v>1</v>
      </c>
      <c r="N932" s="4">
        <v>1</v>
      </c>
      <c r="O932" s="4">
        <f>IF(Table134[[#This Row],[check]]=1,Table134[[#This Row],[مساحت آدرس]]*Table134[[#This Row],[A0 Inc]],Table134[[#This Row],[A_tree]]*Table134[[#This Row],[اصله مستقل]])</f>
        <v>5949</v>
      </c>
      <c r="P932" s="11">
        <f>IF(Table134[[#This Row],[check]]=1,Table134[[#This Row],[A0]]/Table134[[#This Row],[اصله مستقل]],Table134[[#This Row],[A_tree]])</f>
        <v>9</v>
      </c>
    </row>
    <row r="933" spans="2:16" ht="18.600000000000001" x14ac:dyDescent="0.3">
      <c r="B933" s="4" t="s">
        <v>1393</v>
      </c>
      <c r="C933" s="4">
        <v>235</v>
      </c>
      <c r="D933" s="4">
        <v>235</v>
      </c>
      <c r="E933" s="4">
        <v>2100</v>
      </c>
      <c r="F933" s="4">
        <v>6047</v>
      </c>
      <c r="G933" s="2" t="s">
        <v>3</v>
      </c>
      <c r="H933" s="4">
        <v>9</v>
      </c>
      <c r="I933" s="4">
        <f>Table134[[#This Row],[اصله مستقل]]*Table134[[#This Row],[A_tree]]</f>
        <v>2115</v>
      </c>
      <c r="J933" s="4">
        <f>IF(Table134[[#This Row],[n * A_tree ]]&gt;Table134[[#This Row],[مساحت آدرس]],1,0)</f>
        <v>0</v>
      </c>
      <c r="K933" s="8">
        <f>IF(Table134[[#This Row],[check]]=1,1,Table134[[#This Row],[A_tree]]*Table134[[#This Row],[اصله مستقل]]/Table134[[#This Row],[مساحت آدرس]])</f>
        <v>0.34976021167521087</v>
      </c>
      <c r="L933" s="14">
        <f>IF(Table134[[#This Row],[check]]=1,1,(Table134[[#This Row],[Psh]]+0.15*(1-Table134[[#This Row],[Psh]])))</f>
        <v>0.44729617992392923</v>
      </c>
      <c r="M933" s="14">
        <f>IF(Table134[[#This Row],[check]]=1,0.65,1)</f>
        <v>1</v>
      </c>
      <c r="N933" s="4">
        <v>1</v>
      </c>
      <c r="O933" s="4">
        <f>IF(Table134[[#This Row],[check]]=1,Table134[[#This Row],[مساحت آدرس]]*Table134[[#This Row],[A0 Inc]],Table134[[#This Row],[A_tree]]*Table134[[#This Row],[اصله مستقل]])</f>
        <v>2115</v>
      </c>
      <c r="P933" s="11">
        <f>IF(Table134[[#This Row],[check]]=1,Table134[[#This Row],[A0]]/Table134[[#This Row],[اصله مستقل]],Table134[[#This Row],[A_tree]])</f>
        <v>9</v>
      </c>
    </row>
    <row r="934" spans="2:16" ht="18.600000000000001" x14ac:dyDescent="0.3">
      <c r="B934" s="4" t="s">
        <v>1394</v>
      </c>
      <c r="C934" s="4">
        <v>611</v>
      </c>
      <c r="D934" s="4">
        <v>462</v>
      </c>
      <c r="E934" s="4">
        <v>2548</v>
      </c>
      <c r="F934" s="4">
        <v>4548</v>
      </c>
      <c r="G934" s="2" t="s">
        <v>3</v>
      </c>
      <c r="H934" s="4">
        <v>9</v>
      </c>
      <c r="I934" s="4">
        <f>Table134[[#This Row],[اصله مستقل]]*Table134[[#This Row],[A_tree]]</f>
        <v>4158</v>
      </c>
      <c r="J934" s="4">
        <f>IF(Table134[[#This Row],[n * A_tree ]]&gt;Table134[[#This Row],[مساحت آدرس]],1,0)</f>
        <v>0</v>
      </c>
      <c r="K934" s="8">
        <f>IF(Table134[[#This Row],[check]]=1,1,Table134[[#This Row],[A_tree]]*Table134[[#This Row],[اصله مستقل]]/Table134[[#This Row],[مساحت آدرس]])</f>
        <v>0.91424802110817938</v>
      </c>
      <c r="L934" s="14">
        <f>IF(Table134[[#This Row],[check]]=1,1,(Table134[[#This Row],[Psh]]+0.15*(1-Table134[[#This Row],[Psh]])))</f>
        <v>0.92711081794195249</v>
      </c>
      <c r="M934" s="14">
        <f>IF(Table134[[#This Row],[check]]=1,0.65,1)</f>
        <v>1</v>
      </c>
      <c r="N934" s="4">
        <v>1</v>
      </c>
      <c r="O934" s="4">
        <f>IF(Table134[[#This Row],[check]]=1,Table134[[#This Row],[مساحت آدرس]]*Table134[[#This Row],[A0 Inc]],Table134[[#This Row],[A_tree]]*Table134[[#This Row],[اصله مستقل]])</f>
        <v>4158</v>
      </c>
      <c r="P934" s="11">
        <f>IF(Table134[[#This Row],[check]]=1,Table134[[#This Row],[A0]]/Table134[[#This Row],[اصله مستقل]],Table134[[#This Row],[A_tree]])</f>
        <v>9</v>
      </c>
    </row>
    <row r="935" spans="2:16" ht="18.600000000000001" x14ac:dyDescent="0.3">
      <c r="B935" s="4" t="s">
        <v>1395</v>
      </c>
      <c r="C935" s="4">
        <v>426</v>
      </c>
      <c r="D935" s="4">
        <v>426</v>
      </c>
      <c r="E935" s="4">
        <v>1712</v>
      </c>
      <c r="F935" s="4">
        <v>4920</v>
      </c>
      <c r="G935" s="2" t="s">
        <v>3</v>
      </c>
      <c r="H935" s="4">
        <v>9</v>
      </c>
      <c r="I935" s="4">
        <f>Table134[[#This Row],[اصله مستقل]]*Table134[[#This Row],[A_tree]]</f>
        <v>3834</v>
      </c>
      <c r="J935" s="4">
        <f>IF(Table134[[#This Row],[n * A_tree ]]&gt;Table134[[#This Row],[مساحت آدرس]],1,0)</f>
        <v>0</v>
      </c>
      <c r="K935" s="8">
        <f>IF(Table134[[#This Row],[check]]=1,1,Table134[[#This Row],[A_tree]]*Table134[[#This Row],[اصله مستقل]]/Table134[[#This Row],[مساحت آدرس]])</f>
        <v>0.77926829268292686</v>
      </c>
      <c r="L935" s="14">
        <f>IF(Table134[[#This Row],[check]]=1,1,(Table134[[#This Row],[Psh]]+0.15*(1-Table134[[#This Row],[Psh]])))</f>
        <v>0.8123780487804878</v>
      </c>
      <c r="M935" s="14">
        <f>IF(Table134[[#This Row],[check]]=1,0.65,1)</f>
        <v>1</v>
      </c>
      <c r="N935" s="4">
        <v>1</v>
      </c>
      <c r="O935" s="4">
        <f>IF(Table134[[#This Row],[check]]=1,Table134[[#This Row],[مساحت آدرس]]*Table134[[#This Row],[A0 Inc]],Table134[[#This Row],[A_tree]]*Table134[[#This Row],[اصله مستقل]])</f>
        <v>3834</v>
      </c>
      <c r="P935" s="11">
        <f>IF(Table134[[#This Row],[check]]=1,Table134[[#This Row],[A0]]/Table134[[#This Row],[اصله مستقل]],Table134[[#This Row],[A_tree]])</f>
        <v>9</v>
      </c>
    </row>
    <row r="936" spans="2:16" ht="18.600000000000001" x14ac:dyDescent="0.3">
      <c r="B936" s="4" t="s">
        <v>1396</v>
      </c>
      <c r="C936" s="4">
        <v>63</v>
      </c>
      <c r="D936" s="4">
        <v>63</v>
      </c>
      <c r="E936" s="4">
        <v>100</v>
      </c>
      <c r="F936" s="4">
        <v>600</v>
      </c>
      <c r="G936" s="2" t="s">
        <v>3</v>
      </c>
      <c r="H936" s="4">
        <v>9</v>
      </c>
      <c r="I936" s="4">
        <f>Table134[[#This Row],[اصله مستقل]]*Table134[[#This Row],[A_tree]]</f>
        <v>567</v>
      </c>
      <c r="J936" s="4">
        <f>IF(Table134[[#This Row],[n * A_tree ]]&gt;Table134[[#This Row],[مساحت آدرس]],1,0)</f>
        <v>0</v>
      </c>
      <c r="K936" s="8">
        <f>IF(Table134[[#This Row],[check]]=1,1,Table134[[#This Row],[A_tree]]*Table134[[#This Row],[اصله مستقل]]/Table134[[#This Row],[مساحت آدرس]])</f>
        <v>0.94499999999999995</v>
      </c>
      <c r="L936" s="14">
        <f>IF(Table134[[#This Row],[check]]=1,1,(Table134[[#This Row],[Psh]]+0.15*(1-Table134[[#This Row],[Psh]])))</f>
        <v>0.95324999999999993</v>
      </c>
      <c r="M936" s="14">
        <f>IF(Table134[[#This Row],[check]]=1,0.65,1)</f>
        <v>1</v>
      </c>
      <c r="N936" s="4">
        <v>1</v>
      </c>
      <c r="O936" s="4">
        <f>IF(Table134[[#This Row],[check]]=1,Table134[[#This Row],[مساحت آدرس]]*Table134[[#This Row],[A0 Inc]],Table134[[#This Row],[A_tree]]*Table134[[#This Row],[اصله مستقل]])</f>
        <v>567</v>
      </c>
      <c r="P936" s="11">
        <f>IF(Table134[[#This Row],[check]]=1,Table134[[#This Row],[A0]]/Table134[[#This Row],[اصله مستقل]],Table134[[#This Row],[A_tree]])</f>
        <v>9</v>
      </c>
    </row>
    <row r="937" spans="2:16" ht="18.600000000000001" x14ac:dyDescent="0.3">
      <c r="B937" s="4" t="s">
        <v>1397</v>
      </c>
      <c r="C937" s="4">
        <v>36</v>
      </c>
      <c r="D937" s="4">
        <v>36</v>
      </c>
      <c r="E937" s="4">
        <v>216</v>
      </c>
      <c r="F937" s="4">
        <v>216</v>
      </c>
      <c r="G937" s="2" t="s">
        <v>21</v>
      </c>
      <c r="H937" s="4">
        <v>9</v>
      </c>
      <c r="I937" s="4">
        <f>Table134[[#This Row],[اصله مستقل]]*Table134[[#This Row],[A_tree]]</f>
        <v>324</v>
      </c>
      <c r="J937" s="4">
        <f>IF(Table134[[#This Row],[n * A_tree ]]&gt;Table134[[#This Row],[مساحت آدرس]],1,0)</f>
        <v>1</v>
      </c>
      <c r="K937" s="8">
        <f>IF(Table134[[#This Row],[check]]=1,1,Table134[[#This Row],[A_tree]]*Table134[[#This Row],[اصله مستقل]]/Table134[[#This Row],[مساحت آدرس]])</f>
        <v>1</v>
      </c>
      <c r="L937" s="14">
        <f>IF(Table134[[#This Row],[check]]=1,1,(Table134[[#This Row],[Psh]]+0.15*(1-Table134[[#This Row],[Psh]])))</f>
        <v>1</v>
      </c>
      <c r="M937" s="14">
        <f>IF(Table134[[#This Row],[check]]=1,0.65,1)</f>
        <v>0.65</v>
      </c>
      <c r="N937" s="4">
        <v>1</v>
      </c>
      <c r="O937" s="4">
        <f>IF(Table134[[#This Row],[check]]=1,Table134[[#This Row],[مساحت آدرس]]*Table134[[#This Row],[A0 Inc]],Table134[[#This Row],[A_tree]]*Table134[[#This Row],[اصله مستقل]])</f>
        <v>216</v>
      </c>
      <c r="P937" s="11">
        <f>IF(Table134[[#This Row],[check]]=1,Table134[[#This Row],[A0]]/Table134[[#This Row],[اصله مستقل]],Table134[[#This Row],[A_tree]])</f>
        <v>6</v>
      </c>
    </row>
    <row r="938" spans="2:16" ht="18.600000000000001" x14ac:dyDescent="0.3">
      <c r="B938" s="4" t="s">
        <v>1398</v>
      </c>
      <c r="C938" s="4">
        <v>42</v>
      </c>
      <c r="D938" s="4">
        <v>42</v>
      </c>
      <c r="E938" s="4">
        <v>168</v>
      </c>
      <c r="F938" s="4">
        <v>168</v>
      </c>
      <c r="G938" s="2" t="s">
        <v>21</v>
      </c>
      <c r="H938" s="4">
        <v>9</v>
      </c>
      <c r="I938" s="4">
        <f>Table134[[#This Row],[اصله مستقل]]*Table134[[#This Row],[A_tree]]</f>
        <v>378</v>
      </c>
      <c r="J938" s="4">
        <f>IF(Table134[[#This Row],[n * A_tree ]]&gt;Table134[[#This Row],[مساحت آدرس]],1,0)</f>
        <v>1</v>
      </c>
      <c r="K938" s="8">
        <f>IF(Table134[[#This Row],[check]]=1,1,Table134[[#This Row],[A_tree]]*Table134[[#This Row],[اصله مستقل]]/Table134[[#This Row],[مساحت آدرس]])</f>
        <v>1</v>
      </c>
      <c r="L938" s="14">
        <f>IF(Table134[[#This Row],[check]]=1,1,(Table134[[#This Row],[Psh]]+0.15*(1-Table134[[#This Row],[Psh]])))</f>
        <v>1</v>
      </c>
      <c r="M938" s="14">
        <f>IF(Table134[[#This Row],[check]]=1,0.65,1)</f>
        <v>0.65</v>
      </c>
      <c r="N938" s="4">
        <v>1</v>
      </c>
      <c r="O938" s="4">
        <f>IF(Table134[[#This Row],[check]]=1,Table134[[#This Row],[مساحت آدرس]]*Table134[[#This Row],[A0 Inc]],Table134[[#This Row],[A_tree]]*Table134[[#This Row],[اصله مستقل]])</f>
        <v>168</v>
      </c>
      <c r="P938" s="11">
        <f>IF(Table134[[#This Row],[check]]=1,Table134[[#This Row],[A0]]/Table134[[#This Row],[اصله مستقل]],Table134[[#This Row],[A_tree]])</f>
        <v>4</v>
      </c>
    </row>
    <row r="939" spans="2:16" ht="18.600000000000001" x14ac:dyDescent="0.3">
      <c r="B939" s="4" t="s">
        <v>1400</v>
      </c>
      <c r="C939" s="4">
        <v>68</v>
      </c>
      <c r="D939" s="4">
        <v>96</v>
      </c>
      <c r="E939" s="4">
        <v>408</v>
      </c>
      <c r="F939" s="4">
        <v>408</v>
      </c>
      <c r="G939" s="2" t="s">
        <v>21</v>
      </c>
      <c r="H939" s="4">
        <v>9</v>
      </c>
      <c r="I939" s="4">
        <f>Table134[[#This Row],[اصله مستقل]]*Table134[[#This Row],[A_tree]]</f>
        <v>864</v>
      </c>
      <c r="J939" s="4">
        <f>IF(Table134[[#This Row],[n * A_tree ]]&gt;Table134[[#This Row],[مساحت آدرس]],1,0)</f>
        <v>1</v>
      </c>
      <c r="K939" s="8">
        <f>IF(Table134[[#This Row],[check]]=1,1,Table134[[#This Row],[A_tree]]*Table134[[#This Row],[اصله مستقل]]/Table134[[#This Row],[مساحت آدرس]])</f>
        <v>1</v>
      </c>
      <c r="L939" s="14">
        <f>IF(Table134[[#This Row],[check]]=1,1,(Table134[[#This Row],[Psh]]+0.15*(1-Table134[[#This Row],[Psh]])))</f>
        <v>1</v>
      </c>
      <c r="M939" s="14">
        <f>IF(Table134[[#This Row],[check]]=1,0.65,1)</f>
        <v>0.65</v>
      </c>
      <c r="N939" s="4">
        <v>1</v>
      </c>
      <c r="O939" s="4">
        <f>IF(Table134[[#This Row],[check]]=1,Table134[[#This Row],[مساحت آدرس]]*Table134[[#This Row],[A0 Inc]],Table134[[#This Row],[A_tree]]*Table134[[#This Row],[اصله مستقل]])</f>
        <v>408</v>
      </c>
      <c r="P939" s="11">
        <f>IF(Table134[[#This Row],[check]]=1,Table134[[#This Row],[A0]]/Table134[[#This Row],[اصله مستقل]],Table134[[#This Row],[A_tree]])</f>
        <v>4.25</v>
      </c>
    </row>
    <row r="940" spans="2:16" ht="18.600000000000001" x14ac:dyDescent="0.3">
      <c r="B940" s="4" t="s">
        <v>1401</v>
      </c>
      <c r="C940" s="4">
        <v>579</v>
      </c>
      <c r="D940" s="4">
        <v>671.93333333333328</v>
      </c>
      <c r="E940" s="4">
        <v>9500</v>
      </c>
      <c r="F940" s="4">
        <v>9500</v>
      </c>
      <c r="G940" s="2" t="s">
        <v>21</v>
      </c>
      <c r="H940" s="4">
        <v>9</v>
      </c>
      <c r="I940" s="4">
        <f>Table134[[#This Row],[اصله مستقل]]*Table134[[#This Row],[A_tree]]</f>
        <v>6047.4</v>
      </c>
      <c r="J940" s="4">
        <f>IF(Table134[[#This Row],[n * A_tree ]]&gt;Table134[[#This Row],[مساحت آدرس]],1,0)</f>
        <v>0</v>
      </c>
      <c r="K940" s="8">
        <f>IF(Table134[[#This Row],[check]]=1,1,Table134[[#This Row],[A_tree]]*Table134[[#This Row],[اصله مستقل]]/Table134[[#This Row],[مساحت آدرس]])</f>
        <v>0.63656842105263156</v>
      </c>
      <c r="L940" s="14">
        <f>IF(Table134[[#This Row],[check]]=1,1,(Table134[[#This Row],[Psh]]+0.15*(1-Table134[[#This Row],[Psh]])))</f>
        <v>0.69108315789473684</v>
      </c>
      <c r="M940" s="14">
        <f>IF(Table134[[#This Row],[check]]=1,0.65,1)</f>
        <v>1</v>
      </c>
      <c r="N940" s="4">
        <v>1</v>
      </c>
      <c r="O940" s="4">
        <f>IF(Table134[[#This Row],[check]]=1,Table134[[#This Row],[مساحت آدرس]]*Table134[[#This Row],[A0 Inc]],Table134[[#This Row],[A_tree]]*Table134[[#This Row],[اصله مستقل]])</f>
        <v>6047.4</v>
      </c>
      <c r="P940" s="11">
        <f>IF(Table134[[#This Row],[check]]=1,Table134[[#This Row],[A0]]/Table134[[#This Row],[اصله مستقل]],Table134[[#This Row],[A_tree]])</f>
        <v>9</v>
      </c>
    </row>
    <row r="941" spans="2:16" ht="18.600000000000001" x14ac:dyDescent="0.3">
      <c r="B941" s="4" t="s">
        <v>1402</v>
      </c>
      <c r="C941" s="4">
        <v>1026</v>
      </c>
      <c r="D941" s="4">
        <v>1021</v>
      </c>
      <c r="E941" s="4">
        <v>6424</v>
      </c>
      <c r="F941" s="4">
        <v>6958</v>
      </c>
      <c r="G941" s="2" t="s">
        <v>21</v>
      </c>
      <c r="H941" s="4">
        <v>9</v>
      </c>
      <c r="I941" s="4">
        <f>Table134[[#This Row],[اصله مستقل]]*Table134[[#This Row],[A_tree]]</f>
        <v>9189</v>
      </c>
      <c r="J941" s="4">
        <f>IF(Table134[[#This Row],[n * A_tree ]]&gt;Table134[[#This Row],[مساحت آدرس]],1,0)</f>
        <v>1</v>
      </c>
      <c r="K941" s="8">
        <f>IF(Table134[[#This Row],[check]]=1,1,Table134[[#This Row],[A_tree]]*Table134[[#This Row],[اصله مستقل]]/Table134[[#This Row],[مساحت آدرس]])</f>
        <v>1</v>
      </c>
      <c r="L941" s="14">
        <f>IF(Table134[[#This Row],[check]]=1,1,(Table134[[#This Row],[Psh]]+0.15*(1-Table134[[#This Row],[Psh]])))</f>
        <v>1</v>
      </c>
      <c r="M941" s="14">
        <f>IF(Table134[[#This Row],[check]]=1,0.65,1)</f>
        <v>0.65</v>
      </c>
      <c r="N941" s="4">
        <v>1</v>
      </c>
      <c r="O941" s="4">
        <f>IF(Table134[[#This Row],[check]]=1,Table134[[#This Row],[مساحت آدرس]]*Table134[[#This Row],[A0 Inc]],Table134[[#This Row],[A_tree]]*Table134[[#This Row],[اصله مستقل]])</f>
        <v>6958</v>
      </c>
      <c r="P941" s="11">
        <f>IF(Table134[[#This Row],[check]]=1,Table134[[#This Row],[A0]]/Table134[[#This Row],[اصله مستقل]],Table134[[#This Row],[A_tree]])</f>
        <v>6.8148873653281097</v>
      </c>
    </row>
    <row r="942" spans="2:16" ht="18.600000000000001" x14ac:dyDescent="0.3">
      <c r="B942" s="4" t="s">
        <v>1403</v>
      </c>
      <c r="C942" s="4">
        <v>700</v>
      </c>
      <c r="D942" s="4">
        <v>700</v>
      </c>
      <c r="E942" s="4">
        <v>2800</v>
      </c>
      <c r="F942" s="4">
        <v>2863</v>
      </c>
      <c r="G942" s="2" t="s">
        <v>21</v>
      </c>
      <c r="H942" s="4">
        <v>9</v>
      </c>
      <c r="I942" s="4">
        <f>Table134[[#This Row],[اصله مستقل]]*Table134[[#This Row],[A_tree]]</f>
        <v>6300</v>
      </c>
      <c r="J942" s="4">
        <f>IF(Table134[[#This Row],[n * A_tree ]]&gt;Table134[[#This Row],[مساحت آدرس]],1,0)</f>
        <v>1</v>
      </c>
      <c r="K942" s="8">
        <f>IF(Table134[[#This Row],[check]]=1,1,Table134[[#This Row],[A_tree]]*Table134[[#This Row],[اصله مستقل]]/Table134[[#This Row],[مساحت آدرس]])</f>
        <v>1</v>
      </c>
      <c r="L942" s="14">
        <f>IF(Table134[[#This Row],[check]]=1,1,(Table134[[#This Row],[Psh]]+0.15*(1-Table134[[#This Row],[Psh]])))</f>
        <v>1</v>
      </c>
      <c r="M942" s="14">
        <f>IF(Table134[[#This Row],[check]]=1,0.65,1)</f>
        <v>0.65</v>
      </c>
      <c r="N942" s="4">
        <v>1</v>
      </c>
      <c r="O942" s="4">
        <f>IF(Table134[[#This Row],[check]]=1,Table134[[#This Row],[مساحت آدرس]]*Table134[[#This Row],[A0 Inc]],Table134[[#This Row],[A_tree]]*Table134[[#This Row],[اصله مستقل]])</f>
        <v>2863</v>
      </c>
      <c r="P942" s="11">
        <f>IF(Table134[[#This Row],[check]]=1,Table134[[#This Row],[A0]]/Table134[[#This Row],[اصله مستقل]],Table134[[#This Row],[A_tree]])</f>
        <v>4.09</v>
      </c>
    </row>
    <row r="943" spans="2:16" ht="18.600000000000001" x14ac:dyDescent="0.3">
      <c r="B943" s="4" t="s">
        <v>1404</v>
      </c>
      <c r="C943" s="4">
        <v>373</v>
      </c>
      <c r="D943" s="4">
        <v>373</v>
      </c>
      <c r="E943" s="4">
        <v>1545</v>
      </c>
      <c r="F943" s="4">
        <v>1545</v>
      </c>
      <c r="G943" s="2" t="s">
        <v>21</v>
      </c>
      <c r="H943" s="4">
        <v>9</v>
      </c>
      <c r="I943" s="4">
        <f>Table134[[#This Row],[اصله مستقل]]*Table134[[#This Row],[A_tree]]</f>
        <v>3357</v>
      </c>
      <c r="J943" s="4">
        <f>IF(Table134[[#This Row],[n * A_tree ]]&gt;Table134[[#This Row],[مساحت آدرس]],1,0)</f>
        <v>1</v>
      </c>
      <c r="K943" s="8">
        <f>IF(Table134[[#This Row],[check]]=1,1,Table134[[#This Row],[A_tree]]*Table134[[#This Row],[اصله مستقل]]/Table134[[#This Row],[مساحت آدرس]])</f>
        <v>1</v>
      </c>
      <c r="L943" s="14">
        <f>IF(Table134[[#This Row],[check]]=1,1,(Table134[[#This Row],[Psh]]+0.15*(1-Table134[[#This Row],[Psh]])))</f>
        <v>1</v>
      </c>
      <c r="M943" s="14">
        <f>IF(Table134[[#This Row],[check]]=1,0.65,1)</f>
        <v>0.65</v>
      </c>
      <c r="N943" s="4">
        <v>1</v>
      </c>
      <c r="O943" s="4">
        <f>IF(Table134[[#This Row],[check]]=1,Table134[[#This Row],[مساحت آدرس]]*Table134[[#This Row],[A0 Inc]],Table134[[#This Row],[A_tree]]*Table134[[#This Row],[اصله مستقل]])</f>
        <v>1545</v>
      </c>
      <c r="P943" s="11">
        <f>IF(Table134[[#This Row],[check]]=1,Table134[[#This Row],[A0]]/Table134[[#This Row],[اصله مستقل]],Table134[[#This Row],[A_tree]])</f>
        <v>4.1420911528150137</v>
      </c>
    </row>
    <row r="944" spans="2:16" ht="18.600000000000001" x14ac:dyDescent="0.3">
      <c r="B944" s="4" t="s">
        <v>1405</v>
      </c>
      <c r="C944" s="4">
        <v>1297</v>
      </c>
      <c r="D944" s="4">
        <v>538</v>
      </c>
      <c r="E944" s="4">
        <v>1971</v>
      </c>
      <c r="F944" s="4">
        <v>3305</v>
      </c>
      <c r="G944" s="2" t="s">
        <v>21</v>
      </c>
      <c r="H944" s="4">
        <v>9</v>
      </c>
      <c r="I944" s="4">
        <f>Table134[[#This Row],[اصله مستقل]]*Table134[[#This Row],[A_tree]]</f>
        <v>4842</v>
      </c>
      <c r="J944" s="4">
        <f>IF(Table134[[#This Row],[n * A_tree ]]&gt;Table134[[#This Row],[مساحت آدرس]],1,0)</f>
        <v>1</v>
      </c>
      <c r="K944" s="8">
        <f>IF(Table134[[#This Row],[check]]=1,1,Table134[[#This Row],[A_tree]]*Table134[[#This Row],[اصله مستقل]]/Table134[[#This Row],[مساحت آدرس]])</f>
        <v>1</v>
      </c>
      <c r="L944" s="14">
        <f>IF(Table134[[#This Row],[check]]=1,1,(Table134[[#This Row],[Psh]]+0.15*(1-Table134[[#This Row],[Psh]])))</f>
        <v>1</v>
      </c>
      <c r="M944" s="14">
        <f>IF(Table134[[#This Row],[check]]=1,0.65,1)</f>
        <v>0.65</v>
      </c>
      <c r="N944" s="4">
        <v>1</v>
      </c>
      <c r="O944" s="4">
        <f>IF(Table134[[#This Row],[check]]=1,Table134[[#This Row],[مساحت آدرس]]*Table134[[#This Row],[A0 Inc]],Table134[[#This Row],[A_tree]]*Table134[[#This Row],[اصله مستقل]])</f>
        <v>3305</v>
      </c>
      <c r="P944" s="11">
        <f>IF(Table134[[#This Row],[check]]=1,Table134[[#This Row],[A0]]/Table134[[#This Row],[اصله مستقل]],Table134[[#This Row],[A_tree]])</f>
        <v>6.1431226765799254</v>
      </c>
    </row>
    <row r="945" spans="2:16" ht="18.600000000000001" x14ac:dyDescent="0.3">
      <c r="B945" s="4" t="s">
        <v>1406</v>
      </c>
      <c r="C945" s="4">
        <v>371</v>
      </c>
      <c r="D945" s="4">
        <v>371</v>
      </c>
      <c r="E945" s="4">
        <v>1484</v>
      </c>
      <c r="F945" s="4">
        <v>1797</v>
      </c>
      <c r="G945" s="2" t="s">
        <v>21</v>
      </c>
      <c r="H945" s="4">
        <v>9</v>
      </c>
      <c r="I945" s="4">
        <f>Table134[[#This Row],[اصله مستقل]]*Table134[[#This Row],[A_tree]]</f>
        <v>3339</v>
      </c>
      <c r="J945" s="4">
        <f>IF(Table134[[#This Row],[n * A_tree ]]&gt;Table134[[#This Row],[مساحت آدرس]],1,0)</f>
        <v>1</v>
      </c>
      <c r="K945" s="8">
        <f>IF(Table134[[#This Row],[check]]=1,1,Table134[[#This Row],[A_tree]]*Table134[[#This Row],[اصله مستقل]]/Table134[[#This Row],[مساحت آدرس]])</f>
        <v>1</v>
      </c>
      <c r="L945" s="14">
        <f>IF(Table134[[#This Row],[check]]=1,1,(Table134[[#This Row],[Psh]]+0.15*(1-Table134[[#This Row],[Psh]])))</f>
        <v>1</v>
      </c>
      <c r="M945" s="14">
        <f>IF(Table134[[#This Row],[check]]=1,0.65,1)</f>
        <v>0.65</v>
      </c>
      <c r="N945" s="4">
        <v>1</v>
      </c>
      <c r="O945" s="4">
        <f>IF(Table134[[#This Row],[check]]=1,Table134[[#This Row],[مساحت آدرس]]*Table134[[#This Row],[A0 Inc]],Table134[[#This Row],[A_tree]]*Table134[[#This Row],[اصله مستقل]])</f>
        <v>1797</v>
      </c>
      <c r="P945" s="11">
        <f>IF(Table134[[#This Row],[check]]=1,Table134[[#This Row],[A0]]/Table134[[#This Row],[اصله مستقل]],Table134[[#This Row],[A_tree]])</f>
        <v>4.8436657681940698</v>
      </c>
    </row>
    <row r="946" spans="2:16" ht="18.600000000000001" x14ac:dyDescent="0.3">
      <c r="B946" s="4" t="s">
        <v>1407</v>
      </c>
      <c r="C946" s="4">
        <v>1200</v>
      </c>
      <c r="D946" s="4">
        <v>1200</v>
      </c>
      <c r="E946" s="4">
        <v>2788</v>
      </c>
      <c r="F946" s="4">
        <v>2788</v>
      </c>
      <c r="G946" s="2" t="s">
        <v>21</v>
      </c>
      <c r="H946" s="4">
        <v>9</v>
      </c>
      <c r="I946" s="4">
        <f>Table134[[#This Row],[اصله مستقل]]*Table134[[#This Row],[A_tree]]</f>
        <v>10800</v>
      </c>
      <c r="J946" s="4">
        <f>IF(Table134[[#This Row],[n * A_tree ]]&gt;Table134[[#This Row],[مساحت آدرس]],1,0)</f>
        <v>1</v>
      </c>
      <c r="K946" s="8">
        <f>IF(Table134[[#This Row],[check]]=1,1,Table134[[#This Row],[A_tree]]*Table134[[#This Row],[اصله مستقل]]/Table134[[#This Row],[مساحت آدرس]])</f>
        <v>1</v>
      </c>
      <c r="L946" s="14">
        <f>IF(Table134[[#This Row],[check]]=1,1,(Table134[[#This Row],[Psh]]+0.15*(1-Table134[[#This Row],[Psh]])))</f>
        <v>1</v>
      </c>
      <c r="M946" s="14">
        <f>IF(Table134[[#This Row],[check]]=1,0.65,1)</f>
        <v>0.65</v>
      </c>
      <c r="N946" s="4">
        <v>1</v>
      </c>
      <c r="O946" s="4">
        <f>IF(Table134[[#This Row],[check]]=1,Table134[[#This Row],[مساحت آدرس]]*Table134[[#This Row],[A0 Inc]],Table134[[#This Row],[A_tree]]*Table134[[#This Row],[اصله مستقل]])</f>
        <v>2788</v>
      </c>
      <c r="P946" s="11">
        <f>IF(Table134[[#This Row],[check]]=1,Table134[[#This Row],[A0]]/Table134[[#This Row],[اصله مستقل]],Table134[[#This Row],[A_tree]])</f>
        <v>2.3233333333333333</v>
      </c>
    </row>
    <row r="947" spans="2:16" ht="18.600000000000001" x14ac:dyDescent="0.3">
      <c r="B947" s="4" t="s">
        <v>1408</v>
      </c>
      <c r="C947" s="4">
        <v>236</v>
      </c>
      <c r="D947" s="4">
        <v>236</v>
      </c>
      <c r="E947" s="4">
        <v>1710</v>
      </c>
      <c r="F947" s="4">
        <v>1870</v>
      </c>
      <c r="G947" s="2" t="s">
        <v>21</v>
      </c>
      <c r="H947" s="4">
        <v>9</v>
      </c>
      <c r="I947" s="4">
        <f>Table134[[#This Row],[اصله مستقل]]*Table134[[#This Row],[A_tree]]</f>
        <v>2124</v>
      </c>
      <c r="J947" s="4">
        <f>IF(Table134[[#This Row],[n * A_tree ]]&gt;Table134[[#This Row],[مساحت آدرس]],1,0)</f>
        <v>1</v>
      </c>
      <c r="K947" s="8">
        <f>IF(Table134[[#This Row],[check]]=1,1,Table134[[#This Row],[A_tree]]*Table134[[#This Row],[اصله مستقل]]/Table134[[#This Row],[مساحت آدرس]])</f>
        <v>1</v>
      </c>
      <c r="L947" s="14">
        <f>IF(Table134[[#This Row],[check]]=1,1,(Table134[[#This Row],[Psh]]+0.15*(1-Table134[[#This Row],[Psh]])))</f>
        <v>1</v>
      </c>
      <c r="M947" s="14">
        <f>IF(Table134[[#This Row],[check]]=1,0.65,1)</f>
        <v>0.65</v>
      </c>
      <c r="N947" s="4">
        <v>1</v>
      </c>
      <c r="O947" s="4">
        <f>IF(Table134[[#This Row],[check]]=1,Table134[[#This Row],[مساحت آدرس]]*Table134[[#This Row],[A0 Inc]],Table134[[#This Row],[A_tree]]*Table134[[#This Row],[اصله مستقل]])</f>
        <v>1870</v>
      </c>
      <c r="P947" s="11">
        <f>IF(Table134[[#This Row],[check]]=1,Table134[[#This Row],[A0]]/Table134[[#This Row],[اصله مستقل]],Table134[[#This Row],[A_tree]])</f>
        <v>7.9237288135593218</v>
      </c>
    </row>
    <row r="948" spans="2:16" ht="18.600000000000001" x14ac:dyDescent="0.3">
      <c r="B948" s="4" t="s">
        <v>1409</v>
      </c>
      <c r="C948" s="4">
        <v>407</v>
      </c>
      <c r="D948" s="4">
        <v>407</v>
      </c>
      <c r="E948" s="4">
        <v>1000</v>
      </c>
      <c r="F948" s="4">
        <v>1000</v>
      </c>
      <c r="G948" s="2" t="s">
        <v>21</v>
      </c>
      <c r="H948" s="4">
        <v>9</v>
      </c>
      <c r="I948" s="4">
        <f>Table134[[#This Row],[اصله مستقل]]*Table134[[#This Row],[A_tree]]</f>
        <v>3663</v>
      </c>
      <c r="J948" s="4">
        <f>IF(Table134[[#This Row],[n * A_tree ]]&gt;Table134[[#This Row],[مساحت آدرس]],1,0)</f>
        <v>1</v>
      </c>
      <c r="K948" s="8">
        <f>IF(Table134[[#This Row],[check]]=1,1,Table134[[#This Row],[A_tree]]*Table134[[#This Row],[اصله مستقل]]/Table134[[#This Row],[مساحت آدرس]])</f>
        <v>1</v>
      </c>
      <c r="L948" s="14">
        <f>IF(Table134[[#This Row],[check]]=1,1,(Table134[[#This Row],[Psh]]+0.15*(1-Table134[[#This Row],[Psh]])))</f>
        <v>1</v>
      </c>
      <c r="M948" s="14">
        <f>IF(Table134[[#This Row],[check]]=1,0.65,1)</f>
        <v>0.65</v>
      </c>
      <c r="N948" s="4">
        <v>1</v>
      </c>
      <c r="O948" s="4">
        <f>IF(Table134[[#This Row],[check]]=1,Table134[[#This Row],[مساحت آدرس]]*Table134[[#This Row],[A0 Inc]],Table134[[#This Row],[A_tree]]*Table134[[#This Row],[اصله مستقل]])</f>
        <v>1000</v>
      </c>
      <c r="P948" s="11">
        <f>IF(Table134[[#This Row],[check]]=1,Table134[[#This Row],[A0]]/Table134[[#This Row],[اصله مستقل]],Table134[[#This Row],[A_tree]])</f>
        <v>2.4570024570024569</v>
      </c>
    </row>
    <row r="949" spans="2:16" ht="18.600000000000001" x14ac:dyDescent="0.3">
      <c r="B949" s="4" t="s">
        <v>1413</v>
      </c>
      <c r="C949" s="4">
        <v>5153</v>
      </c>
      <c r="D949" s="4">
        <v>4849</v>
      </c>
      <c r="E949" s="4">
        <v>28237</v>
      </c>
      <c r="F949" s="4">
        <v>35753</v>
      </c>
      <c r="G949" s="2" t="s">
        <v>300</v>
      </c>
      <c r="H949" s="4">
        <v>9</v>
      </c>
      <c r="I949" s="4">
        <f>Table134[[#This Row],[اصله مستقل]]*Table134[[#This Row],[A_tree]]</f>
        <v>43641</v>
      </c>
      <c r="J949" s="4">
        <f>IF(Table134[[#This Row],[n * A_tree ]]&gt;Table134[[#This Row],[مساحت آدرس]],1,0)</f>
        <v>1</v>
      </c>
      <c r="K949" s="8">
        <f>IF(Table134[[#This Row],[check]]=1,1,Table134[[#This Row],[A_tree]]*Table134[[#This Row],[اصله مستقل]]/Table134[[#This Row],[مساحت آدرس]])</f>
        <v>1</v>
      </c>
      <c r="L949" s="14">
        <f>IF(Table134[[#This Row],[check]]=1,1,(Table134[[#This Row],[Psh]]+0.15*(1-Table134[[#This Row],[Psh]])))</f>
        <v>1</v>
      </c>
      <c r="M949" s="14">
        <f>IF(Table134[[#This Row],[check]]=1,0.65,1)</f>
        <v>0.65</v>
      </c>
      <c r="N949" s="4">
        <v>1</v>
      </c>
      <c r="O949" s="4">
        <f>IF(Table134[[#This Row],[check]]=1,Table134[[#This Row],[مساحت آدرس]]*Table134[[#This Row],[A0 Inc]],Table134[[#This Row],[A_tree]]*Table134[[#This Row],[اصله مستقل]])</f>
        <v>35753</v>
      </c>
      <c r="P949" s="11">
        <f>IF(Table134[[#This Row],[check]]=1,Table134[[#This Row],[A0]]/Table134[[#This Row],[اصله مستقل]],Table134[[#This Row],[A_tree]])</f>
        <v>7.3732728397607756</v>
      </c>
    </row>
    <row r="950" spans="2:16" ht="18.600000000000001" x14ac:dyDescent="0.3">
      <c r="B950" s="4" t="s">
        <v>1414</v>
      </c>
      <c r="C950" s="4">
        <v>249</v>
      </c>
      <c r="D950" s="4">
        <v>108</v>
      </c>
      <c r="E950" s="4">
        <v>445</v>
      </c>
      <c r="F950" s="4">
        <v>1467</v>
      </c>
      <c r="G950" s="2" t="s">
        <v>21</v>
      </c>
      <c r="H950" s="4">
        <v>9</v>
      </c>
      <c r="I950" s="4">
        <f>Table134[[#This Row],[اصله مستقل]]*Table134[[#This Row],[A_tree]]</f>
        <v>972</v>
      </c>
      <c r="J950" s="4">
        <f>IF(Table134[[#This Row],[n * A_tree ]]&gt;Table134[[#This Row],[مساحت آدرس]],1,0)</f>
        <v>0</v>
      </c>
      <c r="K950" s="8">
        <f>IF(Table134[[#This Row],[check]]=1,1,Table134[[#This Row],[A_tree]]*Table134[[#This Row],[اصله مستقل]]/Table134[[#This Row],[مساحت آدرس]])</f>
        <v>0.66257668711656437</v>
      </c>
      <c r="L950" s="14">
        <f>IF(Table134[[#This Row],[check]]=1,1,(Table134[[#This Row],[Psh]]+0.15*(1-Table134[[#This Row],[Psh]])))</f>
        <v>0.71319018404907975</v>
      </c>
      <c r="M950" s="14">
        <f>IF(Table134[[#This Row],[check]]=1,0.65,1)</f>
        <v>1</v>
      </c>
      <c r="N950" s="4">
        <v>1</v>
      </c>
      <c r="O950" s="4">
        <f>IF(Table134[[#This Row],[check]]=1,Table134[[#This Row],[مساحت آدرس]]*Table134[[#This Row],[A0 Inc]],Table134[[#This Row],[A_tree]]*Table134[[#This Row],[اصله مستقل]])</f>
        <v>972</v>
      </c>
      <c r="P950" s="11">
        <f>IF(Table134[[#This Row],[check]]=1,Table134[[#This Row],[A0]]/Table134[[#This Row],[اصله مستقل]],Table134[[#This Row],[A_tree]])</f>
        <v>9</v>
      </c>
    </row>
    <row r="951" spans="2:16" ht="18.600000000000001" x14ac:dyDescent="0.3">
      <c r="B951" s="4" t="s">
        <v>1415</v>
      </c>
      <c r="C951" s="4">
        <v>1006</v>
      </c>
      <c r="D951" s="4">
        <v>1006</v>
      </c>
      <c r="E951" s="4">
        <v>1684</v>
      </c>
      <c r="F951" s="4">
        <v>1694</v>
      </c>
      <c r="G951" s="2" t="s">
        <v>21</v>
      </c>
      <c r="H951" s="4">
        <v>9</v>
      </c>
      <c r="I951" s="4">
        <f>Table134[[#This Row],[اصله مستقل]]*Table134[[#This Row],[A_tree]]</f>
        <v>9054</v>
      </c>
      <c r="J951" s="4">
        <f>IF(Table134[[#This Row],[n * A_tree ]]&gt;Table134[[#This Row],[مساحت آدرس]],1,0)</f>
        <v>1</v>
      </c>
      <c r="K951" s="8">
        <f>IF(Table134[[#This Row],[check]]=1,1,Table134[[#This Row],[A_tree]]*Table134[[#This Row],[اصله مستقل]]/Table134[[#This Row],[مساحت آدرس]])</f>
        <v>1</v>
      </c>
      <c r="L951" s="14">
        <f>IF(Table134[[#This Row],[check]]=1,1,(Table134[[#This Row],[Psh]]+0.15*(1-Table134[[#This Row],[Psh]])))</f>
        <v>1</v>
      </c>
      <c r="M951" s="14">
        <f>IF(Table134[[#This Row],[check]]=1,0.65,1)</f>
        <v>0.65</v>
      </c>
      <c r="N951" s="4">
        <v>1</v>
      </c>
      <c r="O951" s="4">
        <f>IF(Table134[[#This Row],[check]]=1,Table134[[#This Row],[مساحت آدرس]]*Table134[[#This Row],[A0 Inc]],Table134[[#This Row],[A_tree]]*Table134[[#This Row],[اصله مستقل]])</f>
        <v>1694</v>
      </c>
      <c r="P951" s="11">
        <f>IF(Table134[[#This Row],[check]]=1,Table134[[#This Row],[A0]]/Table134[[#This Row],[اصله مستقل]],Table134[[#This Row],[A_tree]])</f>
        <v>1.6838966202783301</v>
      </c>
    </row>
    <row r="952" spans="2:16" ht="18.600000000000001" x14ac:dyDescent="0.3">
      <c r="B952" s="4" t="s">
        <v>1416</v>
      </c>
      <c r="C952" s="4">
        <v>82</v>
      </c>
      <c r="D952" s="4">
        <v>82</v>
      </c>
      <c r="E952" s="4">
        <v>800</v>
      </c>
      <c r="F952" s="4">
        <v>800</v>
      </c>
      <c r="G952" s="2" t="s">
        <v>21</v>
      </c>
      <c r="H952" s="4">
        <v>9</v>
      </c>
      <c r="I952" s="4">
        <f>Table134[[#This Row],[اصله مستقل]]*Table134[[#This Row],[A_tree]]</f>
        <v>738</v>
      </c>
      <c r="J952" s="4">
        <f>IF(Table134[[#This Row],[n * A_tree ]]&gt;Table134[[#This Row],[مساحت آدرس]],1,0)</f>
        <v>0</v>
      </c>
      <c r="K952" s="8">
        <f>IF(Table134[[#This Row],[check]]=1,1,Table134[[#This Row],[A_tree]]*Table134[[#This Row],[اصله مستقل]]/Table134[[#This Row],[مساحت آدرس]])</f>
        <v>0.92249999999999999</v>
      </c>
      <c r="L952" s="14">
        <f>IF(Table134[[#This Row],[check]]=1,1,(Table134[[#This Row],[Psh]]+0.15*(1-Table134[[#This Row],[Psh]])))</f>
        <v>0.93412499999999998</v>
      </c>
      <c r="M952" s="14">
        <f>IF(Table134[[#This Row],[check]]=1,0.65,1)</f>
        <v>1</v>
      </c>
      <c r="N952" s="4">
        <v>1</v>
      </c>
      <c r="O952" s="4">
        <f>IF(Table134[[#This Row],[check]]=1,Table134[[#This Row],[مساحت آدرس]]*Table134[[#This Row],[A0 Inc]],Table134[[#This Row],[A_tree]]*Table134[[#This Row],[اصله مستقل]])</f>
        <v>738</v>
      </c>
      <c r="P952" s="11">
        <f>IF(Table134[[#This Row],[check]]=1,Table134[[#This Row],[A0]]/Table134[[#This Row],[اصله مستقل]],Table134[[#This Row],[A_tree]])</f>
        <v>9</v>
      </c>
    </row>
    <row r="953" spans="2:16" ht="18.600000000000001" x14ac:dyDescent="0.3">
      <c r="B953" s="4" t="s">
        <v>1417</v>
      </c>
      <c r="C953" s="4">
        <v>159</v>
      </c>
      <c r="D953" s="4">
        <v>159</v>
      </c>
      <c r="E953" s="4">
        <v>780</v>
      </c>
      <c r="F953" s="4">
        <v>780</v>
      </c>
      <c r="G953" s="2" t="s">
        <v>21</v>
      </c>
      <c r="H953" s="4">
        <v>9</v>
      </c>
      <c r="I953" s="4">
        <f>Table134[[#This Row],[اصله مستقل]]*Table134[[#This Row],[A_tree]]</f>
        <v>1431</v>
      </c>
      <c r="J953" s="4">
        <f>IF(Table134[[#This Row],[n * A_tree ]]&gt;Table134[[#This Row],[مساحت آدرس]],1,0)</f>
        <v>1</v>
      </c>
      <c r="K953" s="8">
        <f>IF(Table134[[#This Row],[check]]=1,1,Table134[[#This Row],[A_tree]]*Table134[[#This Row],[اصله مستقل]]/Table134[[#This Row],[مساحت آدرس]])</f>
        <v>1</v>
      </c>
      <c r="L953" s="14">
        <f>IF(Table134[[#This Row],[check]]=1,1,(Table134[[#This Row],[Psh]]+0.15*(1-Table134[[#This Row],[Psh]])))</f>
        <v>1</v>
      </c>
      <c r="M953" s="14">
        <f>IF(Table134[[#This Row],[check]]=1,0.65,1)</f>
        <v>0.65</v>
      </c>
      <c r="N953" s="4">
        <v>1</v>
      </c>
      <c r="O953" s="4">
        <f>IF(Table134[[#This Row],[check]]=1,Table134[[#This Row],[مساحت آدرس]]*Table134[[#This Row],[A0 Inc]],Table134[[#This Row],[A_tree]]*Table134[[#This Row],[اصله مستقل]])</f>
        <v>780</v>
      </c>
      <c r="P953" s="11">
        <f>IF(Table134[[#This Row],[check]]=1,Table134[[#This Row],[A0]]/Table134[[#This Row],[اصله مستقل]],Table134[[#This Row],[A_tree]])</f>
        <v>4.9056603773584904</v>
      </c>
    </row>
    <row r="954" spans="2:16" ht="18.600000000000001" x14ac:dyDescent="0.3">
      <c r="B954" s="4" t="s">
        <v>1418</v>
      </c>
      <c r="C954" s="4">
        <v>112</v>
      </c>
      <c r="D954" s="4">
        <v>112</v>
      </c>
      <c r="E954" s="4">
        <v>440</v>
      </c>
      <c r="F954" s="4">
        <v>440</v>
      </c>
      <c r="G954" s="2" t="s">
        <v>21</v>
      </c>
      <c r="H954" s="4">
        <v>9</v>
      </c>
      <c r="I954" s="4">
        <f>Table134[[#This Row],[اصله مستقل]]*Table134[[#This Row],[A_tree]]</f>
        <v>1008</v>
      </c>
      <c r="J954" s="4">
        <f>IF(Table134[[#This Row],[n * A_tree ]]&gt;Table134[[#This Row],[مساحت آدرس]],1,0)</f>
        <v>1</v>
      </c>
      <c r="K954" s="8">
        <f>IF(Table134[[#This Row],[check]]=1,1,Table134[[#This Row],[A_tree]]*Table134[[#This Row],[اصله مستقل]]/Table134[[#This Row],[مساحت آدرس]])</f>
        <v>1</v>
      </c>
      <c r="L954" s="14">
        <f>IF(Table134[[#This Row],[check]]=1,1,(Table134[[#This Row],[Psh]]+0.15*(1-Table134[[#This Row],[Psh]])))</f>
        <v>1</v>
      </c>
      <c r="M954" s="14">
        <f>IF(Table134[[#This Row],[check]]=1,0.65,1)</f>
        <v>0.65</v>
      </c>
      <c r="N954" s="4">
        <v>1</v>
      </c>
      <c r="O954" s="4">
        <f>IF(Table134[[#This Row],[check]]=1,Table134[[#This Row],[مساحت آدرس]]*Table134[[#This Row],[A0 Inc]],Table134[[#This Row],[A_tree]]*Table134[[#This Row],[اصله مستقل]])</f>
        <v>440</v>
      </c>
      <c r="P954" s="11">
        <f>IF(Table134[[#This Row],[check]]=1,Table134[[#This Row],[A0]]/Table134[[#This Row],[اصله مستقل]],Table134[[#This Row],[A_tree]])</f>
        <v>3.9285714285714284</v>
      </c>
    </row>
    <row r="955" spans="2:16" ht="18.600000000000001" x14ac:dyDescent="0.3">
      <c r="B955" s="4" t="s">
        <v>1419</v>
      </c>
      <c r="C955" s="4">
        <v>89</v>
      </c>
      <c r="D955" s="4">
        <v>89</v>
      </c>
      <c r="E955" s="4">
        <v>700</v>
      </c>
      <c r="F955" s="4">
        <v>700</v>
      </c>
      <c r="G955" s="2" t="s">
        <v>21</v>
      </c>
      <c r="H955" s="4">
        <v>9</v>
      </c>
      <c r="I955" s="4">
        <f>Table134[[#This Row],[اصله مستقل]]*Table134[[#This Row],[A_tree]]</f>
        <v>801</v>
      </c>
      <c r="J955" s="4">
        <f>IF(Table134[[#This Row],[n * A_tree ]]&gt;Table134[[#This Row],[مساحت آدرس]],1,0)</f>
        <v>1</v>
      </c>
      <c r="K955" s="8">
        <f>IF(Table134[[#This Row],[check]]=1,1,Table134[[#This Row],[A_tree]]*Table134[[#This Row],[اصله مستقل]]/Table134[[#This Row],[مساحت آدرس]])</f>
        <v>1</v>
      </c>
      <c r="L955" s="14">
        <f>IF(Table134[[#This Row],[check]]=1,1,(Table134[[#This Row],[Psh]]+0.15*(1-Table134[[#This Row],[Psh]])))</f>
        <v>1</v>
      </c>
      <c r="M955" s="14">
        <f>IF(Table134[[#This Row],[check]]=1,0.65,1)</f>
        <v>0.65</v>
      </c>
      <c r="N955" s="4">
        <v>1</v>
      </c>
      <c r="O955" s="4">
        <f>IF(Table134[[#This Row],[check]]=1,Table134[[#This Row],[مساحت آدرس]]*Table134[[#This Row],[A0 Inc]],Table134[[#This Row],[A_tree]]*Table134[[#This Row],[اصله مستقل]])</f>
        <v>700</v>
      </c>
      <c r="P955" s="11">
        <f>IF(Table134[[#This Row],[check]]=1,Table134[[#This Row],[A0]]/Table134[[#This Row],[اصله مستقل]],Table134[[#This Row],[A_tree]])</f>
        <v>7.8651685393258424</v>
      </c>
    </row>
    <row r="956" spans="2:16" ht="18.600000000000001" x14ac:dyDescent="0.3">
      <c r="B956" s="4" t="s">
        <v>1420</v>
      </c>
      <c r="C956" s="4">
        <v>145</v>
      </c>
      <c r="D956" s="4">
        <v>145</v>
      </c>
      <c r="E956" s="4">
        <v>195</v>
      </c>
      <c r="F956" s="4">
        <v>195</v>
      </c>
      <c r="G956" s="2" t="s">
        <v>21</v>
      </c>
      <c r="H956" s="4">
        <v>9</v>
      </c>
      <c r="I956" s="4">
        <f>Table134[[#This Row],[اصله مستقل]]*Table134[[#This Row],[A_tree]]</f>
        <v>1305</v>
      </c>
      <c r="J956" s="4">
        <f>IF(Table134[[#This Row],[n * A_tree ]]&gt;Table134[[#This Row],[مساحت آدرس]],1,0)</f>
        <v>1</v>
      </c>
      <c r="K956" s="8">
        <f>IF(Table134[[#This Row],[check]]=1,1,Table134[[#This Row],[A_tree]]*Table134[[#This Row],[اصله مستقل]]/Table134[[#This Row],[مساحت آدرس]])</f>
        <v>1</v>
      </c>
      <c r="L956" s="14">
        <f>IF(Table134[[#This Row],[check]]=1,1,(Table134[[#This Row],[Psh]]+0.15*(1-Table134[[#This Row],[Psh]])))</f>
        <v>1</v>
      </c>
      <c r="M956" s="14">
        <f>IF(Table134[[#This Row],[check]]=1,0.65,1)</f>
        <v>0.65</v>
      </c>
      <c r="N956" s="4">
        <v>1</v>
      </c>
      <c r="O956" s="4">
        <f>IF(Table134[[#This Row],[check]]=1,Table134[[#This Row],[مساحت آدرس]]*Table134[[#This Row],[A0 Inc]],Table134[[#This Row],[A_tree]]*Table134[[#This Row],[اصله مستقل]])</f>
        <v>195</v>
      </c>
      <c r="P956" s="11">
        <f>IF(Table134[[#This Row],[check]]=1,Table134[[#This Row],[A0]]/Table134[[#This Row],[اصله مستقل]],Table134[[#This Row],[A_tree]])</f>
        <v>1.3448275862068966</v>
      </c>
    </row>
    <row r="957" spans="2:16" ht="18.600000000000001" x14ac:dyDescent="0.3">
      <c r="B957" s="4" t="s">
        <v>1421</v>
      </c>
      <c r="C957" s="4">
        <v>420</v>
      </c>
      <c r="D957" s="4">
        <v>420</v>
      </c>
      <c r="E957" s="4">
        <v>1684</v>
      </c>
      <c r="F957" s="4">
        <v>1684</v>
      </c>
      <c r="G957" s="2" t="s">
        <v>21</v>
      </c>
      <c r="H957" s="4">
        <v>9</v>
      </c>
      <c r="I957" s="4">
        <f>Table134[[#This Row],[اصله مستقل]]*Table134[[#This Row],[A_tree]]</f>
        <v>3780</v>
      </c>
      <c r="J957" s="4">
        <f>IF(Table134[[#This Row],[n * A_tree ]]&gt;Table134[[#This Row],[مساحت آدرس]],1,0)</f>
        <v>1</v>
      </c>
      <c r="K957" s="8">
        <f>IF(Table134[[#This Row],[check]]=1,1,Table134[[#This Row],[A_tree]]*Table134[[#This Row],[اصله مستقل]]/Table134[[#This Row],[مساحت آدرس]])</f>
        <v>1</v>
      </c>
      <c r="L957" s="14">
        <f>IF(Table134[[#This Row],[check]]=1,1,(Table134[[#This Row],[Psh]]+0.15*(1-Table134[[#This Row],[Psh]])))</f>
        <v>1</v>
      </c>
      <c r="M957" s="14">
        <f>IF(Table134[[#This Row],[check]]=1,0.65,1)</f>
        <v>0.65</v>
      </c>
      <c r="N957" s="4">
        <v>1</v>
      </c>
      <c r="O957" s="4">
        <f>IF(Table134[[#This Row],[check]]=1,Table134[[#This Row],[مساحت آدرس]]*Table134[[#This Row],[A0 Inc]],Table134[[#This Row],[A_tree]]*Table134[[#This Row],[اصله مستقل]])</f>
        <v>1684</v>
      </c>
      <c r="P957" s="11">
        <f>IF(Table134[[#This Row],[check]]=1,Table134[[#This Row],[A0]]/Table134[[#This Row],[اصله مستقل]],Table134[[#This Row],[A_tree]])</f>
        <v>4.0095238095238095</v>
      </c>
    </row>
    <row r="958" spans="2:16" ht="18.600000000000001" x14ac:dyDescent="0.3">
      <c r="B958" s="4" t="s">
        <v>1422</v>
      </c>
      <c r="C958" s="4">
        <v>1304</v>
      </c>
      <c r="D958" s="4">
        <v>1304</v>
      </c>
      <c r="E958" s="4">
        <v>3400</v>
      </c>
      <c r="F958" s="4">
        <v>3400</v>
      </c>
      <c r="G958" s="2" t="s">
        <v>21</v>
      </c>
      <c r="H958" s="4">
        <v>9</v>
      </c>
      <c r="I958" s="4">
        <f>Table134[[#This Row],[اصله مستقل]]*Table134[[#This Row],[A_tree]]</f>
        <v>11736</v>
      </c>
      <c r="J958" s="4">
        <f>IF(Table134[[#This Row],[n * A_tree ]]&gt;Table134[[#This Row],[مساحت آدرس]],1,0)</f>
        <v>1</v>
      </c>
      <c r="K958" s="8">
        <f>IF(Table134[[#This Row],[check]]=1,1,Table134[[#This Row],[A_tree]]*Table134[[#This Row],[اصله مستقل]]/Table134[[#This Row],[مساحت آدرس]])</f>
        <v>1</v>
      </c>
      <c r="L958" s="14">
        <f>IF(Table134[[#This Row],[check]]=1,1,(Table134[[#This Row],[Psh]]+0.15*(1-Table134[[#This Row],[Psh]])))</f>
        <v>1</v>
      </c>
      <c r="M958" s="14">
        <f>IF(Table134[[#This Row],[check]]=1,0.65,1)</f>
        <v>0.65</v>
      </c>
      <c r="N958" s="4">
        <v>1</v>
      </c>
      <c r="O958" s="4">
        <f>IF(Table134[[#This Row],[check]]=1,Table134[[#This Row],[مساحت آدرس]]*Table134[[#This Row],[A0 Inc]],Table134[[#This Row],[A_tree]]*Table134[[#This Row],[اصله مستقل]])</f>
        <v>3400</v>
      </c>
      <c r="P958" s="11">
        <f>IF(Table134[[#This Row],[check]]=1,Table134[[#This Row],[A0]]/Table134[[#This Row],[اصله مستقل]],Table134[[#This Row],[A_tree]])</f>
        <v>2.6073619631901841</v>
      </c>
    </row>
    <row r="959" spans="2:16" ht="18.600000000000001" x14ac:dyDescent="0.3">
      <c r="B959" s="4" t="s">
        <v>1423</v>
      </c>
      <c r="C959" s="4">
        <v>196</v>
      </c>
      <c r="D959" s="4">
        <v>196</v>
      </c>
      <c r="E959" s="4">
        <v>196</v>
      </c>
      <c r="F959" s="4">
        <v>196</v>
      </c>
      <c r="G959" s="2" t="s">
        <v>21</v>
      </c>
      <c r="H959" s="4">
        <v>9</v>
      </c>
      <c r="I959" s="4">
        <f>Table134[[#This Row],[اصله مستقل]]*Table134[[#This Row],[A_tree]]</f>
        <v>1764</v>
      </c>
      <c r="J959" s="4">
        <f>IF(Table134[[#This Row],[n * A_tree ]]&gt;Table134[[#This Row],[مساحت آدرس]],1,0)</f>
        <v>1</v>
      </c>
      <c r="K959" s="8">
        <f>IF(Table134[[#This Row],[check]]=1,1,Table134[[#This Row],[A_tree]]*Table134[[#This Row],[اصله مستقل]]/Table134[[#This Row],[مساحت آدرس]])</f>
        <v>1</v>
      </c>
      <c r="L959" s="14">
        <f>IF(Table134[[#This Row],[check]]=1,1,(Table134[[#This Row],[Psh]]+0.15*(1-Table134[[#This Row],[Psh]])))</f>
        <v>1</v>
      </c>
      <c r="M959" s="14">
        <f>IF(Table134[[#This Row],[check]]=1,0.65,1)</f>
        <v>0.65</v>
      </c>
      <c r="N959" s="4">
        <v>1</v>
      </c>
      <c r="O959" s="4">
        <f>IF(Table134[[#This Row],[check]]=1,Table134[[#This Row],[مساحت آدرس]]*Table134[[#This Row],[A0 Inc]],Table134[[#This Row],[A_tree]]*Table134[[#This Row],[اصله مستقل]])</f>
        <v>196</v>
      </c>
      <c r="P959" s="11">
        <f>IF(Table134[[#This Row],[check]]=1,Table134[[#This Row],[A0]]/Table134[[#This Row],[اصله مستقل]],Table134[[#This Row],[A_tree]])</f>
        <v>1</v>
      </c>
    </row>
    <row r="960" spans="2:16" ht="18.600000000000001" x14ac:dyDescent="0.3">
      <c r="B960" s="4" t="s">
        <v>1424</v>
      </c>
      <c r="C960" s="4">
        <v>139</v>
      </c>
      <c r="D960" s="4">
        <v>587</v>
      </c>
      <c r="E960" s="4">
        <v>587</v>
      </c>
      <c r="F960" s="4">
        <v>587</v>
      </c>
      <c r="G960" s="2" t="s">
        <v>21</v>
      </c>
      <c r="H960" s="4">
        <v>9</v>
      </c>
      <c r="I960" s="4">
        <f>Table134[[#This Row],[اصله مستقل]]*Table134[[#This Row],[A_tree]]</f>
        <v>5283</v>
      </c>
      <c r="J960" s="4">
        <f>IF(Table134[[#This Row],[n * A_tree ]]&gt;Table134[[#This Row],[مساحت آدرس]],1,0)</f>
        <v>1</v>
      </c>
      <c r="K960" s="8">
        <f>IF(Table134[[#This Row],[check]]=1,1,Table134[[#This Row],[A_tree]]*Table134[[#This Row],[اصله مستقل]]/Table134[[#This Row],[مساحت آدرس]])</f>
        <v>1</v>
      </c>
      <c r="L960" s="14">
        <f>IF(Table134[[#This Row],[check]]=1,1,(Table134[[#This Row],[Psh]]+0.15*(1-Table134[[#This Row],[Psh]])))</f>
        <v>1</v>
      </c>
      <c r="M960" s="14">
        <f>IF(Table134[[#This Row],[check]]=1,0.65,1)</f>
        <v>0.65</v>
      </c>
      <c r="N960" s="4">
        <v>1</v>
      </c>
      <c r="O960" s="4">
        <f>IF(Table134[[#This Row],[check]]=1,Table134[[#This Row],[مساحت آدرس]]*Table134[[#This Row],[A0 Inc]],Table134[[#This Row],[A_tree]]*Table134[[#This Row],[اصله مستقل]])</f>
        <v>587</v>
      </c>
      <c r="P960" s="11">
        <f>IF(Table134[[#This Row],[check]]=1,Table134[[#This Row],[A0]]/Table134[[#This Row],[اصله مستقل]],Table134[[#This Row],[A_tree]])</f>
        <v>1</v>
      </c>
    </row>
    <row r="961" spans="2:16" ht="18.600000000000001" x14ac:dyDescent="0.3">
      <c r="B961" s="4" t="s">
        <v>1425</v>
      </c>
      <c r="C961" s="4">
        <v>83</v>
      </c>
      <c r="D961" s="4">
        <v>83</v>
      </c>
      <c r="E961" s="4">
        <v>120</v>
      </c>
      <c r="F961" s="4">
        <v>120</v>
      </c>
      <c r="G961" s="2" t="s">
        <v>21</v>
      </c>
      <c r="H961" s="4">
        <v>9</v>
      </c>
      <c r="I961" s="4">
        <f>Table134[[#This Row],[اصله مستقل]]*Table134[[#This Row],[A_tree]]</f>
        <v>747</v>
      </c>
      <c r="J961" s="4">
        <f>IF(Table134[[#This Row],[n * A_tree ]]&gt;Table134[[#This Row],[مساحت آدرس]],1,0)</f>
        <v>1</v>
      </c>
      <c r="K961" s="8">
        <f>IF(Table134[[#This Row],[check]]=1,1,Table134[[#This Row],[A_tree]]*Table134[[#This Row],[اصله مستقل]]/Table134[[#This Row],[مساحت آدرس]])</f>
        <v>1</v>
      </c>
      <c r="L961" s="14">
        <f>IF(Table134[[#This Row],[check]]=1,1,(Table134[[#This Row],[Psh]]+0.15*(1-Table134[[#This Row],[Psh]])))</f>
        <v>1</v>
      </c>
      <c r="M961" s="14">
        <f>IF(Table134[[#This Row],[check]]=1,0.65,1)</f>
        <v>0.65</v>
      </c>
      <c r="N961" s="4">
        <v>1</v>
      </c>
      <c r="O961" s="4">
        <f>IF(Table134[[#This Row],[check]]=1,Table134[[#This Row],[مساحت آدرس]]*Table134[[#This Row],[A0 Inc]],Table134[[#This Row],[A_tree]]*Table134[[#This Row],[اصله مستقل]])</f>
        <v>120</v>
      </c>
      <c r="P961" s="11">
        <f>IF(Table134[[#This Row],[check]]=1,Table134[[#This Row],[A0]]/Table134[[#This Row],[اصله مستقل]],Table134[[#This Row],[A_tree]])</f>
        <v>1.4457831325301205</v>
      </c>
    </row>
    <row r="962" spans="2:16" ht="18.600000000000001" x14ac:dyDescent="0.3">
      <c r="B962" s="4" t="s">
        <v>1426</v>
      </c>
      <c r="C962" s="4">
        <v>243</v>
      </c>
      <c r="D962" s="4">
        <v>243</v>
      </c>
      <c r="E962" s="4">
        <v>750</v>
      </c>
      <c r="F962" s="4">
        <v>750</v>
      </c>
      <c r="G962" s="2" t="s">
        <v>21</v>
      </c>
      <c r="H962" s="4">
        <v>9</v>
      </c>
      <c r="I962" s="4">
        <f>Table134[[#This Row],[اصله مستقل]]*Table134[[#This Row],[A_tree]]</f>
        <v>2187</v>
      </c>
      <c r="J962" s="4">
        <f>IF(Table134[[#This Row],[n * A_tree ]]&gt;Table134[[#This Row],[مساحت آدرس]],1,0)</f>
        <v>1</v>
      </c>
      <c r="K962" s="8">
        <f>IF(Table134[[#This Row],[check]]=1,1,Table134[[#This Row],[A_tree]]*Table134[[#This Row],[اصله مستقل]]/Table134[[#This Row],[مساحت آدرس]])</f>
        <v>1</v>
      </c>
      <c r="L962" s="14">
        <f>IF(Table134[[#This Row],[check]]=1,1,(Table134[[#This Row],[Psh]]+0.15*(1-Table134[[#This Row],[Psh]])))</f>
        <v>1</v>
      </c>
      <c r="M962" s="14">
        <f>IF(Table134[[#This Row],[check]]=1,0.65,1)</f>
        <v>0.65</v>
      </c>
      <c r="N962" s="4">
        <v>1</v>
      </c>
      <c r="O962" s="4">
        <f>IF(Table134[[#This Row],[check]]=1,Table134[[#This Row],[مساحت آدرس]]*Table134[[#This Row],[A0 Inc]],Table134[[#This Row],[A_tree]]*Table134[[#This Row],[اصله مستقل]])</f>
        <v>750</v>
      </c>
      <c r="P962" s="11">
        <f>IF(Table134[[#This Row],[check]]=1,Table134[[#This Row],[A0]]/Table134[[#This Row],[اصله مستقل]],Table134[[#This Row],[A_tree]])</f>
        <v>3.0864197530864197</v>
      </c>
    </row>
    <row r="963" spans="2:16" ht="18.600000000000001" x14ac:dyDescent="0.3">
      <c r="B963" s="4" t="s">
        <v>1427</v>
      </c>
      <c r="C963" s="4">
        <v>245</v>
      </c>
      <c r="D963" s="4">
        <v>245</v>
      </c>
      <c r="E963" s="4">
        <v>1700</v>
      </c>
      <c r="F963" s="4">
        <v>1700</v>
      </c>
      <c r="G963" s="2" t="s">
        <v>21</v>
      </c>
      <c r="H963" s="4">
        <v>9</v>
      </c>
      <c r="I963" s="4">
        <f>Table134[[#This Row],[اصله مستقل]]*Table134[[#This Row],[A_tree]]</f>
        <v>2205</v>
      </c>
      <c r="J963" s="4">
        <f>IF(Table134[[#This Row],[n * A_tree ]]&gt;Table134[[#This Row],[مساحت آدرس]],1,0)</f>
        <v>1</v>
      </c>
      <c r="K963" s="8">
        <f>IF(Table134[[#This Row],[check]]=1,1,Table134[[#This Row],[A_tree]]*Table134[[#This Row],[اصله مستقل]]/Table134[[#This Row],[مساحت آدرس]])</f>
        <v>1</v>
      </c>
      <c r="L963" s="14">
        <f>IF(Table134[[#This Row],[check]]=1,1,(Table134[[#This Row],[Psh]]+0.15*(1-Table134[[#This Row],[Psh]])))</f>
        <v>1</v>
      </c>
      <c r="M963" s="14">
        <f>IF(Table134[[#This Row],[check]]=1,0.65,1)</f>
        <v>0.65</v>
      </c>
      <c r="N963" s="4">
        <v>1</v>
      </c>
      <c r="O963" s="4">
        <f>IF(Table134[[#This Row],[check]]=1,Table134[[#This Row],[مساحت آدرس]]*Table134[[#This Row],[A0 Inc]],Table134[[#This Row],[A_tree]]*Table134[[#This Row],[اصله مستقل]])</f>
        <v>1700</v>
      </c>
      <c r="P963" s="11">
        <f>IF(Table134[[#This Row],[check]]=1,Table134[[#This Row],[A0]]/Table134[[#This Row],[اصله مستقل]],Table134[[#This Row],[A_tree]])</f>
        <v>6.9387755102040813</v>
      </c>
    </row>
    <row r="964" spans="2:16" ht="18.600000000000001" x14ac:dyDescent="0.3">
      <c r="B964" s="4" t="s">
        <v>1428</v>
      </c>
      <c r="C964" s="4">
        <v>103</v>
      </c>
      <c r="D964" s="4">
        <v>103</v>
      </c>
      <c r="E964" s="4">
        <v>103</v>
      </c>
      <c r="F964" s="4">
        <v>103</v>
      </c>
      <c r="G964" s="2" t="s">
        <v>21</v>
      </c>
      <c r="H964" s="4">
        <v>9</v>
      </c>
      <c r="I964" s="4">
        <f>Table134[[#This Row],[اصله مستقل]]*Table134[[#This Row],[A_tree]]</f>
        <v>927</v>
      </c>
      <c r="J964" s="4">
        <f>IF(Table134[[#This Row],[n * A_tree ]]&gt;Table134[[#This Row],[مساحت آدرس]],1,0)</f>
        <v>1</v>
      </c>
      <c r="K964" s="8">
        <f>IF(Table134[[#This Row],[check]]=1,1,Table134[[#This Row],[A_tree]]*Table134[[#This Row],[اصله مستقل]]/Table134[[#This Row],[مساحت آدرس]])</f>
        <v>1</v>
      </c>
      <c r="L964" s="14">
        <f>IF(Table134[[#This Row],[check]]=1,1,(Table134[[#This Row],[Psh]]+0.15*(1-Table134[[#This Row],[Psh]])))</f>
        <v>1</v>
      </c>
      <c r="M964" s="14">
        <f>IF(Table134[[#This Row],[check]]=1,0.65,1)</f>
        <v>0.65</v>
      </c>
      <c r="N964" s="4">
        <v>1</v>
      </c>
      <c r="O964" s="4">
        <f>IF(Table134[[#This Row],[check]]=1,Table134[[#This Row],[مساحت آدرس]]*Table134[[#This Row],[A0 Inc]],Table134[[#This Row],[A_tree]]*Table134[[#This Row],[اصله مستقل]])</f>
        <v>103</v>
      </c>
      <c r="P964" s="11">
        <f>IF(Table134[[#This Row],[check]]=1,Table134[[#This Row],[A0]]/Table134[[#This Row],[اصله مستقل]],Table134[[#This Row],[A_tree]])</f>
        <v>1</v>
      </c>
    </row>
    <row r="965" spans="2:16" ht="18.600000000000001" x14ac:dyDescent="0.3">
      <c r="B965" s="4" t="s">
        <v>1429</v>
      </c>
      <c r="C965" s="4">
        <v>163</v>
      </c>
      <c r="D965" s="4">
        <v>163</v>
      </c>
      <c r="E965" s="4">
        <v>400</v>
      </c>
      <c r="F965" s="4">
        <v>400</v>
      </c>
      <c r="G965" s="2" t="s">
        <v>21</v>
      </c>
      <c r="H965" s="4">
        <v>9</v>
      </c>
      <c r="I965" s="4">
        <f>Table134[[#This Row],[اصله مستقل]]*Table134[[#This Row],[A_tree]]</f>
        <v>1467</v>
      </c>
      <c r="J965" s="4">
        <f>IF(Table134[[#This Row],[n * A_tree ]]&gt;Table134[[#This Row],[مساحت آدرس]],1,0)</f>
        <v>1</v>
      </c>
      <c r="K965" s="8">
        <f>IF(Table134[[#This Row],[check]]=1,1,Table134[[#This Row],[A_tree]]*Table134[[#This Row],[اصله مستقل]]/Table134[[#This Row],[مساحت آدرس]])</f>
        <v>1</v>
      </c>
      <c r="L965" s="14">
        <f>IF(Table134[[#This Row],[check]]=1,1,(Table134[[#This Row],[Psh]]+0.15*(1-Table134[[#This Row],[Psh]])))</f>
        <v>1</v>
      </c>
      <c r="M965" s="14">
        <f>IF(Table134[[#This Row],[check]]=1,0.65,1)</f>
        <v>0.65</v>
      </c>
      <c r="N965" s="4">
        <v>1</v>
      </c>
      <c r="O965" s="4">
        <f>IF(Table134[[#This Row],[check]]=1,Table134[[#This Row],[مساحت آدرس]]*Table134[[#This Row],[A0 Inc]],Table134[[#This Row],[A_tree]]*Table134[[#This Row],[اصله مستقل]])</f>
        <v>400</v>
      </c>
      <c r="P965" s="11">
        <f>IF(Table134[[#This Row],[check]]=1,Table134[[#This Row],[A0]]/Table134[[#This Row],[اصله مستقل]],Table134[[#This Row],[A_tree]])</f>
        <v>2.4539877300613497</v>
      </c>
    </row>
    <row r="966" spans="2:16" ht="18.600000000000001" x14ac:dyDescent="0.3">
      <c r="B966" s="4" t="s">
        <v>1430</v>
      </c>
      <c r="C966" s="4">
        <v>74</v>
      </c>
      <c r="D966" s="4">
        <v>74</v>
      </c>
      <c r="E966" s="4">
        <v>200</v>
      </c>
      <c r="F966" s="4">
        <v>200</v>
      </c>
      <c r="G966" s="2" t="s">
        <v>21</v>
      </c>
      <c r="H966" s="4">
        <v>9</v>
      </c>
      <c r="I966" s="4">
        <f>Table134[[#This Row],[اصله مستقل]]*Table134[[#This Row],[A_tree]]</f>
        <v>666</v>
      </c>
      <c r="J966" s="4">
        <f>IF(Table134[[#This Row],[n * A_tree ]]&gt;Table134[[#This Row],[مساحت آدرس]],1,0)</f>
        <v>1</v>
      </c>
      <c r="K966" s="8">
        <f>IF(Table134[[#This Row],[check]]=1,1,Table134[[#This Row],[A_tree]]*Table134[[#This Row],[اصله مستقل]]/Table134[[#This Row],[مساحت آدرس]])</f>
        <v>1</v>
      </c>
      <c r="L966" s="14">
        <f>IF(Table134[[#This Row],[check]]=1,1,(Table134[[#This Row],[Psh]]+0.15*(1-Table134[[#This Row],[Psh]])))</f>
        <v>1</v>
      </c>
      <c r="M966" s="14">
        <f>IF(Table134[[#This Row],[check]]=1,0.65,1)</f>
        <v>0.65</v>
      </c>
      <c r="N966" s="4">
        <v>1</v>
      </c>
      <c r="O966" s="4">
        <f>IF(Table134[[#This Row],[check]]=1,Table134[[#This Row],[مساحت آدرس]]*Table134[[#This Row],[A0 Inc]],Table134[[#This Row],[A_tree]]*Table134[[#This Row],[اصله مستقل]])</f>
        <v>200</v>
      </c>
      <c r="P966" s="11">
        <f>IF(Table134[[#This Row],[check]]=1,Table134[[#This Row],[A0]]/Table134[[#This Row],[اصله مستقل]],Table134[[#This Row],[A_tree]])</f>
        <v>2.7027027027027026</v>
      </c>
    </row>
    <row r="967" spans="2:16" ht="18.600000000000001" x14ac:dyDescent="0.3">
      <c r="B967" s="4" t="s">
        <v>1431</v>
      </c>
      <c r="C967" s="4">
        <v>194</v>
      </c>
      <c r="D967" s="4">
        <v>194</v>
      </c>
      <c r="E967" s="4">
        <v>540</v>
      </c>
      <c r="F967" s="4">
        <v>540</v>
      </c>
      <c r="G967" s="2" t="s">
        <v>21</v>
      </c>
      <c r="H967" s="4">
        <v>9</v>
      </c>
      <c r="I967" s="4">
        <f>Table134[[#This Row],[اصله مستقل]]*Table134[[#This Row],[A_tree]]</f>
        <v>1746</v>
      </c>
      <c r="J967" s="4">
        <f>IF(Table134[[#This Row],[n * A_tree ]]&gt;Table134[[#This Row],[مساحت آدرس]],1,0)</f>
        <v>1</v>
      </c>
      <c r="K967" s="8">
        <f>IF(Table134[[#This Row],[check]]=1,1,Table134[[#This Row],[A_tree]]*Table134[[#This Row],[اصله مستقل]]/Table134[[#This Row],[مساحت آدرس]])</f>
        <v>1</v>
      </c>
      <c r="L967" s="14">
        <f>IF(Table134[[#This Row],[check]]=1,1,(Table134[[#This Row],[Psh]]+0.15*(1-Table134[[#This Row],[Psh]])))</f>
        <v>1</v>
      </c>
      <c r="M967" s="14">
        <f>IF(Table134[[#This Row],[check]]=1,0.65,1)</f>
        <v>0.65</v>
      </c>
      <c r="N967" s="4">
        <v>1</v>
      </c>
      <c r="O967" s="4">
        <f>IF(Table134[[#This Row],[check]]=1,Table134[[#This Row],[مساحت آدرس]]*Table134[[#This Row],[A0 Inc]],Table134[[#This Row],[A_tree]]*Table134[[#This Row],[اصله مستقل]])</f>
        <v>540</v>
      </c>
      <c r="P967" s="11">
        <f>IF(Table134[[#This Row],[check]]=1,Table134[[#This Row],[A0]]/Table134[[#This Row],[اصله مستقل]],Table134[[#This Row],[A_tree]])</f>
        <v>2.7835051546391751</v>
      </c>
    </row>
    <row r="968" spans="2:16" ht="18.600000000000001" x14ac:dyDescent="0.3">
      <c r="B968" s="4" t="s">
        <v>1432</v>
      </c>
      <c r="C968" s="4">
        <v>217</v>
      </c>
      <c r="D968" s="4">
        <v>145</v>
      </c>
      <c r="E968" s="4">
        <v>380</v>
      </c>
      <c r="F968" s="4">
        <v>380</v>
      </c>
      <c r="G968" s="2" t="s">
        <v>21</v>
      </c>
      <c r="H968" s="4">
        <v>9</v>
      </c>
      <c r="I968" s="4">
        <f>Table134[[#This Row],[اصله مستقل]]*Table134[[#This Row],[A_tree]]</f>
        <v>1305</v>
      </c>
      <c r="J968" s="4">
        <f>IF(Table134[[#This Row],[n * A_tree ]]&gt;Table134[[#This Row],[مساحت آدرس]],1,0)</f>
        <v>1</v>
      </c>
      <c r="K968" s="8">
        <f>IF(Table134[[#This Row],[check]]=1,1,Table134[[#This Row],[A_tree]]*Table134[[#This Row],[اصله مستقل]]/Table134[[#This Row],[مساحت آدرس]])</f>
        <v>1</v>
      </c>
      <c r="L968" s="14">
        <f>IF(Table134[[#This Row],[check]]=1,1,(Table134[[#This Row],[Psh]]+0.15*(1-Table134[[#This Row],[Psh]])))</f>
        <v>1</v>
      </c>
      <c r="M968" s="14">
        <f>IF(Table134[[#This Row],[check]]=1,0.65,1)</f>
        <v>0.65</v>
      </c>
      <c r="N968" s="4">
        <v>1</v>
      </c>
      <c r="O968" s="4">
        <f>IF(Table134[[#This Row],[check]]=1,Table134[[#This Row],[مساحت آدرس]]*Table134[[#This Row],[A0 Inc]],Table134[[#This Row],[A_tree]]*Table134[[#This Row],[اصله مستقل]])</f>
        <v>380</v>
      </c>
      <c r="P968" s="11">
        <f>IF(Table134[[#This Row],[check]]=1,Table134[[#This Row],[A0]]/Table134[[#This Row],[اصله مستقل]],Table134[[#This Row],[A_tree]])</f>
        <v>2.6206896551724137</v>
      </c>
    </row>
    <row r="969" spans="2:16" ht="18.600000000000001" x14ac:dyDescent="0.3">
      <c r="B969" s="4" t="s">
        <v>1433</v>
      </c>
      <c r="C969" s="4">
        <v>67</v>
      </c>
      <c r="D969" s="4">
        <v>67</v>
      </c>
      <c r="E969" s="4">
        <v>200</v>
      </c>
      <c r="F969" s="4">
        <v>200</v>
      </c>
      <c r="G969" s="2" t="s">
        <v>21</v>
      </c>
      <c r="H969" s="4">
        <v>9</v>
      </c>
      <c r="I969" s="4">
        <f>Table134[[#This Row],[اصله مستقل]]*Table134[[#This Row],[A_tree]]</f>
        <v>603</v>
      </c>
      <c r="J969" s="4">
        <f>IF(Table134[[#This Row],[n * A_tree ]]&gt;Table134[[#This Row],[مساحت آدرس]],1,0)</f>
        <v>1</v>
      </c>
      <c r="K969" s="8">
        <f>IF(Table134[[#This Row],[check]]=1,1,Table134[[#This Row],[A_tree]]*Table134[[#This Row],[اصله مستقل]]/Table134[[#This Row],[مساحت آدرس]])</f>
        <v>1</v>
      </c>
      <c r="L969" s="14">
        <f>IF(Table134[[#This Row],[check]]=1,1,(Table134[[#This Row],[Psh]]+0.15*(1-Table134[[#This Row],[Psh]])))</f>
        <v>1</v>
      </c>
      <c r="M969" s="14">
        <f>IF(Table134[[#This Row],[check]]=1,0.65,1)</f>
        <v>0.65</v>
      </c>
      <c r="N969" s="4">
        <v>1</v>
      </c>
      <c r="O969" s="4">
        <f>IF(Table134[[#This Row],[check]]=1,Table134[[#This Row],[مساحت آدرس]]*Table134[[#This Row],[A0 Inc]],Table134[[#This Row],[A_tree]]*Table134[[#This Row],[اصله مستقل]])</f>
        <v>200</v>
      </c>
      <c r="P969" s="11">
        <f>IF(Table134[[#This Row],[check]]=1,Table134[[#This Row],[A0]]/Table134[[#This Row],[اصله مستقل]],Table134[[#This Row],[A_tree]])</f>
        <v>2.9850746268656718</v>
      </c>
    </row>
    <row r="970" spans="2:16" ht="18.600000000000001" x14ac:dyDescent="0.3">
      <c r="B970" s="4" t="s">
        <v>1434</v>
      </c>
      <c r="C970" s="4">
        <v>226</v>
      </c>
      <c r="D970" s="4">
        <v>226</v>
      </c>
      <c r="E970" s="4">
        <v>700</v>
      </c>
      <c r="F970" s="4">
        <v>700</v>
      </c>
      <c r="G970" s="2" t="s">
        <v>21</v>
      </c>
      <c r="H970" s="4">
        <v>9</v>
      </c>
      <c r="I970" s="4">
        <f>Table134[[#This Row],[اصله مستقل]]*Table134[[#This Row],[A_tree]]</f>
        <v>2034</v>
      </c>
      <c r="J970" s="4">
        <f>IF(Table134[[#This Row],[n * A_tree ]]&gt;Table134[[#This Row],[مساحت آدرس]],1,0)</f>
        <v>1</v>
      </c>
      <c r="K970" s="8">
        <f>IF(Table134[[#This Row],[check]]=1,1,Table134[[#This Row],[A_tree]]*Table134[[#This Row],[اصله مستقل]]/Table134[[#This Row],[مساحت آدرس]])</f>
        <v>1</v>
      </c>
      <c r="L970" s="14">
        <f>IF(Table134[[#This Row],[check]]=1,1,(Table134[[#This Row],[Psh]]+0.15*(1-Table134[[#This Row],[Psh]])))</f>
        <v>1</v>
      </c>
      <c r="M970" s="14">
        <f>IF(Table134[[#This Row],[check]]=1,0.65,1)</f>
        <v>0.65</v>
      </c>
      <c r="N970" s="4">
        <v>1</v>
      </c>
      <c r="O970" s="4">
        <f>IF(Table134[[#This Row],[check]]=1,Table134[[#This Row],[مساحت آدرس]]*Table134[[#This Row],[A0 Inc]],Table134[[#This Row],[A_tree]]*Table134[[#This Row],[اصله مستقل]])</f>
        <v>700</v>
      </c>
      <c r="P970" s="11">
        <f>IF(Table134[[#This Row],[check]]=1,Table134[[#This Row],[A0]]/Table134[[#This Row],[اصله مستقل]],Table134[[#This Row],[A_tree]])</f>
        <v>3.0973451327433628</v>
      </c>
    </row>
    <row r="971" spans="2:16" ht="18.600000000000001" x14ac:dyDescent="0.3">
      <c r="B971" s="4" t="s">
        <v>1435</v>
      </c>
      <c r="C971" s="4">
        <v>128</v>
      </c>
      <c r="D971" s="4">
        <v>128</v>
      </c>
      <c r="E971" s="4">
        <v>684</v>
      </c>
      <c r="F971" s="4">
        <v>684</v>
      </c>
      <c r="G971" s="2" t="s">
        <v>21</v>
      </c>
      <c r="H971" s="4">
        <v>9</v>
      </c>
      <c r="I971" s="4">
        <f>Table134[[#This Row],[اصله مستقل]]*Table134[[#This Row],[A_tree]]</f>
        <v>1152</v>
      </c>
      <c r="J971" s="4">
        <f>IF(Table134[[#This Row],[n * A_tree ]]&gt;Table134[[#This Row],[مساحت آدرس]],1,0)</f>
        <v>1</v>
      </c>
      <c r="K971" s="8">
        <f>IF(Table134[[#This Row],[check]]=1,1,Table134[[#This Row],[A_tree]]*Table134[[#This Row],[اصله مستقل]]/Table134[[#This Row],[مساحت آدرس]])</f>
        <v>1</v>
      </c>
      <c r="L971" s="14">
        <f>IF(Table134[[#This Row],[check]]=1,1,(Table134[[#This Row],[Psh]]+0.15*(1-Table134[[#This Row],[Psh]])))</f>
        <v>1</v>
      </c>
      <c r="M971" s="14">
        <f>IF(Table134[[#This Row],[check]]=1,0.65,1)</f>
        <v>0.65</v>
      </c>
      <c r="N971" s="4">
        <v>1</v>
      </c>
      <c r="O971" s="4">
        <f>IF(Table134[[#This Row],[check]]=1,Table134[[#This Row],[مساحت آدرس]]*Table134[[#This Row],[A0 Inc]],Table134[[#This Row],[A_tree]]*Table134[[#This Row],[اصله مستقل]])</f>
        <v>684</v>
      </c>
      <c r="P971" s="11">
        <f>IF(Table134[[#This Row],[check]]=1,Table134[[#This Row],[A0]]/Table134[[#This Row],[اصله مستقل]],Table134[[#This Row],[A_tree]])</f>
        <v>5.34375</v>
      </c>
    </row>
    <row r="972" spans="2:16" ht="18.600000000000001" x14ac:dyDescent="0.3">
      <c r="B972" s="4" t="s">
        <v>1436</v>
      </c>
      <c r="C972" s="4">
        <v>195</v>
      </c>
      <c r="D972" s="4">
        <v>195</v>
      </c>
      <c r="E972" s="4">
        <v>750</v>
      </c>
      <c r="F972" s="4">
        <v>850</v>
      </c>
      <c r="G972" s="2" t="s">
        <v>21</v>
      </c>
      <c r="H972" s="4">
        <v>9</v>
      </c>
      <c r="I972" s="4">
        <f>Table134[[#This Row],[اصله مستقل]]*Table134[[#This Row],[A_tree]]</f>
        <v>1755</v>
      </c>
      <c r="J972" s="4">
        <f>IF(Table134[[#This Row],[n * A_tree ]]&gt;Table134[[#This Row],[مساحت آدرس]],1,0)</f>
        <v>1</v>
      </c>
      <c r="K972" s="8">
        <f>IF(Table134[[#This Row],[check]]=1,1,Table134[[#This Row],[A_tree]]*Table134[[#This Row],[اصله مستقل]]/Table134[[#This Row],[مساحت آدرس]])</f>
        <v>1</v>
      </c>
      <c r="L972" s="14">
        <f>IF(Table134[[#This Row],[check]]=1,1,(Table134[[#This Row],[Psh]]+0.15*(1-Table134[[#This Row],[Psh]])))</f>
        <v>1</v>
      </c>
      <c r="M972" s="14">
        <f>IF(Table134[[#This Row],[check]]=1,0.65,1)</f>
        <v>0.65</v>
      </c>
      <c r="N972" s="4">
        <v>1</v>
      </c>
      <c r="O972" s="4">
        <f>IF(Table134[[#This Row],[check]]=1,Table134[[#This Row],[مساحت آدرس]]*Table134[[#This Row],[A0 Inc]],Table134[[#This Row],[A_tree]]*Table134[[#This Row],[اصله مستقل]])</f>
        <v>850</v>
      </c>
      <c r="P972" s="11">
        <f>IF(Table134[[#This Row],[check]]=1,Table134[[#This Row],[A0]]/Table134[[#This Row],[اصله مستقل]],Table134[[#This Row],[A_tree]])</f>
        <v>4.3589743589743586</v>
      </c>
    </row>
    <row r="973" spans="2:16" ht="18.600000000000001" x14ac:dyDescent="0.3">
      <c r="B973" s="4" t="s">
        <v>1437</v>
      </c>
      <c r="C973" s="4">
        <v>67</v>
      </c>
      <c r="D973" s="4">
        <v>67</v>
      </c>
      <c r="E973" s="4">
        <v>402</v>
      </c>
      <c r="F973" s="4">
        <v>402</v>
      </c>
      <c r="G973" s="2" t="s">
        <v>21</v>
      </c>
      <c r="H973" s="4">
        <v>9</v>
      </c>
      <c r="I973" s="4">
        <f>Table134[[#This Row],[اصله مستقل]]*Table134[[#This Row],[A_tree]]</f>
        <v>603</v>
      </c>
      <c r="J973" s="4">
        <f>IF(Table134[[#This Row],[n * A_tree ]]&gt;Table134[[#This Row],[مساحت آدرس]],1,0)</f>
        <v>1</v>
      </c>
      <c r="K973" s="8">
        <f>IF(Table134[[#This Row],[check]]=1,1,Table134[[#This Row],[A_tree]]*Table134[[#This Row],[اصله مستقل]]/Table134[[#This Row],[مساحت آدرس]])</f>
        <v>1</v>
      </c>
      <c r="L973" s="14">
        <f>IF(Table134[[#This Row],[check]]=1,1,(Table134[[#This Row],[Psh]]+0.15*(1-Table134[[#This Row],[Psh]])))</f>
        <v>1</v>
      </c>
      <c r="M973" s="14">
        <f>IF(Table134[[#This Row],[check]]=1,0.65,1)</f>
        <v>0.65</v>
      </c>
      <c r="N973" s="4">
        <v>1</v>
      </c>
      <c r="O973" s="4">
        <f>IF(Table134[[#This Row],[check]]=1,Table134[[#This Row],[مساحت آدرس]]*Table134[[#This Row],[A0 Inc]],Table134[[#This Row],[A_tree]]*Table134[[#This Row],[اصله مستقل]])</f>
        <v>402</v>
      </c>
      <c r="P973" s="11">
        <f>IF(Table134[[#This Row],[check]]=1,Table134[[#This Row],[A0]]/Table134[[#This Row],[اصله مستقل]],Table134[[#This Row],[A_tree]])</f>
        <v>6</v>
      </c>
    </row>
    <row r="974" spans="2:16" ht="18.600000000000001" x14ac:dyDescent="0.3">
      <c r="B974" s="4" t="s">
        <v>1445</v>
      </c>
      <c r="C974" s="4">
        <v>369</v>
      </c>
      <c r="D974" s="4">
        <v>369</v>
      </c>
      <c r="E974" s="4">
        <v>3899</v>
      </c>
      <c r="F974" s="4">
        <v>1999.5</v>
      </c>
      <c r="G974" s="2" t="s">
        <v>21</v>
      </c>
      <c r="H974" s="4">
        <v>9</v>
      </c>
      <c r="I974" s="4">
        <f>Table134[[#This Row],[اصله مستقل]]*Table134[[#This Row],[A_tree]]</f>
        <v>3321</v>
      </c>
      <c r="J974" s="4">
        <f>IF(Table134[[#This Row],[n * A_tree ]]&gt;Table134[[#This Row],[مساحت آدرس]],1,0)</f>
        <v>1</v>
      </c>
      <c r="K974" s="8">
        <f>IF(Table134[[#This Row],[check]]=1,1,Table134[[#This Row],[A_tree]]*Table134[[#This Row],[اصله مستقل]]/Table134[[#This Row],[مساحت آدرس]])</f>
        <v>1</v>
      </c>
      <c r="L974" s="14">
        <f>IF(Table134[[#This Row],[check]]=1,1,(Table134[[#This Row],[Psh]]+0.15*(1-Table134[[#This Row],[Psh]])))</f>
        <v>1</v>
      </c>
      <c r="M974" s="14">
        <f>IF(Table134[[#This Row],[check]]=1,0.65,1)</f>
        <v>0.65</v>
      </c>
      <c r="N974" s="4">
        <v>1</v>
      </c>
      <c r="O974" s="4">
        <f>IF(Table134[[#This Row],[check]]=1,Table134[[#This Row],[مساحت آدرس]]*Table134[[#This Row],[A0 Inc]],Table134[[#This Row],[A_tree]]*Table134[[#This Row],[اصله مستقل]])</f>
        <v>1999.5</v>
      </c>
      <c r="P974" s="11">
        <f>IF(Table134[[#This Row],[check]]=1,Table134[[#This Row],[A0]]/Table134[[#This Row],[اصله مستقل]],Table134[[#This Row],[A_tree]])</f>
        <v>5.4186991869918701</v>
      </c>
    </row>
    <row r="975" spans="2:16" ht="18.600000000000001" x14ac:dyDescent="0.3">
      <c r="B975" s="4" t="s">
        <v>1446</v>
      </c>
      <c r="C975" s="4">
        <v>58</v>
      </c>
      <c r="D975" s="4">
        <v>58</v>
      </c>
      <c r="E975" s="4">
        <v>348</v>
      </c>
      <c r="F975" s="4">
        <v>348</v>
      </c>
      <c r="G975" s="2" t="s">
        <v>21</v>
      </c>
      <c r="H975" s="4">
        <v>9</v>
      </c>
      <c r="I975" s="4">
        <f>Table134[[#This Row],[اصله مستقل]]*Table134[[#This Row],[A_tree]]</f>
        <v>522</v>
      </c>
      <c r="J975" s="4">
        <f>IF(Table134[[#This Row],[n * A_tree ]]&gt;Table134[[#This Row],[مساحت آدرس]],1,0)</f>
        <v>1</v>
      </c>
      <c r="K975" s="8">
        <f>IF(Table134[[#This Row],[check]]=1,1,Table134[[#This Row],[A_tree]]*Table134[[#This Row],[اصله مستقل]]/Table134[[#This Row],[مساحت آدرس]])</f>
        <v>1</v>
      </c>
      <c r="L975" s="14">
        <f>IF(Table134[[#This Row],[check]]=1,1,(Table134[[#This Row],[Psh]]+0.15*(1-Table134[[#This Row],[Psh]])))</f>
        <v>1</v>
      </c>
      <c r="M975" s="14">
        <f>IF(Table134[[#This Row],[check]]=1,0.65,1)</f>
        <v>0.65</v>
      </c>
      <c r="N975" s="4">
        <v>1</v>
      </c>
      <c r="O975" s="4">
        <f>IF(Table134[[#This Row],[check]]=1,Table134[[#This Row],[مساحت آدرس]]*Table134[[#This Row],[A0 Inc]],Table134[[#This Row],[A_tree]]*Table134[[#This Row],[اصله مستقل]])</f>
        <v>348</v>
      </c>
      <c r="P975" s="11">
        <f>IF(Table134[[#This Row],[check]]=1,Table134[[#This Row],[A0]]/Table134[[#This Row],[اصله مستقل]],Table134[[#This Row],[A_tree]])</f>
        <v>6</v>
      </c>
    </row>
    <row r="976" spans="2:16" ht="18.600000000000001" x14ac:dyDescent="0.3">
      <c r="B976" s="4" t="s">
        <v>1447</v>
      </c>
      <c r="C976" s="4">
        <v>313</v>
      </c>
      <c r="D976" s="4">
        <v>313</v>
      </c>
      <c r="E976" s="4">
        <v>3628</v>
      </c>
      <c r="F976" s="4">
        <v>3628</v>
      </c>
      <c r="G976" s="2" t="s">
        <v>21</v>
      </c>
      <c r="H976" s="4">
        <v>9</v>
      </c>
      <c r="I976" s="4">
        <f>Table134[[#This Row],[اصله مستقل]]*Table134[[#This Row],[A_tree]]</f>
        <v>2817</v>
      </c>
      <c r="J976" s="4">
        <f>IF(Table134[[#This Row],[n * A_tree ]]&gt;Table134[[#This Row],[مساحت آدرس]],1,0)</f>
        <v>0</v>
      </c>
      <c r="K976" s="8">
        <f>IF(Table134[[#This Row],[check]]=1,1,Table134[[#This Row],[A_tree]]*Table134[[#This Row],[اصله مستقل]]/Table134[[#This Row],[مساحت آدرس]])</f>
        <v>0.77646085997794934</v>
      </c>
      <c r="L976" s="14">
        <f>IF(Table134[[#This Row],[check]]=1,1,(Table134[[#This Row],[Psh]]+0.15*(1-Table134[[#This Row],[Psh]])))</f>
        <v>0.80999173098125699</v>
      </c>
      <c r="M976" s="14">
        <f>IF(Table134[[#This Row],[check]]=1,0.65,1)</f>
        <v>1</v>
      </c>
      <c r="N976" s="4">
        <v>1</v>
      </c>
      <c r="O976" s="4">
        <f>IF(Table134[[#This Row],[check]]=1,Table134[[#This Row],[مساحت آدرس]]*Table134[[#This Row],[A0 Inc]],Table134[[#This Row],[A_tree]]*Table134[[#This Row],[اصله مستقل]])</f>
        <v>2817</v>
      </c>
      <c r="P976" s="11">
        <f>IF(Table134[[#This Row],[check]]=1,Table134[[#This Row],[A0]]/Table134[[#This Row],[اصله مستقل]],Table134[[#This Row],[A_tree]])</f>
        <v>9</v>
      </c>
    </row>
    <row r="977" spans="2:16" ht="18.600000000000001" x14ac:dyDescent="0.3">
      <c r="B977" s="4" t="s">
        <v>1448</v>
      </c>
      <c r="C977" s="4">
        <v>64</v>
      </c>
      <c r="D977" s="4">
        <v>64</v>
      </c>
      <c r="E977" s="4">
        <v>1100</v>
      </c>
      <c r="F977" s="4">
        <v>1100</v>
      </c>
      <c r="G977" s="2" t="s">
        <v>62</v>
      </c>
      <c r="H977" s="4">
        <v>9</v>
      </c>
      <c r="I977" s="4">
        <f>Table134[[#This Row],[اصله مستقل]]*Table134[[#This Row],[A_tree]]</f>
        <v>576</v>
      </c>
      <c r="J977" s="4">
        <f>IF(Table134[[#This Row],[n * A_tree ]]&gt;Table134[[#This Row],[مساحت آدرس]],1,0)</f>
        <v>0</v>
      </c>
      <c r="K977" s="8">
        <f>IF(Table134[[#This Row],[check]]=1,1,Table134[[#This Row],[A_tree]]*Table134[[#This Row],[اصله مستقل]]/Table134[[#This Row],[مساحت آدرس]])</f>
        <v>0.52363636363636368</v>
      </c>
      <c r="L977" s="14">
        <f>IF(Table134[[#This Row],[check]]=1,1,(Table134[[#This Row],[Psh]]+0.15*(1-Table134[[#This Row],[Psh]])))</f>
        <v>0.59509090909090911</v>
      </c>
      <c r="M977" s="14">
        <f>IF(Table134[[#This Row],[check]]=1,0.65,1)</f>
        <v>1</v>
      </c>
      <c r="N977" s="4">
        <v>1</v>
      </c>
      <c r="O977" s="4">
        <f>IF(Table134[[#This Row],[check]]=1,Table134[[#This Row],[مساحت آدرس]]*Table134[[#This Row],[A0 Inc]],Table134[[#This Row],[A_tree]]*Table134[[#This Row],[اصله مستقل]])</f>
        <v>576</v>
      </c>
      <c r="P977" s="11">
        <f>IF(Table134[[#This Row],[check]]=1,Table134[[#This Row],[A0]]/Table134[[#This Row],[اصله مستقل]],Table134[[#This Row],[A_tree]])</f>
        <v>9</v>
      </c>
    </row>
    <row r="978" spans="2:16" ht="18.600000000000001" x14ac:dyDescent="0.3">
      <c r="B978" s="4" t="s">
        <v>1449</v>
      </c>
      <c r="C978" s="4">
        <v>296</v>
      </c>
      <c r="D978" s="4">
        <v>106</v>
      </c>
      <c r="E978" s="4">
        <v>316</v>
      </c>
      <c r="F978" s="4">
        <v>4788</v>
      </c>
      <c r="G978" s="2" t="s">
        <v>62</v>
      </c>
      <c r="H978" s="4">
        <v>9</v>
      </c>
      <c r="I978" s="4">
        <f>Table134[[#This Row],[اصله مستقل]]*Table134[[#This Row],[A_tree]]</f>
        <v>954</v>
      </c>
      <c r="J978" s="4">
        <f>IF(Table134[[#This Row],[n * A_tree ]]&gt;Table134[[#This Row],[مساحت آدرس]],1,0)</f>
        <v>0</v>
      </c>
      <c r="K978" s="8">
        <f>IF(Table134[[#This Row],[check]]=1,1,Table134[[#This Row],[A_tree]]*Table134[[#This Row],[اصله مستقل]]/Table134[[#This Row],[مساحت آدرس]])</f>
        <v>0.19924812030075187</v>
      </c>
      <c r="L978" s="14">
        <f>IF(Table134[[#This Row],[check]]=1,1,(Table134[[#This Row],[Psh]]+0.15*(1-Table134[[#This Row],[Psh]])))</f>
        <v>0.31936090225563907</v>
      </c>
      <c r="M978" s="14">
        <f>IF(Table134[[#This Row],[check]]=1,0.65,1)</f>
        <v>1</v>
      </c>
      <c r="N978" s="4">
        <v>1</v>
      </c>
      <c r="O978" s="4">
        <f>IF(Table134[[#This Row],[check]]=1,Table134[[#This Row],[مساحت آدرس]]*Table134[[#This Row],[A0 Inc]],Table134[[#This Row],[A_tree]]*Table134[[#This Row],[اصله مستقل]])</f>
        <v>954</v>
      </c>
      <c r="P978" s="11">
        <f>IF(Table134[[#This Row],[check]]=1,Table134[[#This Row],[A0]]/Table134[[#This Row],[اصله مستقل]],Table134[[#This Row],[A_tree]])</f>
        <v>9</v>
      </c>
    </row>
    <row r="979" spans="2:16" ht="18.600000000000001" x14ac:dyDescent="0.3">
      <c r="B979" s="4" t="s">
        <v>1451</v>
      </c>
      <c r="C979" s="4">
        <v>440</v>
      </c>
      <c r="D979" s="4">
        <v>440</v>
      </c>
      <c r="E979" s="4">
        <v>1192</v>
      </c>
      <c r="F979" s="4">
        <v>1300</v>
      </c>
      <c r="G979" s="2" t="s">
        <v>21</v>
      </c>
      <c r="H979" s="4">
        <v>9</v>
      </c>
      <c r="I979" s="4">
        <f>Table134[[#This Row],[اصله مستقل]]*Table134[[#This Row],[A_tree]]</f>
        <v>3960</v>
      </c>
      <c r="J979" s="4">
        <f>IF(Table134[[#This Row],[n * A_tree ]]&gt;Table134[[#This Row],[مساحت آدرس]],1,0)</f>
        <v>1</v>
      </c>
      <c r="K979" s="8">
        <f>IF(Table134[[#This Row],[check]]=1,1,Table134[[#This Row],[A_tree]]*Table134[[#This Row],[اصله مستقل]]/Table134[[#This Row],[مساحت آدرس]])</f>
        <v>1</v>
      </c>
      <c r="L979" s="14">
        <f>IF(Table134[[#This Row],[check]]=1,1,(Table134[[#This Row],[Psh]]+0.15*(1-Table134[[#This Row],[Psh]])))</f>
        <v>1</v>
      </c>
      <c r="M979" s="14">
        <f>IF(Table134[[#This Row],[check]]=1,0.65,1)</f>
        <v>0.65</v>
      </c>
      <c r="N979" s="4">
        <v>1</v>
      </c>
      <c r="O979" s="4">
        <f>IF(Table134[[#This Row],[check]]=1,Table134[[#This Row],[مساحت آدرس]]*Table134[[#This Row],[A0 Inc]],Table134[[#This Row],[A_tree]]*Table134[[#This Row],[اصله مستقل]])</f>
        <v>1300</v>
      </c>
      <c r="P979" s="11">
        <f>IF(Table134[[#This Row],[check]]=1,Table134[[#This Row],[A0]]/Table134[[#This Row],[اصله مستقل]],Table134[[#This Row],[A_tree]])</f>
        <v>2.9545454545454546</v>
      </c>
    </row>
    <row r="980" spans="2:16" ht="18.600000000000001" x14ac:dyDescent="0.3">
      <c r="B980" s="4" t="s">
        <v>1452</v>
      </c>
      <c r="C980" s="4">
        <v>10</v>
      </c>
      <c r="D980" s="4">
        <v>10</v>
      </c>
      <c r="E980" s="4">
        <v>60</v>
      </c>
      <c r="F980" s="4">
        <v>721</v>
      </c>
      <c r="G980" s="2" t="s">
        <v>66</v>
      </c>
      <c r="H980" s="4">
        <v>9</v>
      </c>
      <c r="I980" s="4">
        <f>Table134[[#This Row],[اصله مستقل]]*Table134[[#This Row],[A_tree]]</f>
        <v>90</v>
      </c>
      <c r="J980" s="4">
        <f>IF(Table134[[#This Row],[n * A_tree ]]&gt;Table134[[#This Row],[مساحت آدرس]],1,0)</f>
        <v>0</v>
      </c>
      <c r="K980" s="8">
        <f>IF(Table134[[#This Row],[check]]=1,1,Table134[[#This Row],[A_tree]]*Table134[[#This Row],[اصله مستقل]]/Table134[[#This Row],[مساحت آدرس]])</f>
        <v>0.12482662968099861</v>
      </c>
      <c r="L980" s="14">
        <f>IF(Table134[[#This Row],[check]]=1,1,(Table134[[#This Row],[Psh]]+0.15*(1-Table134[[#This Row],[Psh]])))</f>
        <v>0.2561026352288488</v>
      </c>
      <c r="M980" s="14">
        <f>IF(Table134[[#This Row],[check]]=1,0.65,1)</f>
        <v>1</v>
      </c>
      <c r="N980" s="4">
        <v>1</v>
      </c>
      <c r="O980" s="4">
        <f>IF(Table134[[#This Row],[check]]=1,Table134[[#This Row],[مساحت آدرس]]*Table134[[#This Row],[A0 Inc]],Table134[[#This Row],[A_tree]]*Table134[[#This Row],[اصله مستقل]])</f>
        <v>90</v>
      </c>
      <c r="P980" s="11">
        <f>IF(Table134[[#This Row],[check]]=1,Table134[[#This Row],[A0]]/Table134[[#This Row],[اصله مستقل]],Table134[[#This Row],[A_tree]])</f>
        <v>9</v>
      </c>
    </row>
    <row r="981" spans="2:16" ht="18.600000000000001" x14ac:dyDescent="0.3">
      <c r="B981" s="4" t="s">
        <v>1453</v>
      </c>
      <c r="C981" s="4">
        <v>60</v>
      </c>
      <c r="D981" s="4">
        <v>60</v>
      </c>
      <c r="E981" s="4">
        <v>539</v>
      </c>
      <c r="F981" s="4">
        <v>3199</v>
      </c>
      <c r="G981" s="2" t="s">
        <v>66</v>
      </c>
      <c r="H981" s="4">
        <v>9</v>
      </c>
      <c r="I981" s="4">
        <f>Table134[[#This Row],[اصله مستقل]]*Table134[[#This Row],[A_tree]]</f>
        <v>540</v>
      </c>
      <c r="J981" s="4">
        <f>IF(Table134[[#This Row],[n * A_tree ]]&gt;Table134[[#This Row],[مساحت آدرس]],1,0)</f>
        <v>0</v>
      </c>
      <c r="K981" s="8">
        <f>IF(Table134[[#This Row],[check]]=1,1,Table134[[#This Row],[A_tree]]*Table134[[#This Row],[اصله مستقل]]/Table134[[#This Row],[مساحت آدرس]])</f>
        <v>0.16880275085964364</v>
      </c>
      <c r="L981" s="14">
        <f>IF(Table134[[#This Row],[check]]=1,1,(Table134[[#This Row],[Psh]]+0.15*(1-Table134[[#This Row],[Psh]])))</f>
        <v>0.29348233823069708</v>
      </c>
      <c r="M981" s="14">
        <f>IF(Table134[[#This Row],[check]]=1,0.65,1)</f>
        <v>1</v>
      </c>
      <c r="N981" s="4">
        <v>1</v>
      </c>
      <c r="O981" s="4">
        <f>IF(Table134[[#This Row],[check]]=1,Table134[[#This Row],[مساحت آدرس]]*Table134[[#This Row],[A0 Inc]],Table134[[#This Row],[A_tree]]*Table134[[#This Row],[اصله مستقل]])</f>
        <v>540</v>
      </c>
      <c r="P981" s="11">
        <f>IF(Table134[[#This Row],[check]]=1,Table134[[#This Row],[A0]]/Table134[[#This Row],[اصله مستقل]],Table134[[#This Row],[A_tree]])</f>
        <v>9</v>
      </c>
    </row>
    <row r="982" spans="2:16" ht="18.600000000000001" x14ac:dyDescent="0.3">
      <c r="B982" s="4" t="s">
        <v>1464</v>
      </c>
      <c r="C982" s="4">
        <v>1323</v>
      </c>
      <c r="D982" s="4">
        <v>1323</v>
      </c>
      <c r="E982" s="4">
        <v>14510</v>
      </c>
      <c r="F982" s="4">
        <v>23217</v>
      </c>
      <c r="G982" s="2" t="s">
        <v>3</v>
      </c>
      <c r="H982" s="4">
        <v>9</v>
      </c>
      <c r="I982" s="4">
        <f>Table134[[#This Row],[اصله مستقل]]*Table134[[#This Row],[A_tree]]</f>
        <v>11907</v>
      </c>
      <c r="J982" s="4">
        <f>IF(Table134[[#This Row],[n * A_tree ]]&gt;Table134[[#This Row],[مساحت آدرس]],1,0)</f>
        <v>0</v>
      </c>
      <c r="K982" s="8">
        <f>IF(Table134[[#This Row],[check]]=1,1,Table134[[#This Row],[A_tree]]*Table134[[#This Row],[اصله مستقل]]/Table134[[#This Row],[مساحت آدرس]])</f>
        <v>0.51285695826334154</v>
      </c>
      <c r="L982" s="14">
        <f>IF(Table134[[#This Row],[check]]=1,1,(Table134[[#This Row],[Psh]]+0.15*(1-Table134[[#This Row],[Psh]])))</f>
        <v>0.58592841452384037</v>
      </c>
      <c r="M982" s="14">
        <f>IF(Table134[[#This Row],[check]]=1,0.65,1)</f>
        <v>1</v>
      </c>
      <c r="N982" s="4">
        <v>1</v>
      </c>
      <c r="O982" s="4">
        <f>IF(Table134[[#This Row],[check]]=1,Table134[[#This Row],[مساحت آدرس]]*Table134[[#This Row],[A0 Inc]],Table134[[#This Row],[A_tree]]*Table134[[#This Row],[اصله مستقل]])</f>
        <v>11907</v>
      </c>
      <c r="P982" s="11">
        <f>IF(Table134[[#This Row],[check]]=1,Table134[[#This Row],[A0]]/Table134[[#This Row],[اصله مستقل]],Table134[[#This Row],[A_tree]])</f>
        <v>9</v>
      </c>
    </row>
    <row r="983" spans="2:16" ht="18.600000000000001" x14ac:dyDescent="0.3">
      <c r="B983" s="4" t="s">
        <v>1465</v>
      </c>
      <c r="C983" s="4">
        <v>863</v>
      </c>
      <c r="D983" s="4">
        <v>863</v>
      </c>
      <c r="E983" s="4">
        <v>9751</v>
      </c>
      <c r="F983" s="4">
        <v>13529</v>
      </c>
      <c r="G983" s="2" t="s">
        <v>3</v>
      </c>
      <c r="H983" s="4">
        <v>9</v>
      </c>
      <c r="I983" s="4">
        <f>Table134[[#This Row],[اصله مستقل]]*Table134[[#This Row],[A_tree]]</f>
        <v>7767</v>
      </c>
      <c r="J983" s="4">
        <f>IF(Table134[[#This Row],[n * A_tree ]]&gt;Table134[[#This Row],[مساحت آدرس]],1,0)</f>
        <v>0</v>
      </c>
      <c r="K983" s="8">
        <f>IF(Table134[[#This Row],[check]]=1,1,Table134[[#This Row],[A_tree]]*Table134[[#This Row],[اصله مستقل]]/Table134[[#This Row],[مساحت آدرس]])</f>
        <v>0.57410008130682233</v>
      </c>
      <c r="L983" s="14">
        <f>IF(Table134[[#This Row],[check]]=1,1,(Table134[[#This Row],[Psh]]+0.15*(1-Table134[[#This Row],[Psh]])))</f>
        <v>0.637985069110799</v>
      </c>
      <c r="M983" s="14">
        <f>IF(Table134[[#This Row],[check]]=1,0.65,1)</f>
        <v>1</v>
      </c>
      <c r="N983" s="4">
        <v>1</v>
      </c>
      <c r="O983" s="4">
        <f>IF(Table134[[#This Row],[check]]=1,Table134[[#This Row],[مساحت آدرس]]*Table134[[#This Row],[A0 Inc]],Table134[[#This Row],[A_tree]]*Table134[[#This Row],[اصله مستقل]])</f>
        <v>7767</v>
      </c>
      <c r="P983" s="11">
        <f>IF(Table134[[#This Row],[check]]=1,Table134[[#This Row],[A0]]/Table134[[#This Row],[اصله مستقل]],Table134[[#This Row],[A_tree]])</f>
        <v>9</v>
      </c>
    </row>
    <row r="984" spans="2:16" ht="18.600000000000001" x14ac:dyDescent="0.3">
      <c r="B984" s="4" t="s">
        <v>1466</v>
      </c>
      <c r="C984" s="4">
        <v>207</v>
      </c>
      <c r="D984" s="4">
        <v>207</v>
      </c>
      <c r="E984" s="4">
        <v>2365</v>
      </c>
      <c r="F984" s="4">
        <v>3265</v>
      </c>
      <c r="G984" s="2" t="s">
        <v>3</v>
      </c>
      <c r="H984" s="4">
        <v>9</v>
      </c>
      <c r="I984" s="4">
        <f>Table134[[#This Row],[اصله مستقل]]*Table134[[#This Row],[A_tree]]</f>
        <v>1863</v>
      </c>
      <c r="J984" s="4">
        <f>IF(Table134[[#This Row],[n * A_tree ]]&gt;Table134[[#This Row],[مساحت آدرس]],1,0)</f>
        <v>0</v>
      </c>
      <c r="K984" s="8">
        <f>IF(Table134[[#This Row],[check]]=1,1,Table134[[#This Row],[A_tree]]*Table134[[#This Row],[اصله مستقل]]/Table134[[#This Row],[مساحت آدرس]])</f>
        <v>0.57059724349157737</v>
      </c>
      <c r="L984" s="14">
        <f>IF(Table134[[#This Row],[check]]=1,1,(Table134[[#This Row],[Psh]]+0.15*(1-Table134[[#This Row],[Psh]])))</f>
        <v>0.63500765696784078</v>
      </c>
      <c r="M984" s="14">
        <f>IF(Table134[[#This Row],[check]]=1,0.65,1)</f>
        <v>1</v>
      </c>
      <c r="N984" s="4">
        <v>1</v>
      </c>
      <c r="O984" s="4">
        <f>IF(Table134[[#This Row],[check]]=1,Table134[[#This Row],[مساحت آدرس]]*Table134[[#This Row],[A0 Inc]],Table134[[#This Row],[A_tree]]*Table134[[#This Row],[اصله مستقل]])</f>
        <v>1863</v>
      </c>
      <c r="P984" s="11">
        <f>IF(Table134[[#This Row],[check]]=1,Table134[[#This Row],[A0]]/Table134[[#This Row],[اصله مستقل]],Table134[[#This Row],[A_tree]])</f>
        <v>9</v>
      </c>
    </row>
    <row r="985" spans="2:16" ht="18.600000000000001" x14ac:dyDescent="0.3">
      <c r="B985" s="4" t="s">
        <v>1467</v>
      </c>
      <c r="C985" s="4">
        <v>119</v>
      </c>
      <c r="D985" s="4">
        <v>119</v>
      </c>
      <c r="E985" s="4">
        <v>1332</v>
      </c>
      <c r="F985" s="4">
        <v>1932</v>
      </c>
      <c r="G985" s="2" t="s">
        <v>3</v>
      </c>
      <c r="H985" s="4">
        <v>9</v>
      </c>
      <c r="I985" s="4">
        <f>Table134[[#This Row],[اصله مستقل]]*Table134[[#This Row],[A_tree]]</f>
        <v>1071</v>
      </c>
      <c r="J985" s="4">
        <f>IF(Table134[[#This Row],[n * A_tree ]]&gt;Table134[[#This Row],[مساحت آدرس]],1,0)</f>
        <v>0</v>
      </c>
      <c r="K985" s="8">
        <f>IF(Table134[[#This Row],[check]]=1,1,Table134[[#This Row],[A_tree]]*Table134[[#This Row],[اصله مستقل]]/Table134[[#This Row],[مساحت آدرس]])</f>
        <v>0.55434782608695654</v>
      </c>
      <c r="L985" s="14">
        <f>IF(Table134[[#This Row],[check]]=1,1,(Table134[[#This Row],[Psh]]+0.15*(1-Table134[[#This Row],[Psh]])))</f>
        <v>0.62119565217391304</v>
      </c>
      <c r="M985" s="14">
        <f>IF(Table134[[#This Row],[check]]=1,0.65,1)</f>
        <v>1</v>
      </c>
      <c r="N985" s="4">
        <v>1</v>
      </c>
      <c r="O985" s="4">
        <f>IF(Table134[[#This Row],[check]]=1,Table134[[#This Row],[مساحت آدرس]]*Table134[[#This Row],[A0 Inc]],Table134[[#This Row],[A_tree]]*Table134[[#This Row],[اصله مستقل]])</f>
        <v>1071</v>
      </c>
      <c r="P985" s="11">
        <f>IF(Table134[[#This Row],[check]]=1,Table134[[#This Row],[A0]]/Table134[[#This Row],[اصله مستقل]],Table134[[#This Row],[A_tree]])</f>
        <v>9</v>
      </c>
    </row>
    <row r="986" spans="2:16" ht="18.600000000000001" x14ac:dyDescent="0.3">
      <c r="B986" s="4" t="s">
        <v>1468</v>
      </c>
      <c r="C986" s="4">
        <v>186</v>
      </c>
      <c r="D986" s="4">
        <v>186</v>
      </c>
      <c r="E986" s="4">
        <v>2028</v>
      </c>
      <c r="F986" s="4">
        <v>2839</v>
      </c>
      <c r="G986" s="2" t="s">
        <v>3</v>
      </c>
      <c r="H986" s="4">
        <v>9</v>
      </c>
      <c r="I986" s="4">
        <f>Table134[[#This Row],[اصله مستقل]]*Table134[[#This Row],[A_tree]]</f>
        <v>1674</v>
      </c>
      <c r="J986" s="4">
        <f>IF(Table134[[#This Row],[n * A_tree ]]&gt;Table134[[#This Row],[مساحت آدرس]],1,0)</f>
        <v>0</v>
      </c>
      <c r="K986" s="8">
        <f>IF(Table134[[#This Row],[check]]=1,1,Table134[[#This Row],[A_tree]]*Table134[[#This Row],[اصله مستقل]]/Table134[[#This Row],[مساحت آدرس]])</f>
        <v>0.58964424092990486</v>
      </c>
      <c r="L986" s="14">
        <f>IF(Table134[[#This Row],[check]]=1,1,(Table134[[#This Row],[Psh]]+0.15*(1-Table134[[#This Row],[Psh]])))</f>
        <v>0.6511976047904191</v>
      </c>
      <c r="M986" s="14">
        <f>IF(Table134[[#This Row],[check]]=1,0.65,1)</f>
        <v>1</v>
      </c>
      <c r="N986" s="4">
        <v>1</v>
      </c>
      <c r="O986" s="4">
        <f>IF(Table134[[#This Row],[check]]=1,Table134[[#This Row],[مساحت آدرس]]*Table134[[#This Row],[A0 Inc]],Table134[[#This Row],[A_tree]]*Table134[[#This Row],[اصله مستقل]])</f>
        <v>1674</v>
      </c>
      <c r="P986" s="11">
        <f>IF(Table134[[#This Row],[check]]=1,Table134[[#This Row],[A0]]/Table134[[#This Row],[اصله مستقل]],Table134[[#This Row],[A_tree]])</f>
        <v>9</v>
      </c>
    </row>
    <row r="987" spans="2:16" ht="18.600000000000001" x14ac:dyDescent="0.3">
      <c r="B987" s="4" t="s">
        <v>1469</v>
      </c>
      <c r="C987" s="4">
        <v>6097</v>
      </c>
      <c r="D987" s="4">
        <v>6097</v>
      </c>
      <c r="E987" s="4">
        <v>8293</v>
      </c>
      <c r="F987" s="4">
        <v>45224</v>
      </c>
      <c r="G987" s="2" t="s">
        <v>283</v>
      </c>
      <c r="H987" s="4">
        <v>9</v>
      </c>
      <c r="I987" s="4">
        <f>Table134[[#This Row],[اصله مستقل]]*Table134[[#This Row],[A_tree]]</f>
        <v>54873</v>
      </c>
      <c r="J987" s="4">
        <f>IF(Table134[[#This Row],[n * A_tree ]]&gt;Table134[[#This Row],[مساحت آدرس]],1,0)</f>
        <v>1</v>
      </c>
      <c r="K987" s="8">
        <f>IF(Table134[[#This Row],[check]]=1,1,Table134[[#This Row],[A_tree]]*Table134[[#This Row],[اصله مستقل]]/Table134[[#This Row],[مساحت آدرس]])</f>
        <v>1</v>
      </c>
      <c r="L987" s="14">
        <f>IF(Table134[[#This Row],[check]]=1,1,(Table134[[#This Row],[Psh]]+0.15*(1-Table134[[#This Row],[Psh]])))</f>
        <v>1</v>
      </c>
      <c r="M987" s="14">
        <f>IF(Table134[[#This Row],[check]]=1,0.65,1)</f>
        <v>0.65</v>
      </c>
      <c r="N987" s="4">
        <v>1</v>
      </c>
      <c r="O987" s="4">
        <f>IF(Table134[[#This Row],[check]]=1,Table134[[#This Row],[مساحت آدرس]]*Table134[[#This Row],[A0 Inc]],Table134[[#This Row],[A_tree]]*Table134[[#This Row],[اصله مستقل]])</f>
        <v>45224</v>
      </c>
      <c r="P987" s="11">
        <f>IF(Table134[[#This Row],[check]]=1,Table134[[#This Row],[A0]]/Table134[[#This Row],[اصله مستقل]],Table134[[#This Row],[A_tree]])</f>
        <v>7.4174184024930296</v>
      </c>
    </row>
    <row r="988" spans="2:16" ht="18.600000000000001" x14ac:dyDescent="0.3">
      <c r="B988" s="4" t="s">
        <v>1470</v>
      </c>
      <c r="C988" s="4">
        <v>2668</v>
      </c>
      <c r="D988" s="4">
        <v>2460.333333333333</v>
      </c>
      <c r="E988" s="4">
        <v>14485</v>
      </c>
      <c r="F988" s="4">
        <v>14786</v>
      </c>
      <c r="G988" s="2" t="s">
        <v>21</v>
      </c>
      <c r="H988" s="4">
        <v>9</v>
      </c>
      <c r="I988" s="4">
        <f>Table134[[#This Row],[اصله مستقل]]*Table134[[#This Row],[A_tree]]</f>
        <v>22142.999999999996</v>
      </c>
      <c r="J988" s="4">
        <f>IF(Table134[[#This Row],[n * A_tree ]]&gt;Table134[[#This Row],[مساحت آدرس]],1,0)</f>
        <v>1</v>
      </c>
      <c r="K988" s="8">
        <f>IF(Table134[[#This Row],[check]]=1,1,Table134[[#This Row],[A_tree]]*Table134[[#This Row],[اصله مستقل]]/Table134[[#This Row],[مساحت آدرس]])</f>
        <v>1</v>
      </c>
      <c r="L988" s="14">
        <f>IF(Table134[[#This Row],[check]]=1,1,(Table134[[#This Row],[Psh]]+0.15*(1-Table134[[#This Row],[Psh]])))</f>
        <v>1</v>
      </c>
      <c r="M988" s="14">
        <f>IF(Table134[[#This Row],[check]]=1,0.65,1)</f>
        <v>0.65</v>
      </c>
      <c r="N988" s="4">
        <v>1</v>
      </c>
      <c r="O988" s="4">
        <f>IF(Table134[[#This Row],[check]]=1,Table134[[#This Row],[مساحت آدرس]]*Table134[[#This Row],[A0 Inc]],Table134[[#This Row],[A_tree]]*Table134[[#This Row],[اصله مستقل]])</f>
        <v>14786</v>
      </c>
      <c r="P988" s="11">
        <f>IF(Table134[[#This Row],[check]]=1,Table134[[#This Row],[A0]]/Table134[[#This Row],[اصله مستقل]],Table134[[#This Row],[A_tree]])</f>
        <v>6.0097547757756411</v>
      </c>
    </row>
    <row r="989" spans="2:16" ht="18.600000000000001" x14ac:dyDescent="0.3">
      <c r="B989" s="4" t="s">
        <v>1471</v>
      </c>
      <c r="C989" s="4">
        <v>1532</v>
      </c>
      <c r="D989" s="4">
        <v>1365</v>
      </c>
      <c r="E989" s="4">
        <v>12210</v>
      </c>
      <c r="F989" s="4">
        <v>13047</v>
      </c>
      <c r="G989" s="2" t="s">
        <v>21</v>
      </c>
      <c r="H989" s="4">
        <v>9</v>
      </c>
      <c r="I989" s="4">
        <f>Table134[[#This Row],[اصله مستقل]]*Table134[[#This Row],[A_tree]]</f>
        <v>12285</v>
      </c>
      <c r="J989" s="4">
        <f>IF(Table134[[#This Row],[n * A_tree ]]&gt;Table134[[#This Row],[مساحت آدرس]],1,0)</f>
        <v>0</v>
      </c>
      <c r="K989" s="8">
        <f>IF(Table134[[#This Row],[check]]=1,1,Table134[[#This Row],[A_tree]]*Table134[[#This Row],[اصله مستقل]]/Table134[[#This Row],[مساحت آدرس]])</f>
        <v>0.94159576914233156</v>
      </c>
      <c r="L989" s="14">
        <f>IF(Table134[[#This Row],[check]]=1,1,(Table134[[#This Row],[Psh]]+0.15*(1-Table134[[#This Row],[Psh]])))</f>
        <v>0.95035640377098185</v>
      </c>
      <c r="M989" s="14">
        <f>IF(Table134[[#This Row],[check]]=1,0.65,1)</f>
        <v>1</v>
      </c>
      <c r="N989" s="4">
        <v>1</v>
      </c>
      <c r="O989" s="4">
        <f>IF(Table134[[#This Row],[check]]=1,Table134[[#This Row],[مساحت آدرس]]*Table134[[#This Row],[A0 Inc]],Table134[[#This Row],[A_tree]]*Table134[[#This Row],[اصله مستقل]])</f>
        <v>12285</v>
      </c>
      <c r="P989" s="11">
        <f>IF(Table134[[#This Row],[check]]=1,Table134[[#This Row],[A0]]/Table134[[#This Row],[اصله مستقل]],Table134[[#This Row],[A_tree]])</f>
        <v>9</v>
      </c>
    </row>
    <row r="990" spans="2:16" ht="18.600000000000001" x14ac:dyDescent="0.3">
      <c r="B990" s="4" t="s">
        <v>1472</v>
      </c>
      <c r="C990" s="4">
        <v>1220</v>
      </c>
      <c r="D990" s="4">
        <v>1320</v>
      </c>
      <c r="E990" s="4">
        <v>2438</v>
      </c>
      <c r="F990" s="4">
        <v>2438</v>
      </c>
      <c r="G990" s="2" t="s">
        <v>21</v>
      </c>
      <c r="H990" s="4">
        <v>9</v>
      </c>
      <c r="I990" s="4">
        <f>Table134[[#This Row],[اصله مستقل]]*Table134[[#This Row],[A_tree]]</f>
        <v>11880</v>
      </c>
      <c r="J990" s="4">
        <f>IF(Table134[[#This Row],[n * A_tree ]]&gt;Table134[[#This Row],[مساحت آدرس]],1,0)</f>
        <v>1</v>
      </c>
      <c r="K990" s="8">
        <f>IF(Table134[[#This Row],[check]]=1,1,Table134[[#This Row],[A_tree]]*Table134[[#This Row],[اصله مستقل]]/Table134[[#This Row],[مساحت آدرس]])</f>
        <v>1</v>
      </c>
      <c r="L990" s="14">
        <f>IF(Table134[[#This Row],[check]]=1,1,(Table134[[#This Row],[Psh]]+0.15*(1-Table134[[#This Row],[Psh]])))</f>
        <v>1</v>
      </c>
      <c r="M990" s="14">
        <f>IF(Table134[[#This Row],[check]]=1,0.65,1)</f>
        <v>0.65</v>
      </c>
      <c r="N990" s="4">
        <v>1</v>
      </c>
      <c r="O990" s="4">
        <f>IF(Table134[[#This Row],[check]]=1,Table134[[#This Row],[مساحت آدرس]]*Table134[[#This Row],[A0 Inc]],Table134[[#This Row],[A_tree]]*Table134[[#This Row],[اصله مستقل]])</f>
        <v>2438</v>
      </c>
      <c r="P990" s="11">
        <f>IF(Table134[[#This Row],[check]]=1,Table134[[#This Row],[A0]]/Table134[[#This Row],[اصله مستقل]],Table134[[#This Row],[A_tree]])</f>
        <v>1.8469696969696969</v>
      </c>
    </row>
    <row r="991" spans="2:16" ht="18.600000000000001" x14ac:dyDescent="0.3">
      <c r="B991" s="4" t="s">
        <v>1473</v>
      </c>
      <c r="C991" s="4">
        <v>1456</v>
      </c>
      <c r="D991" s="4">
        <v>1392</v>
      </c>
      <c r="E991" s="4">
        <v>8557</v>
      </c>
      <c r="F991" s="4">
        <v>8823</v>
      </c>
      <c r="G991" s="2" t="s">
        <v>21</v>
      </c>
      <c r="H991" s="4">
        <v>9</v>
      </c>
      <c r="I991" s="4">
        <f>Table134[[#This Row],[اصله مستقل]]*Table134[[#This Row],[A_tree]]</f>
        <v>12528</v>
      </c>
      <c r="J991" s="4">
        <f>IF(Table134[[#This Row],[n * A_tree ]]&gt;Table134[[#This Row],[مساحت آدرس]],1,0)</f>
        <v>1</v>
      </c>
      <c r="K991" s="8">
        <f>IF(Table134[[#This Row],[check]]=1,1,Table134[[#This Row],[A_tree]]*Table134[[#This Row],[اصله مستقل]]/Table134[[#This Row],[مساحت آدرس]])</f>
        <v>1</v>
      </c>
      <c r="L991" s="14">
        <f>IF(Table134[[#This Row],[check]]=1,1,(Table134[[#This Row],[Psh]]+0.15*(1-Table134[[#This Row],[Psh]])))</f>
        <v>1</v>
      </c>
      <c r="M991" s="14">
        <f>IF(Table134[[#This Row],[check]]=1,0.65,1)</f>
        <v>0.65</v>
      </c>
      <c r="N991" s="4">
        <v>1</v>
      </c>
      <c r="O991" s="4">
        <f>IF(Table134[[#This Row],[check]]=1,Table134[[#This Row],[مساحت آدرس]]*Table134[[#This Row],[A0 Inc]],Table134[[#This Row],[A_tree]]*Table134[[#This Row],[اصله مستقل]])</f>
        <v>8823</v>
      </c>
      <c r="P991" s="11">
        <f>IF(Table134[[#This Row],[check]]=1,Table134[[#This Row],[A0]]/Table134[[#This Row],[اصله مستقل]],Table134[[#This Row],[A_tree]])</f>
        <v>6.3383620689655169</v>
      </c>
    </row>
    <row r="992" spans="2:16" ht="18.600000000000001" x14ac:dyDescent="0.3">
      <c r="B992" s="4" t="s">
        <v>1474</v>
      </c>
      <c r="C992" s="4">
        <v>415</v>
      </c>
      <c r="D992" s="4">
        <v>415</v>
      </c>
      <c r="E992" s="4">
        <v>3600</v>
      </c>
      <c r="F992" s="4">
        <v>3600</v>
      </c>
      <c r="G992" s="2" t="s">
        <v>21</v>
      </c>
      <c r="H992" s="4">
        <v>9</v>
      </c>
      <c r="I992" s="4">
        <f>Table134[[#This Row],[اصله مستقل]]*Table134[[#This Row],[A_tree]]</f>
        <v>3735</v>
      </c>
      <c r="J992" s="4">
        <f>IF(Table134[[#This Row],[n * A_tree ]]&gt;Table134[[#This Row],[مساحت آدرس]],1,0)</f>
        <v>1</v>
      </c>
      <c r="K992" s="8">
        <f>IF(Table134[[#This Row],[check]]=1,1,Table134[[#This Row],[A_tree]]*Table134[[#This Row],[اصله مستقل]]/Table134[[#This Row],[مساحت آدرس]])</f>
        <v>1</v>
      </c>
      <c r="L992" s="14">
        <f>IF(Table134[[#This Row],[check]]=1,1,(Table134[[#This Row],[Psh]]+0.15*(1-Table134[[#This Row],[Psh]])))</f>
        <v>1</v>
      </c>
      <c r="M992" s="14">
        <f>IF(Table134[[#This Row],[check]]=1,0.65,1)</f>
        <v>0.65</v>
      </c>
      <c r="N992" s="4">
        <v>1</v>
      </c>
      <c r="O992" s="4">
        <f>IF(Table134[[#This Row],[check]]=1,Table134[[#This Row],[مساحت آدرس]]*Table134[[#This Row],[A0 Inc]],Table134[[#This Row],[A_tree]]*Table134[[#This Row],[اصله مستقل]])</f>
        <v>3600</v>
      </c>
      <c r="P992" s="11">
        <f>IF(Table134[[#This Row],[check]]=1,Table134[[#This Row],[A0]]/Table134[[#This Row],[اصله مستقل]],Table134[[#This Row],[A_tree]])</f>
        <v>8.6746987951807224</v>
      </c>
    </row>
    <row r="993" spans="2:16" ht="18.600000000000001" x14ac:dyDescent="0.3">
      <c r="B993" s="4" t="s">
        <v>1496</v>
      </c>
      <c r="C993" s="4">
        <v>1472</v>
      </c>
      <c r="D993" s="4">
        <v>1061</v>
      </c>
      <c r="E993" s="4">
        <v>8426</v>
      </c>
      <c r="F993" s="4">
        <v>11458</v>
      </c>
      <c r="G993" s="2" t="s">
        <v>300</v>
      </c>
      <c r="H993" s="4">
        <v>9</v>
      </c>
      <c r="I993" s="4">
        <f>Table134[[#This Row],[اصله مستقل]]*Table134[[#This Row],[A_tree]]</f>
        <v>9549</v>
      </c>
      <c r="J993" s="4">
        <f>IF(Table134[[#This Row],[n * A_tree ]]&gt;Table134[[#This Row],[مساحت آدرس]],1,0)</f>
        <v>0</v>
      </c>
      <c r="K993" s="8">
        <f>IF(Table134[[#This Row],[check]]=1,1,Table134[[#This Row],[A_tree]]*Table134[[#This Row],[اصله مستقل]]/Table134[[#This Row],[مساحت آدرس]])</f>
        <v>0.83339151684412638</v>
      </c>
      <c r="L993" s="14">
        <f>IF(Table134[[#This Row],[check]]=1,1,(Table134[[#This Row],[Psh]]+0.15*(1-Table134[[#This Row],[Psh]])))</f>
        <v>0.85838278931750744</v>
      </c>
      <c r="M993" s="14">
        <f>IF(Table134[[#This Row],[check]]=1,0.65,1)</f>
        <v>1</v>
      </c>
      <c r="N993" s="4">
        <v>1</v>
      </c>
      <c r="O993" s="4">
        <f>IF(Table134[[#This Row],[check]]=1,Table134[[#This Row],[مساحت آدرس]]*Table134[[#This Row],[A0 Inc]],Table134[[#This Row],[A_tree]]*Table134[[#This Row],[اصله مستقل]])</f>
        <v>9549</v>
      </c>
      <c r="P993" s="11">
        <f>IF(Table134[[#This Row],[check]]=1,Table134[[#This Row],[A0]]/Table134[[#This Row],[اصله مستقل]],Table134[[#This Row],[A_tree]])</f>
        <v>9</v>
      </c>
    </row>
    <row r="994" spans="2:16" ht="18.600000000000001" x14ac:dyDescent="0.3">
      <c r="B994" s="4" t="s">
        <v>1497</v>
      </c>
      <c r="C994" s="4">
        <v>497</v>
      </c>
      <c r="D994" s="4">
        <v>497</v>
      </c>
      <c r="E994" s="4">
        <v>2992</v>
      </c>
      <c r="F994" s="4">
        <v>2992</v>
      </c>
      <c r="G994" s="2" t="s">
        <v>21</v>
      </c>
      <c r="H994" s="4">
        <v>9</v>
      </c>
      <c r="I994" s="4">
        <f>Table134[[#This Row],[اصله مستقل]]*Table134[[#This Row],[A_tree]]</f>
        <v>4473</v>
      </c>
      <c r="J994" s="4">
        <f>IF(Table134[[#This Row],[n * A_tree ]]&gt;Table134[[#This Row],[مساحت آدرس]],1,0)</f>
        <v>1</v>
      </c>
      <c r="K994" s="8">
        <f>IF(Table134[[#This Row],[check]]=1,1,Table134[[#This Row],[A_tree]]*Table134[[#This Row],[اصله مستقل]]/Table134[[#This Row],[مساحت آدرس]])</f>
        <v>1</v>
      </c>
      <c r="L994" s="14">
        <f>IF(Table134[[#This Row],[check]]=1,1,(Table134[[#This Row],[Psh]]+0.15*(1-Table134[[#This Row],[Psh]])))</f>
        <v>1</v>
      </c>
      <c r="M994" s="14">
        <f>IF(Table134[[#This Row],[check]]=1,0.65,1)</f>
        <v>0.65</v>
      </c>
      <c r="N994" s="4">
        <v>1</v>
      </c>
      <c r="O994" s="4">
        <f>IF(Table134[[#This Row],[check]]=1,Table134[[#This Row],[مساحت آدرس]]*Table134[[#This Row],[A0 Inc]],Table134[[#This Row],[A_tree]]*Table134[[#This Row],[اصله مستقل]])</f>
        <v>2992</v>
      </c>
      <c r="P994" s="11">
        <f>IF(Table134[[#This Row],[check]]=1,Table134[[#This Row],[A0]]/Table134[[#This Row],[اصله مستقل]],Table134[[#This Row],[A_tree]])</f>
        <v>6.0201207243460768</v>
      </c>
    </row>
    <row r="995" spans="2:16" ht="18.600000000000001" x14ac:dyDescent="0.3">
      <c r="B995" s="4" t="s">
        <v>1498</v>
      </c>
      <c r="C995" s="4">
        <v>655</v>
      </c>
      <c r="D995" s="4">
        <v>655</v>
      </c>
      <c r="E995" s="4">
        <v>3930</v>
      </c>
      <c r="F995" s="4">
        <v>3930</v>
      </c>
      <c r="G995" s="2" t="s">
        <v>21</v>
      </c>
      <c r="H995" s="4">
        <v>9</v>
      </c>
      <c r="I995" s="4">
        <f>Table134[[#This Row],[اصله مستقل]]*Table134[[#This Row],[A_tree]]</f>
        <v>5895</v>
      </c>
      <c r="J995" s="4">
        <f>IF(Table134[[#This Row],[n * A_tree ]]&gt;Table134[[#This Row],[مساحت آدرس]],1,0)</f>
        <v>1</v>
      </c>
      <c r="K995" s="8">
        <f>IF(Table134[[#This Row],[check]]=1,1,Table134[[#This Row],[A_tree]]*Table134[[#This Row],[اصله مستقل]]/Table134[[#This Row],[مساحت آدرس]])</f>
        <v>1</v>
      </c>
      <c r="L995" s="14">
        <f>IF(Table134[[#This Row],[check]]=1,1,(Table134[[#This Row],[Psh]]+0.15*(1-Table134[[#This Row],[Psh]])))</f>
        <v>1</v>
      </c>
      <c r="M995" s="14">
        <f>IF(Table134[[#This Row],[check]]=1,0.65,1)</f>
        <v>0.65</v>
      </c>
      <c r="N995" s="4">
        <v>1</v>
      </c>
      <c r="O995" s="4">
        <f>IF(Table134[[#This Row],[check]]=1,Table134[[#This Row],[مساحت آدرس]]*Table134[[#This Row],[A0 Inc]],Table134[[#This Row],[A_tree]]*Table134[[#This Row],[اصله مستقل]])</f>
        <v>3930</v>
      </c>
      <c r="P995" s="11">
        <f>IF(Table134[[#This Row],[check]]=1,Table134[[#This Row],[A0]]/Table134[[#This Row],[اصله مستقل]],Table134[[#This Row],[A_tree]])</f>
        <v>6</v>
      </c>
    </row>
    <row r="996" spans="2:16" ht="18.600000000000001" x14ac:dyDescent="0.3">
      <c r="B996" s="4" t="s">
        <v>1499</v>
      </c>
      <c r="C996" s="4">
        <v>1622</v>
      </c>
      <c r="D996" s="4">
        <v>1622</v>
      </c>
      <c r="E996" s="4">
        <v>4894</v>
      </c>
      <c r="F996" s="4">
        <v>4894</v>
      </c>
      <c r="G996" s="2" t="s">
        <v>21</v>
      </c>
      <c r="H996" s="4">
        <v>9</v>
      </c>
      <c r="I996" s="4">
        <f>Table134[[#This Row],[اصله مستقل]]*Table134[[#This Row],[A_tree]]</f>
        <v>14598</v>
      </c>
      <c r="J996" s="4">
        <f>IF(Table134[[#This Row],[n * A_tree ]]&gt;Table134[[#This Row],[مساحت آدرس]],1,0)</f>
        <v>1</v>
      </c>
      <c r="K996" s="8">
        <f>IF(Table134[[#This Row],[check]]=1,1,Table134[[#This Row],[A_tree]]*Table134[[#This Row],[اصله مستقل]]/Table134[[#This Row],[مساحت آدرس]])</f>
        <v>1</v>
      </c>
      <c r="L996" s="14">
        <f>IF(Table134[[#This Row],[check]]=1,1,(Table134[[#This Row],[Psh]]+0.15*(1-Table134[[#This Row],[Psh]])))</f>
        <v>1</v>
      </c>
      <c r="M996" s="14">
        <f>IF(Table134[[#This Row],[check]]=1,0.65,1)</f>
        <v>0.65</v>
      </c>
      <c r="N996" s="4">
        <v>1</v>
      </c>
      <c r="O996" s="4">
        <f>IF(Table134[[#This Row],[check]]=1,Table134[[#This Row],[مساحت آدرس]]*Table134[[#This Row],[A0 Inc]],Table134[[#This Row],[A_tree]]*Table134[[#This Row],[اصله مستقل]])</f>
        <v>4894</v>
      </c>
      <c r="P996" s="11">
        <f>IF(Table134[[#This Row],[check]]=1,Table134[[#This Row],[A0]]/Table134[[#This Row],[اصله مستقل]],Table134[[#This Row],[A_tree]])</f>
        <v>3.0172626387176327</v>
      </c>
    </row>
    <row r="997" spans="2:16" ht="18.600000000000001" x14ac:dyDescent="0.3">
      <c r="B997" s="4" t="s">
        <v>1500</v>
      </c>
      <c r="C997" s="4">
        <v>269</v>
      </c>
      <c r="D997" s="4">
        <v>269</v>
      </c>
      <c r="E997" s="4">
        <v>1041</v>
      </c>
      <c r="F997" s="4">
        <v>1041</v>
      </c>
      <c r="G997" s="2" t="s">
        <v>21</v>
      </c>
      <c r="H997" s="4">
        <v>9</v>
      </c>
      <c r="I997" s="4">
        <f>Table134[[#This Row],[اصله مستقل]]*Table134[[#This Row],[A_tree]]</f>
        <v>2421</v>
      </c>
      <c r="J997" s="4">
        <f>IF(Table134[[#This Row],[n * A_tree ]]&gt;Table134[[#This Row],[مساحت آدرس]],1,0)</f>
        <v>1</v>
      </c>
      <c r="K997" s="8">
        <f>IF(Table134[[#This Row],[check]]=1,1,Table134[[#This Row],[A_tree]]*Table134[[#This Row],[اصله مستقل]]/Table134[[#This Row],[مساحت آدرس]])</f>
        <v>1</v>
      </c>
      <c r="L997" s="14">
        <f>IF(Table134[[#This Row],[check]]=1,1,(Table134[[#This Row],[Psh]]+0.15*(1-Table134[[#This Row],[Psh]])))</f>
        <v>1</v>
      </c>
      <c r="M997" s="14">
        <f>IF(Table134[[#This Row],[check]]=1,0.65,1)</f>
        <v>0.65</v>
      </c>
      <c r="N997" s="4">
        <v>1</v>
      </c>
      <c r="O997" s="4">
        <f>IF(Table134[[#This Row],[check]]=1,Table134[[#This Row],[مساحت آدرس]]*Table134[[#This Row],[A0 Inc]],Table134[[#This Row],[A_tree]]*Table134[[#This Row],[اصله مستقل]])</f>
        <v>1041</v>
      </c>
      <c r="P997" s="11">
        <f>IF(Table134[[#This Row],[check]]=1,Table134[[#This Row],[A0]]/Table134[[#This Row],[اصله مستقل]],Table134[[#This Row],[A_tree]])</f>
        <v>3.8698884758364311</v>
      </c>
    </row>
    <row r="998" spans="2:16" ht="18.600000000000001" x14ac:dyDescent="0.3">
      <c r="B998" s="4" t="s">
        <v>1501</v>
      </c>
      <c r="C998" s="4">
        <v>126</v>
      </c>
      <c r="D998" s="4">
        <v>126</v>
      </c>
      <c r="E998" s="4">
        <v>656</v>
      </c>
      <c r="F998" s="4">
        <v>656</v>
      </c>
      <c r="G998" s="2" t="s">
        <v>21</v>
      </c>
      <c r="H998" s="4">
        <v>9</v>
      </c>
      <c r="I998" s="4">
        <f>Table134[[#This Row],[اصله مستقل]]*Table134[[#This Row],[A_tree]]</f>
        <v>1134</v>
      </c>
      <c r="J998" s="4">
        <f>IF(Table134[[#This Row],[n * A_tree ]]&gt;Table134[[#This Row],[مساحت آدرس]],1,0)</f>
        <v>1</v>
      </c>
      <c r="K998" s="8">
        <f>IF(Table134[[#This Row],[check]]=1,1,Table134[[#This Row],[A_tree]]*Table134[[#This Row],[اصله مستقل]]/Table134[[#This Row],[مساحت آدرس]])</f>
        <v>1</v>
      </c>
      <c r="L998" s="14">
        <f>IF(Table134[[#This Row],[check]]=1,1,(Table134[[#This Row],[Psh]]+0.15*(1-Table134[[#This Row],[Psh]])))</f>
        <v>1</v>
      </c>
      <c r="M998" s="14">
        <f>IF(Table134[[#This Row],[check]]=1,0.65,1)</f>
        <v>0.65</v>
      </c>
      <c r="N998" s="4">
        <v>1</v>
      </c>
      <c r="O998" s="4">
        <f>IF(Table134[[#This Row],[check]]=1,Table134[[#This Row],[مساحت آدرس]]*Table134[[#This Row],[A0 Inc]],Table134[[#This Row],[A_tree]]*Table134[[#This Row],[اصله مستقل]])</f>
        <v>656</v>
      </c>
      <c r="P998" s="11">
        <f>IF(Table134[[#This Row],[check]]=1,Table134[[#This Row],[A0]]/Table134[[#This Row],[اصله مستقل]],Table134[[#This Row],[A_tree]])</f>
        <v>5.2063492063492065</v>
      </c>
    </row>
    <row r="999" spans="2:16" ht="18.600000000000001" x14ac:dyDescent="0.3">
      <c r="B999" s="4" t="s">
        <v>1502</v>
      </c>
      <c r="C999" s="4">
        <v>221</v>
      </c>
      <c r="D999" s="4">
        <v>221</v>
      </c>
      <c r="E999" s="4">
        <v>1028</v>
      </c>
      <c r="F999" s="4">
        <v>1028</v>
      </c>
      <c r="G999" s="2" t="s">
        <v>21</v>
      </c>
      <c r="H999" s="4">
        <v>9</v>
      </c>
      <c r="I999" s="4">
        <f>Table134[[#This Row],[اصله مستقل]]*Table134[[#This Row],[A_tree]]</f>
        <v>1989</v>
      </c>
      <c r="J999" s="4">
        <f>IF(Table134[[#This Row],[n * A_tree ]]&gt;Table134[[#This Row],[مساحت آدرس]],1,0)</f>
        <v>1</v>
      </c>
      <c r="K999" s="8">
        <f>IF(Table134[[#This Row],[check]]=1,1,Table134[[#This Row],[A_tree]]*Table134[[#This Row],[اصله مستقل]]/Table134[[#This Row],[مساحت آدرس]])</f>
        <v>1</v>
      </c>
      <c r="L999" s="14">
        <f>IF(Table134[[#This Row],[check]]=1,1,(Table134[[#This Row],[Psh]]+0.15*(1-Table134[[#This Row],[Psh]])))</f>
        <v>1</v>
      </c>
      <c r="M999" s="14">
        <f>IF(Table134[[#This Row],[check]]=1,0.65,1)</f>
        <v>0.65</v>
      </c>
      <c r="N999" s="4">
        <v>1</v>
      </c>
      <c r="O999" s="4">
        <f>IF(Table134[[#This Row],[check]]=1,Table134[[#This Row],[مساحت آدرس]]*Table134[[#This Row],[A0 Inc]],Table134[[#This Row],[A_tree]]*Table134[[#This Row],[اصله مستقل]])</f>
        <v>1028</v>
      </c>
      <c r="P999" s="11">
        <f>IF(Table134[[#This Row],[check]]=1,Table134[[#This Row],[A0]]/Table134[[#This Row],[اصله مستقل]],Table134[[#This Row],[A_tree]])</f>
        <v>4.6515837104072402</v>
      </c>
    </row>
    <row r="1000" spans="2:16" ht="18.600000000000001" x14ac:dyDescent="0.3">
      <c r="B1000" s="4" t="s">
        <v>1503</v>
      </c>
      <c r="C1000" s="4">
        <v>294</v>
      </c>
      <c r="D1000" s="4">
        <v>294</v>
      </c>
      <c r="E1000" s="4">
        <v>1300</v>
      </c>
      <c r="F1000" s="4">
        <v>1372</v>
      </c>
      <c r="G1000" s="2" t="s">
        <v>21</v>
      </c>
      <c r="H1000" s="4">
        <v>9</v>
      </c>
      <c r="I1000" s="4">
        <f>Table134[[#This Row],[اصله مستقل]]*Table134[[#This Row],[A_tree]]</f>
        <v>2646</v>
      </c>
      <c r="J1000" s="4">
        <f>IF(Table134[[#This Row],[n * A_tree ]]&gt;Table134[[#This Row],[مساحت آدرس]],1,0)</f>
        <v>1</v>
      </c>
      <c r="K1000" s="8">
        <f>IF(Table134[[#This Row],[check]]=1,1,Table134[[#This Row],[A_tree]]*Table134[[#This Row],[اصله مستقل]]/Table134[[#This Row],[مساحت آدرس]])</f>
        <v>1</v>
      </c>
      <c r="L1000" s="14">
        <f>IF(Table134[[#This Row],[check]]=1,1,(Table134[[#This Row],[Psh]]+0.15*(1-Table134[[#This Row],[Psh]])))</f>
        <v>1</v>
      </c>
      <c r="M1000" s="14">
        <f>IF(Table134[[#This Row],[check]]=1,0.65,1)</f>
        <v>0.65</v>
      </c>
      <c r="N1000" s="4">
        <v>1</v>
      </c>
      <c r="O1000" s="4">
        <f>IF(Table134[[#This Row],[check]]=1,Table134[[#This Row],[مساحت آدرس]]*Table134[[#This Row],[A0 Inc]],Table134[[#This Row],[A_tree]]*Table134[[#This Row],[اصله مستقل]])</f>
        <v>1372</v>
      </c>
      <c r="P1000" s="11">
        <f>IF(Table134[[#This Row],[check]]=1,Table134[[#This Row],[A0]]/Table134[[#This Row],[اصله مستقل]],Table134[[#This Row],[A_tree]])</f>
        <v>4.666666666666667</v>
      </c>
    </row>
    <row r="1001" spans="2:16" ht="18.600000000000001" x14ac:dyDescent="0.3">
      <c r="B1001" s="4" t="s">
        <v>1504</v>
      </c>
      <c r="C1001" s="4">
        <v>796</v>
      </c>
      <c r="D1001" s="4">
        <v>252</v>
      </c>
      <c r="E1001" s="4">
        <v>4164</v>
      </c>
      <c r="F1001" s="4">
        <v>4164</v>
      </c>
      <c r="G1001" s="2" t="s">
        <v>21</v>
      </c>
      <c r="H1001" s="4">
        <v>9</v>
      </c>
      <c r="I1001" s="4">
        <f>Table134[[#This Row],[اصله مستقل]]*Table134[[#This Row],[A_tree]]</f>
        <v>2268</v>
      </c>
      <c r="J1001" s="4">
        <f>IF(Table134[[#This Row],[n * A_tree ]]&gt;Table134[[#This Row],[مساحت آدرس]],1,0)</f>
        <v>0</v>
      </c>
      <c r="K1001" s="8">
        <f>IF(Table134[[#This Row],[check]]=1,1,Table134[[#This Row],[A_tree]]*Table134[[#This Row],[اصله مستقل]]/Table134[[#This Row],[مساحت آدرس]])</f>
        <v>0.54466858789625361</v>
      </c>
      <c r="L1001" s="14">
        <f>IF(Table134[[#This Row],[check]]=1,1,(Table134[[#This Row],[Psh]]+0.15*(1-Table134[[#This Row],[Psh]])))</f>
        <v>0.61296829971181555</v>
      </c>
      <c r="M1001" s="14">
        <f>IF(Table134[[#This Row],[check]]=1,0.65,1)</f>
        <v>1</v>
      </c>
      <c r="N1001" s="4">
        <v>1</v>
      </c>
      <c r="O1001" s="4">
        <f>IF(Table134[[#This Row],[check]]=1,Table134[[#This Row],[مساحت آدرس]]*Table134[[#This Row],[A0 Inc]],Table134[[#This Row],[A_tree]]*Table134[[#This Row],[اصله مستقل]])</f>
        <v>2268</v>
      </c>
      <c r="P1001" s="11">
        <f>IF(Table134[[#This Row],[check]]=1,Table134[[#This Row],[A0]]/Table134[[#This Row],[اصله مستقل]],Table134[[#This Row],[A_tree]])</f>
        <v>9</v>
      </c>
    </row>
    <row r="1002" spans="2:16" ht="18.600000000000001" x14ac:dyDescent="0.3">
      <c r="B1002" s="4" t="s">
        <v>1505</v>
      </c>
      <c r="C1002" s="4">
        <v>741</v>
      </c>
      <c r="D1002" s="4">
        <v>662</v>
      </c>
      <c r="E1002" s="4">
        <v>3095</v>
      </c>
      <c r="F1002" s="4">
        <v>3445</v>
      </c>
      <c r="G1002" s="2" t="s">
        <v>21</v>
      </c>
      <c r="H1002" s="4">
        <v>9</v>
      </c>
      <c r="I1002" s="4">
        <f>Table134[[#This Row],[اصله مستقل]]*Table134[[#This Row],[A_tree]]</f>
        <v>5958</v>
      </c>
      <c r="J1002" s="4">
        <f>IF(Table134[[#This Row],[n * A_tree ]]&gt;Table134[[#This Row],[مساحت آدرس]],1,0)</f>
        <v>1</v>
      </c>
      <c r="K1002" s="8">
        <f>IF(Table134[[#This Row],[check]]=1,1,Table134[[#This Row],[A_tree]]*Table134[[#This Row],[اصله مستقل]]/Table134[[#This Row],[مساحت آدرس]])</f>
        <v>1</v>
      </c>
      <c r="L1002" s="14">
        <f>IF(Table134[[#This Row],[check]]=1,1,(Table134[[#This Row],[Psh]]+0.15*(1-Table134[[#This Row],[Psh]])))</f>
        <v>1</v>
      </c>
      <c r="M1002" s="14">
        <f>IF(Table134[[#This Row],[check]]=1,0.65,1)</f>
        <v>0.65</v>
      </c>
      <c r="N1002" s="4">
        <v>1</v>
      </c>
      <c r="O1002" s="4">
        <f>IF(Table134[[#This Row],[check]]=1,Table134[[#This Row],[مساحت آدرس]]*Table134[[#This Row],[A0 Inc]],Table134[[#This Row],[A_tree]]*Table134[[#This Row],[اصله مستقل]])</f>
        <v>3445</v>
      </c>
      <c r="P1002" s="11">
        <f>IF(Table134[[#This Row],[check]]=1,Table134[[#This Row],[A0]]/Table134[[#This Row],[اصله مستقل]],Table134[[#This Row],[A_tree]])</f>
        <v>5.2039274924471295</v>
      </c>
    </row>
    <row r="1003" spans="2:16" ht="18.600000000000001" x14ac:dyDescent="0.3">
      <c r="B1003" s="4" t="s">
        <v>1506</v>
      </c>
      <c r="C1003" s="4">
        <v>989</v>
      </c>
      <c r="D1003" s="4">
        <v>989</v>
      </c>
      <c r="E1003" s="4">
        <v>5848</v>
      </c>
      <c r="F1003" s="4">
        <v>5848</v>
      </c>
      <c r="G1003" s="2" t="s">
        <v>21</v>
      </c>
      <c r="H1003" s="4">
        <v>9</v>
      </c>
      <c r="I1003" s="4">
        <f>Table134[[#This Row],[اصله مستقل]]*Table134[[#This Row],[A_tree]]</f>
        <v>8901</v>
      </c>
      <c r="J1003" s="4">
        <f>IF(Table134[[#This Row],[n * A_tree ]]&gt;Table134[[#This Row],[مساحت آدرس]],1,0)</f>
        <v>1</v>
      </c>
      <c r="K1003" s="8">
        <f>IF(Table134[[#This Row],[check]]=1,1,Table134[[#This Row],[A_tree]]*Table134[[#This Row],[اصله مستقل]]/Table134[[#This Row],[مساحت آدرس]])</f>
        <v>1</v>
      </c>
      <c r="L1003" s="14">
        <f>IF(Table134[[#This Row],[check]]=1,1,(Table134[[#This Row],[Psh]]+0.15*(1-Table134[[#This Row],[Psh]])))</f>
        <v>1</v>
      </c>
      <c r="M1003" s="14">
        <f>IF(Table134[[#This Row],[check]]=1,0.65,1)</f>
        <v>0.65</v>
      </c>
      <c r="N1003" s="4">
        <v>1</v>
      </c>
      <c r="O1003" s="4">
        <f>IF(Table134[[#This Row],[check]]=1,Table134[[#This Row],[مساحت آدرس]]*Table134[[#This Row],[A0 Inc]],Table134[[#This Row],[A_tree]]*Table134[[#This Row],[اصله مستقل]])</f>
        <v>5848</v>
      </c>
      <c r="P1003" s="11">
        <f>IF(Table134[[#This Row],[check]]=1,Table134[[#This Row],[A0]]/Table134[[#This Row],[اصله مستقل]],Table134[[#This Row],[A_tree]])</f>
        <v>5.9130434782608692</v>
      </c>
    </row>
    <row r="1004" spans="2:16" ht="18.600000000000001" x14ac:dyDescent="0.3">
      <c r="B1004" s="4" t="s">
        <v>1507</v>
      </c>
      <c r="C1004" s="4">
        <v>1760</v>
      </c>
      <c r="D1004" s="4">
        <v>1760</v>
      </c>
      <c r="E1004" s="4">
        <v>8032</v>
      </c>
      <c r="F1004" s="4">
        <v>8092</v>
      </c>
      <c r="G1004" s="2" t="s">
        <v>21</v>
      </c>
      <c r="H1004" s="4">
        <v>9</v>
      </c>
      <c r="I1004" s="4">
        <f>Table134[[#This Row],[اصله مستقل]]*Table134[[#This Row],[A_tree]]</f>
        <v>15840</v>
      </c>
      <c r="J1004" s="4">
        <f>IF(Table134[[#This Row],[n * A_tree ]]&gt;Table134[[#This Row],[مساحت آدرس]],1,0)</f>
        <v>1</v>
      </c>
      <c r="K1004" s="8">
        <f>IF(Table134[[#This Row],[check]]=1,1,Table134[[#This Row],[A_tree]]*Table134[[#This Row],[اصله مستقل]]/Table134[[#This Row],[مساحت آدرس]])</f>
        <v>1</v>
      </c>
      <c r="L1004" s="14">
        <f>IF(Table134[[#This Row],[check]]=1,1,(Table134[[#This Row],[Psh]]+0.15*(1-Table134[[#This Row],[Psh]])))</f>
        <v>1</v>
      </c>
      <c r="M1004" s="14">
        <f>IF(Table134[[#This Row],[check]]=1,0.65,1)</f>
        <v>0.65</v>
      </c>
      <c r="N1004" s="4">
        <v>1</v>
      </c>
      <c r="O1004" s="4">
        <f>IF(Table134[[#This Row],[check]]=1,Table134[[#This Row],[مساحت آدرس]]*Table134[[#This Row],[A0 Inc]],Table134[[#This Row],[A_tree]]*Table134[[#This Row],[اصله مستقل]])</f>
        <v>8092</v>
      </c>
      <c r="P1004" s="11">
        <f>IF(Table134[[#This Row],[check]]=1,Table134[[#This Row],[A0]]/Table134[[#This Row],[اصله مستقل]],Table134[[#This Row],[A_tree]])</f>
        <v>4.5977272727272727</v>
      </c>
    </row>
    <row r="1005" spans="2:16" ht="18.600000000000001" x14ac:dyDescent="0.3">
      <c r="B1005" s="4" t="s">
        <v>1508</v>
      </c>
      <c r="C1005" s="4">
        <v>244</v>
      </c>
      <c r="D1005" s="4">
        <v>244</v>
      </c>
      <c r="E1005" s="4">
        <v>1568</v>
      </c>
      <c r="F1005" s="4">
        <v>1568</v>
      </c>
      <c r="G1005" s="2" t="s">
        <v>21</v>
      </c>
      <c r="H1005" s="4">
        <v>9</v>
      </c>
      <c r="I1005" s="4">
        <f>Table134[[#This Row],[اصله مستقل]]*Table134[[#This Row],[A_tree]]</f>
        <v>2196</v>
      </c>
      <c r="J1005" s="4">
        <f>IF(Table134[[#This Row],[n * A_tree ]]&gt;Table134[[#This Row],[مساحت آدرس]],1,0)</f>
        <v>1</v>
      </c>
      <c r="K1005" s="8">
        <f>IF(Table134[[#This Row],[check]]=1,1,Table134[[#This Row],[A_tree]]*Table134[[#This Row],[اصله مستقل]]/Table134[[#This Row],[مساحت آدرس]])</f>
        <v>1</v>
      </c>
      <c r="L1005" s="14">
        <f>IF(Table134[[#This Row],[check]]=1,1,(Table134[[#This Row],[Psh]]+0.15*(1-Table134[[#This Row],[Psh]])))</f>
        <v>1</v>
      </c>
      <c r="M1005" s="14">
        <f>IF(Table134[[#This Row],[check]]=1,0.65,1)</f>
        <v>0.65</v>
      </c>
      <c r="N1005" s="4">
        <v>1</v>
      </c>
      <c r="O1005" s="4">
        <f>IF(Table134[[#This Row],[check]]=1,Table134[[#This Row],[مساحت آدرس]]*Table134[[#This Row],[A0 Inc]],Table134[[#This Row],[A_tree]]*Table134[[#This Row],[اصله مستقل]])</f>
        <v>1568</v>
      </c>
      <c r="P1005" s="11">
        <f>IF(Table134[[#This Row],[check]]=1,Table134[[#This Row],[A0]]/Table134[[#This Row],[اصله مستقل]],Table134[[#This Row],[A_tree]])</f>
        <v>6.4262295081967213</v>
      </c>
    </row>
    <row r="1006" spans="2:16" ht="18.600000000000001" x14ac:dyDescent="0.3">
      <c r="B1006" s="4" t="s">
        <v>1509</v>
      </c>
      <c r="C1006" s="4">
        <v>481</v>
      </c>
      <c r="D1006" s="4">
        <v>481</v>
      </c>
      <c r="E1006" s="4">
        <v>2516</v>
      </c>
      <c r="F1006" s="4">
        <v>11871</v>
      </c>
      <c r="G1006" s="2" t="s">
        <v>62</v>
      </c>
      <c r="H1006" s="4">
        <v>9</v>
      </c>
      <c r="I1006" s="4">
        <f>Table134[[#This Row],[اصله مستقل]]*Table134[[#This Row],[A_tree]]</f>
        <v>4329</v>
      </c>
      <c r="J1006" s="4">
        <f>IF(Table134[[#This Row],[n * A_tree ]]&gt;Table134[[#This Row],[مساحت آدرس]],1,0)</f>
        <v>0</v>
      </c>
      <c r="K1006" s="8">
        <f>IF(Table134[[#This Row],[check]]=1,1,Table134[[#This Row],[A_tree]]*Table134[[#This Row],[اصله مستقل]]/Table134[[#This Row],[مساحت آدرس]])</f>
        <v>0.36467020470053069</v>
      </c>
      <c r="L1006" s="14">
        <f>IF(Table134[[#This Row],[check]]=1,1,(Table134[[#This Row],[Psh]]+0.15*(1-Table134[[#This Row],[Psh]])))</f>
        <v>0.45996967399545108</v>
      </c>
      <c r="M1006" s="14">
        <f>IF(Table134[[#This Row],[check]]=1,0.65,1)</f>
        <v>1</v>
      </c>
      <c r="N1006" s="4">
        <v>1</v>
      </c>
      <c r="O1006" s="4">
        <f>IF(Table134[[#This Row],[check]]=1,Table134[[#This Row],[مساحت آدرس]]*Table134[[#This Row],[A0 Inc]],Table134[[#This Row],[A_tree]]*Table134[[#This Row],[اصله مستقل]])</f>
        <v>4329</v>
      </c>
      <c r="P1006" s="11">
        <f>IF(Table134[[#This Row],[check]]=1,Table134[[#This Row],[A0]]/Table134[[#This Row],[اصله مستقل]],Table134[[#This Row],[A_tree]])</f>
        <v>9</v>
      </c>
    </row>
    <row r="1007" spans="2:16" ht="18.600000000000001" x14ac:dyDescent="0.3">
      <c r="B1007" s="4" t="s">
        <v>1510</v>
      </c>
      <c r="C1007" s="4">
        <v>48</v>
      </c>
      <c r="D1007" s="4">
        <v>42</v>
      </c>
      <c r="E1007" s="4">
        <v>216</v>
      </c>
      <c r="F1007" s="4">
        <v>301</v>
      </c>
      <c r="G1007" s="2" t="s">
        <v>62</v>
      </c>
      <c r="H1007" s="4">
        <v>9</v>
      </c>
      <c r="I1007" s="4">
        <f>Table134[[#This Row],[اصله مستقل]]*Table134[[#This Row],[A_tree]]</f>
        <v>378</v>
      </c>
      <c r="J1007" s="4">
        <f>IF(Table134[[#This Row],[n * A_tree ]]&gt;Table134[[#This Row],[مساحت آدرس]],1,0)</f>
        <v>1</v>
      </c>
      <c r="K1007" s="8">
        <f>IF(Table134[[#This Row],[check]]=1,1,Table134[[#This Row],[A_tree]]*Table134[[#This Row],[اصله مستقل]]/Table134[[#This Row],[مساحت آدرس]])</f>
        <v>1</v>
      </c>
      <c r="L1007" s="14">
        <f>IF(Table134[[#This Row],[check]]=1,1,(Table134[[#This Row],[Psh]]+0.15*(1-Table134[[#This Row],[Psh]])))</f>
        <v>1</v>
      </c>
      <c r="M1007" s="14">
        <f>IF(Table134[[#This Row],[check]]=1,0.65,1)</f>
        <v>0.65</v>
      </c>
      <c r="N1007" s="4">
        <v>1</v>
      </c>
      <c r="O1007" s="4">
        <f>IF(Table134[[#This Row],[check]]=1,Table134[[#This Row],[مساحت آدرس]]*Table134[[#This Row],[A0 Inc]],Table134[[#This Row],[A_tree]]*Table134[[#This Row],[اصله مستقل]])</f>
        <v>301</v>
      </c>
      <c r="P1007" s="11">
        <f>IF(Table134[[#This Row],[check]]=1,Table134[[#This Row],[A0]]/Table134[[#This Row],[اصله مستقل]],Table134[[#This Row],[A_tree]])</f>
        <v>7.166666666666667</v>
      </c>
    </row>
    <row r="1008" spans="2:16" ht="18.600000000000001" x14ac:dyDescent="0.3">
      <c r="B1008" s="4" t="s">
        <v>1511</v>
      </c>
      <c r="C1008" s="4">
        <v>66</v>
      </c>
      <c r="D1008" s="4">
        <v>10</v>
      </c>
      <c r="E1008" s="4">
        <v>61</v>
      </c>
      <c r="F1008" s="4">
        <v>1887</v>
      </c>
      <c r="G1008" s="2" t="s">
        <v>62</v>
      </c>
      <c r="H1008" s="4">
        <v>9</v>
      </c>
      <c r="I1008" s="4">
        <f>Table134[[#This Row],[اصله مستقل]]*Table134[[#This Row],[A_tree]]</f>
        <v>90</v>
      </c>
      <c r="J1008" s="4">
        <f>IF(Table134[[#This Row],[n * A_tree ]]&gt;Table134[[#This Row],[مساحت آدرس]],1,0)</f>
        <v>0</v>
      </c>
      <c r="K1008" s="8">
        <f>IF(Table134[[#This Row],[check]]=1,1,Table134[[#This Row],[A_tree]]*Table134[[#This Row],[اصله مستقل]]/Table134[[#This Row],[مساحت آدرس]])</f>
        <v>4.7694753577106522E-2</v>
      </c>
      <c r="L1008" s="14">
        <f>IF(Table134[[#This Row],[check]]=1,1,(Table134[[#This Row],[Psh]]+0.15*(1-Table134[[#This Row],[Psh]])))</f>
        <v>0.19054054054054054</v>
      </c>
      <c r="M1008" s="14">
        <f>IF(Table134[[#This Row],[check]]=1,0.65,1)</f>
        <v>1</v>
      </c>
      <c r="N1008" s="4">
        <v>1</v>
      </c>
      <c r="O1008" s="4">
        <f>IF(Table134[[#This Row],[check]]=1,Table134[[#This Row],[مساحت آدرس]]*Table134[[#This Row],[A0 Inc]],Table134[[#This Row],[A_tree]]*Table134[[#This Row],[اصله مستقل]])</f>
        <v>90</v>
      </c>
      <c r="P1008" s="11">
        <f>IF(Table134[[#This Row],[check]]=1,Table134[[#This Row],[A0]]/Table134[[#This Row],[اصله مستقل]],Table134[[#This Row],[A_tree]])</f>
        <v>9</v>
      </c>
    </row>
    <row r="1009" spans="2:16" ht="18.600000000000001" x14ac:dyDescent="0.3">
      <c r="B1009" s="4" t="s">
        <v>1512</v>
      </c>
      <c r="C1009" s="4">
        <v>395</v>
      </c>
      <c r="D1009" s="4">
        <v>90</v>
      </c>
      <c r="E1009" s="4">
        <v>298</v>
      </c>
      <c r="F1009" s="4">
        <v>3644</v>
      </c>
      <c r="G1009" s="2" t="s">
        <v>62</v>
      </c>
      <c r="H1009" s="4">
        <v>9</v>
      </c>
      <c r="I1009" s="4">
        <f>Table134[[#This Row],[اصله مستقل]]*Table134[[#This Row],[A_tree]]</f>
        <v>810</v>
      </c>
      <c r="J1009" s="4">
        <f>IF(Table134[[#This Row],[n * A_tree ]]&gt;Table134[[#This Row],[مساحت آدرس]],1,0)</f>
        <v>0</v>
      </c>
      <c r="K1009" s="8">
        <f>IF(Table134[[#This Row],[check]]=1,1,Table134[[#This Row],[A_tree]]*Table134[[#This Row],[اصله مستقل]]/Table134[[#This Row],[مساحت آدرس]])</f>
        <v>0.22228320526893525</v>
      </c>
      <c r="L1009" s="14">
        <f>IF(Table134[[#This Row],[check]]=1,1,(Table134[[#This Row],[Psh]]+0.15*(1-Table134[[#This Row],[Psh]])))</f>
        <v>0.33894072447859497</v>
      </c>
      <c r="M1009" s="14">
        <f>IF(Table134[[#This Row],[check]]=1,0.65,1)</f>
        <v>1</v>
      </c>
      <c r="N1009" s="4">
        <v>1</v>
      </c>
      <c r="O1009" s="4">
        <f>IF(Table134[[#This Row],[check]]=1,Table134[[#This Row],[مساحت آدرس]]*Table134[[#This Row],[A0 Inc]],Table134[[#This Row],[A_tree]]*Table134[[#This Row],[اصله مستقل]])</f>
        <v>810</v>
      </c>
      <c r="P1009" s="11">
        <f>IF(Table134[[#This Row],[check]]=1,Table134[[#This Row],[A0]]/Table134[[#This Row],[اصله مستقل]],Table134[[#This Row],[A_tree]])</f>
        <v>9</v>
      </c>
    </row>
    <row r="1010" spans="2:16" ht="18.600000000000001" x14ac:dyDescent="0.3">
      <c r="B1010" s="4" t="s">
        <v>1513</v>
      </c>
      <c r="C1010" s="4">
        <v>110</v>
      </c>
      <c r="D1010" s="4">
        <v>110</v>
      </c>
      <c r="E1010" s="4">
        <v>125</v>
      </c>
      <c r="F1010" s="4">
        <v>418</v>
      </c>
      <c r="G1010" s="2" t="s">
        <v>62</v>
      </c>
      <c r="H1010" s="4">
        <v>9</v>
      </c>
      <c r="I1010" s="4">
        <f>Table134[[#This Row],[اصله مستقل]]*Table134[[#This Row],[A_tree]]</f>
        <v>990</v>
      </c>
      <c r="J1010" s="4">
        <f>IF(Table134[[#This Row],[n * A_tree ]]&gt;Table134[[#This Row],[مساحت آدرس]],1,0)</f>
        <v>1</v>
      </c>
      <c r="K1010" s="8">
        <f>IF(Table134[[#This Row],[check]]=1,1,Table134[[#This Row],[A_tree]]*Table134[[#This Row],[اصله مستقل]]/Table134[[#This Row],[مساحت آدرس]])</f>
        <v>1</v>
      </c>
      <c r="L1010" s="14">
        <f>IF(Table134[[#This Row],[check]]=1,1,(Table134[[#This Row],[Psh]]+0.15*(1-Table134[[#This Row],[Psh]])))</f>
        <v>1</v>
      </c>
      <c r="M1010" s="14">
        <f>IF(Table134[[#This Row],[check]]=1,0.65,1)</f>
        <v>0.65</v>
      </c>
      <c r="N1010" s="4">
        <v>1</v>
      </c>
      <c r="O1010" s="4">
        <f>IF(Table134[[#This Row],[check]]=1,Table134[[#This Row],[مساحت آدرس]]*Table134[[#This Row],[A0 Inc]],Table134[[#This Row],[A_tree]]*Table134[[#This Row],[اصله مستقل]])</f>
        <v>418</v>
      </c>
      <c r="P1010" s="11">
        <f>IF(Table134[[#This Row],[check]]=1,Table134[[#This Row],[A0]]/Table134[[#This Row],[اصله مستقل]],Table134[[#This Row],[A_tree]])</f>
        <v>3.8</v>
      </c>
    </row>
    <row r="1011" spans="2:16" ht="18.600000000000001" x14ac:dyDescent="0.3">
      <c r="B1011" s="4" t="s">
        <v>1514</v>
      </c>
      <c r="C1011" s="4">
        <v>34</v>
      </c>
      <c r="D1011" s="4">
        <v>28</v>
      </c>
      <c r="E1011" s="4">
        <v>93</v>
      </c>
      <c r="F1011" s="4">
        <v>323</v>
      </c>
      <c r="G1011" s="2" t="s">
        <v>62</v>
      </c>
      <c r="H1011" s="4">
        <v>9</v>
      </c>
      <c r="I1011" s="4">
        <f>Table134[[#This Row],[اصله مستقل]]*Table134[[#This Row],[A_tree]]</f>
        <v>252</v>
      </c>
      <c r="J1011" s="4">
        <f>IF(Table134[[#This Row],[n * A_tree ]]&gt;Table134[[#This Row],[مساحت آدرس]],1,0)</f>
        <v>0</v>
      </c>
      <c r="K1011" s="8">
        <f>IF(Table134[[#This Row],[check]]=1,1,Table134[[#This Row],[A_tree]]*Table134[[#This Row],[اصله مستقل]]/Table134[[#This Row],[مساحت آدرس]])</f>
        <v>0.7801857585139319</v>
      </c>
      <c r="L1011" s="14">
        <f>IF(Table134[[#This Row],[check]]=1,1,(Table134[[#This Row],[Psh]]+0.15*(1-Table134[[#This Row],[Psh]])))</f>
        <v>0.81315789473684208</v>
      </c>
      <c r="M1011" s="14">
        <f>IF(Table134[[#This Row],[check]]=1,0.65,1)</f>
        <v>1</v>
      </c>
      <c r="N1011" s="4">
        <v>1</v>
      </c>
      <c r="O1011" s="4">
        <f>IF(Table134[[#This Row],[check]]=1,Table134[[#This Row],[مساحت آدرس]]*Table134[[#This Row],[A0 Inc]],Table134[[#This Row],[A_tree]]*Table134[[#This Row],[اصله مستقل]])</f>
        <v>252</v>
      </c>
      <c r="P1011" s="11">
        <f>IF(Table134[[#This Row],[check]]=1,Table134[[#This Row],[A0]]/Table134[[#This Row],[اصله مستقل]],Table134[[#This Row],[A_tree]])</f>
        <v>9</v>
      </c>
    </row>
    <row r="1012" spans="2:16" ht="18.600000000000001" x14ac:dyDescent="0.3">
      <c r="B1012" s="4" t="s">
        <v>1515</v>
      </c>
      <c r="C1012" s="4">
        <v>1269</v>
      </c>
      <c r="D1012" s="4">
        <v>1091</v>
      </c>
      <c r="E1012" s="4">
        <v>5671</v>
      </c>
      <c r="F1012" s="4">
        <v>8057</v>
      </c>
      <c r="G1012" s="2" t="s">
        <v>62</v>
      </c>
      <c r="H1012" s="4">
        <v>9</v>
      </c>
      <c r="I1012" s="4">
        <f>Table134[[#This Row],[اصله مستقل]]*Table134[[#This Row],[A_tree]]</f>
        <v>9819</v>
      </c>
      <c r="J1012" s="4">
        <f>IF(Table134[[#This Row],[n * A_tree ]]&gt;Table134[[#This Row],[مساحت آدرس]],1,0)</f>
        <v>1</v>
      </c>
      <c r="K1012" s="8">
        <f>IF(Table134[[#This Row],[check]]=1,1,Table134[[#This Row],[A_tree]]*Table134[[#This Row],[اصله مستقل]]/Table134[[#This Row],[مساحت آدرس]])</f>
        <v>1</v>
      </c>
      <c r="L1012" s="14">
        <f>IF(Table134[[#This Row],[check]]=1,1,(Table134[[#This Row],[Psh]]+0.15*(1-Table134[[#This Row],[Psh]])))</f>
        <v>1</v>
      </c>
      <c r="M1012" s="14">
        <f>IF(Table134[[#This Row],[check]]=1,0.65,1)</f>
        <v>0.65</v>
      </c>
      <c r="N1012" s="4">
        <v>1</v>
      </c>
      <c r="O1012" s="4">
        <f>IF(Table134[[#This Row],[check]]=1,Table134[[#This Row],[مساحت آدرس]]*Table134[[#This Row],[A0 Inc]],Table134[[#This Row],[A_tree]]*Table134[[#This Row],[اصله مستقل]])</f>
        <v>8057</v>
      </c>
      <c r="P1012" s="11">
        <f>IF(Table134[[#This Row],[check]]=1,Table134[[#This Row],[A0]]/Table134[[#This Row],[اصله مستقل]],Table134[[#This Row],[A_tree]])</f>
        <v>7.3849679193400553</v>
      </c>
    </row>
    <row r="1013" spans="2:16" ht="18.600000000000001" x14ac:dyDescent="0.3">
      <c r="B1013" s="4" t="s">
        <v>1516</v>
      </c>
      <c r="C1013" s="4">
        <v>168</v>
      </c>
      <c r="D1013" s="4">
        <v>91</v>
      </c>
      <c r="E1013" s="4">
        <v>128</v>
      </c>
      <c r="F1013" s="4">
        <v>1385</v>
      </c>
      <c r="G1013" s="2" t="s">
        <v>62</v>
      </c>
      <c r="H1013" s="4">
        <v>9</v>
      </c>
      <c r="I1013" s="4">
        <f>Table134[[#This Row],[اصله مستقل]]*Table134[[#This Row],[A_tree]]</f>
        <v>819</v>
      </c>
      <c r="J1013" s="4">
        <f>IF(Table134[[#This Row],[n * A_tree ]]&gt;Table134[[#This Row],[مساحت آدرس]],1,0)</f>
        <v>0</v>
      </c>
      <c r="K1013" s="8">
        <f>IF(Table134[[#This Row],[check]]=1,1,Table134[[#This Row],[A_tree]]*Table134[[#This Row],[اصله مستقل]]/Table134[[#This Row],[مساحت آدرس]])</f>
        <v>0.59133574007220213</v>
      </c>
      <c r="L1013" s="14">
        <f>IF(Table134[[#This Row],[check]]=1,1,(Table134[[#This Row],[Psh]]+0.15*(1-Table134[[#This Row],[Psh]])))</f>
        <v>0.65263537906137181</v>
      </c>
      <c r="M1013" s="14">
        <f>IF(Table134[[#This Row],[check]]=1,0.65,1)</f>
        <v>1</v>
      </c>
      <c r="N1013" s="4">
        <v>1</v>
      </c>
      <c r="O1013" s="4">
        <f>IF(Table134[[#This Row],[check]]=1,Table134[[#This Row],[مساحت آدرس]]*Table134[[#This Row],[A0 Inc]],Table134[[#This Row],[A_tree]]*Table134[[#This Row],[اصله مستقل]])</f>
        <v>819</v>
      </c>
      <c r="P1013" s="11">
        <f>IF(Table134[[#This Row],[check]]=1,Table134[[#This Row],[A0]]/Table134[[#This Row],[اصله مستقل]],Table134[[#This Row],[A_tree]])</f>
        <v>9</v>
      </c>
    </row>
    <row r="1014" spans="2:16" ht="18.600000000000001" x14ac:dyDescent="0.3">
      <c r="B1014" s="4" t="s">
        <v>1517</v>
      </c>
      <c r="C1014" s="4">
        <v>20</v>
      </c>
      <c r="D1014" s="4">
        <v>20</v>
      </c>
      <c r="E1014" s="4">
        <v>43</v>
      </c>
      <c r="F1014" s="4">
        <v>161</v>
      </c>
      <c r="G1014" s="2" t="s">
        <v>62</v>
      </c>
      <c r="H1014" s="4">
        <v>9</v>
      </c>
      <c r="I1014" s="4">
        <f>Table134[[#This Row],[اصله مستقل]]*Table134[[#This Row],[A_tree]]</f>
        <v>180</v>
      </c>
      <c r="J1014" s="4">
        <f>IF(Table134[[#This Row],[n * A_tree ]]&gt;Table134[[#This Row],[مساحت آدرس]],1,0)</f>
        <v>1</v>
      </c>
      <c r="K1014" s="8">
        <f>IF(Table134[[#This Row],[check]]=1,1,Table134[[#This Row],[A_tree]]*Table134[[#This Row],[اصله مستقل]]/Table134[[#This Row],[مساحت آدرس]])</f>
        <v>1</v>
      </c>
      <c r="L1014" s="14">
        <f>IF(Table134[[#This Row],[check]]=1,1,(Table134[[#This Row],[Psh]]+0.15*(1-Table134[[#This Row],[Psh]])))</f>
        <v>1</v>
      </c>
      <c r="M1014" s="14">
        <f>IF(Table134[[#This Row],[check]]=1,0.65,1)</f>
        <v>0.65</v>
      </c>
      <c r="N1014" s="4">
        <v>1</v>
      </c>
      <c r="O1014" s="4">
        <f>IF(Table134[[#This Row],[check]]=1,Table134[[#This Row],[مساحت آدرس]]*Table134[[#This Row],[A0 Inc]],Table134[[#This Row],[A_tree]]*Table134[[#This Row],[اصله مستقل]])</f>
        <v>161</v>
      </c>
      <c r="P1014" s="11">
        <f>IF(Table134[[#This Row],[check]]=1,Table134[[#This Row],[A0]]/Table134[[#This Row],[اصله مستقل]],Table134[[#This Row],[A_tree]])</f>
        <v>8.0500000000000007</v>
      </c>
    </row>
    <row r="1015" spans="2:16" ht="18.600000000000001" x14ac:dyDescent="0.3">
      <c r="B1015" s="4" t="s">
        <v>1518</v>
      </c>
      <c r="C1015" s="4">
        <v>28</v>
      </c>
      <c r="D1015" s="4">
        <v>28</v>
      </c>
      <c r="E1015" s="4">
        <v>188</v>
      </c>
      <c r="F1015" s="4">
        <v>457</v>
      </c>
      <c r="G1015" s="2" t="s">
        <v>66</v>
      </c>
      <c r="H1015" s="4">
        <v>9</v>
      </c>
      <c r="I1015" s="4">
        <f>Table134[[#This Row],[اصله مستقل]]*Table134[[#This Row],[A_tree]]</f>
        <v>252</v>
      </c>
      <c r="J1015" s="4">
        <f>IF(Table134[[#This Row],[n * A_tree ]]&gt;Table134[[#This Row],[مساحت آدرس]],1,0)</f>
        <v>0</v>
      </c>
      <c r="K1015" s="8">
        <f>IF(Table134[[#This Row],[check]]=1,1,Table134[[#This Row],[A_tree]]*Table134[[#This Row],[اصله مستقل]]/Table134[[#This Row],[مساحت آدرس]])</f>
        <v>0.55142231947483589</v>
      </c>
      <c r="L1015" s="14">
        <f>IF(Table134[[#This Row],[check]]=1,1,(Table134[[#This Row],[Psh]]+0.15*(1-Table134[[#This Row],[Psh]])))</f>
        <v>0.61870897155361049</v>
      </c>
      <c r="M1015" s="14">
        <f>IF(Table134[[#This Row],[check]]=1,0.65,1)</f>
        <v>1</v>
      </c>
      <c r="N1015" s="4">
        <v>1</v>
      </c>
      <c r="O1015" s="4">
        <f>IF(Table134[[#This Row],[check]]=1,Table134[[#This Row],[مساحت آدرس]]*Table134[[#This Row],[A0 Inc]],Table134[[#This Row],[A_tree]]*Table134[[#This Row],[اصله مستقل]])</f>
        <v>252</v>
      </c>
      <c r="P1015" s="11">
        <f>IF(Table134[[#This Row],[check]]=1,Table134[[#This Row],[A0]]/Table134[[#This Row],[اصله مستقل]],Table134[[#This Row],[A_tree]])</f>
        <v>9</v>
      </c>
    </row>
    <row r="1016" spans="2:16" ht="18.600000000000001" x14ac:dyDescent="0.3">
      <c r="B1016" s="4" t="s">
        <v>1524</v>
      </c>
      <c r="C1016" s="4">
        <v>10900</v>
      </c>
      <c r="D1016" s="4">
        <v>10900</v>
      </c>
      <c r="E1016" s="4">
        <v>20200</v>
      </c>
      <c r="F1016" s="4">
        <v>40850</v>
      </c>
      <c r="G1016" s="2" t="s">
        <v>3</v>
      </c>
      <c r="H1016" s="4">
        <v>9</v>
      </c>
      <c r="I1016" s="4">
        <f>Table134[[#This Row],[اصله مستقل]]*Table134[[#This Row],[A_tree]]</f>
        <v>98100</v>
      </c>
      <c r="J1016" s="4">
        <f>IF(Table134[[#This Row],[n * A_tree ]]&gt;Table134[[#This Row],[مساحت آدرس]],1,0)</f>
        <v>1</v>
      </c>
      <c r="K1016" s="8">
        <f>IF(Table134[[#This Row],[check]]=1,1,Table134[[#This Row],[A_tree]]*Table134[[#This Row],[اصله مستقل]]/Table134[[#This Row],[مساحت آدرس]])</f>
        <v>1</v>
      </c>
      <c r="L1016" s="14">
        <f>IF(Table134[[#This Row],[check]]=1,1,(Table134[[#This Row],[Psh]]+0.15*(1-Table134[[#This Row],[Psh]])))</f>
        <v>1</v>
      </c>
      <c r="M1016" s="14">
        <f>IF(Table134[[#This Row],[check]]=1,0.65,1)</f>
        <v>0.65</v>
      </c>
      <c r="N1016" s="4">
        <v>1</v>
      </c>
      <c r="O1016" s="4">
        <f>IF(Table134[[#This Row],[check]]=1,Table134[[#This Row],[مساحت آدرس]]*Table134[[#This Row],[A0 Inc]],Table134[[#This Row],[A_tree]]*Table134[[#This Row],[اصله مستقل]])</f>
        <v>40850</v>
      </c>
      <c r="P1016" s="11">
        <f>IF(Table134[[#This Row],[check]]=1,Table134[[#This Row],[A0]]/Table134[[#This Row],[اصله مستقل]],Table134[[#This Row],[A_tree]])</f>
        <v>3.7477064220183487</v>
      </c>
    </row>
    <row r="1017" spans="2:16" ht="18.600000000000001" x14ac:dyDescent="0.3">
      <c r="B1017" s="4" t="s">
        <v>1525</v>
      </c>
      <c r="C1017" s="4">
        <v>2850</v>
      </c>
      <c r="D1017" s="4">
        <v>2850</v>
      </c>
      <c r="E1017" s="4">
        <v>9000</v>
      </c>
      <c r="F1017" s="4">
        <v>17190</v>
      </c>
      <c r="G1017" s="2" t="s">
        <v>3</v>
      </c>
      <c r="H1017" s="4">
        <v>9</v>
      </c>
      <c r="I1017" s="4">
        <f>Table134[[#This Row],[اصله مستقل]]*Table134[[#This Row],[A_tree]]</f>
        <v>25650</v>
      </c>
      <c r="J1017" s="4">
        <f>IF(Table134[[#This Row],[n * A_tree ]]&gt;Table134[[#This Row],[مساحت آدرس]],1,0)</f>
        <v>1</v>
      </c>
      <c r="K1017" s="8">
        <f>IF(Table134[[#This Row],[check]]=1,1,Table134[[#This Row],[A_tree]]*Table134[[#This Row],[اصله مستقل]]/Table134[[#This Row],[مساحت آدرس]])</f>
        <v>1</v>
      </c>
      <c r="L1017" s="14">
        <f>IF(Table134[[#This Row],[check]]=1,1,(Table134[[#This Row],[Psh]]+0.15*(1-Table134[[#This Row],[Psh]])))</f>
        <v>1</v>
      </c>
      <c r="M1017" s="14">
        <f>IF(Table134[[#This Row],[check]]=1,0.65,1)</f>
        <v>0.65</v>
      </c>
      <c r="N1017" s="4">
        <v>1</v>
      </c>
      <c r="O1017" s="4">
        <f>IF(Table134[[#This Row],[check]]=1,Table134[[#This Row],[مساحت آدرس]]*Table134[[#This Row],[A0 Inc]],Table134[[#This Row],[A_tree]]*Table134[[#This Row],[اصله مستقل]])</f>
        <v>17190</v>
      </c>
      <c r="P1017" s="11">
        <f>IF(Table134[[#This Row],[check]]=1,Table134[[#This Row],[A0]]/Table134[[#This Row],[اصله مستقل]],Table134[[#This Row],[A_tree]])</f>
        <v>6.0315789473684207</v>
      </c>
    </row>
    <row r="1018" spans="2:16" ht="18.600000000000001" x14ac:dyDescent="0.3">
      <c r="B1018" s="4" t="s">
        <v>1528</v>
      </c>
      <c r="C1018" s="4">
        <v>2400</v>
      </c>
      <c r="D1018" s="4">
        <v>2400</v>
      </c>
      <c r="E1018" s="4">
        <v>33000</v>
      </c>
      <c r="F1018" s="4">
        <v>33000</v>
      </c>
      <c r="G1018" s="2" t="s">
        <v>21</v>
      </c>
      <c r="H1018" s="4">
        <v>9</v>
      </c>
      <c r="I1018" s="4">
        <f>Table134[[#This Row],[اصله مستقل]]*Table134[[#This Row],[A_tree]]</f>
        <v>21600</v>
      </c>
      <c r="J1018" s="4">
        <f>IF(Table134[[#This Row],[n * A_tree ]]&gt;Table134[[#This Row],[مساحت آدرس]],1,0)</f>
        <v>0</v>
      </c>
      <c r="K1018" s="8">
        <f>IF(Table134[[#This Row],[check]]=1,1,Table134[[#This Row],[A_tree]]*Table134[[#This Row],[اصله مستقل]]/Table134[[#This Row],[مساحت آدرس]])</f>
        <v>0.65454545454545454</v>
      </c>
      <c r="L1018" s="14">
        <f>IF(Table134[[#This Row],[check]]=1,1,(Table134[[#This Row],[Psh]]+0.15*(1-Table134[[#This Row],[Psh]])))</f>
        <v>0.7063636363636363</v>
      </c>
      <c r="M1018" s="14">
        <f>IF(Table134[[#This Row],[check]]=1,0.65,1)</f>
        <v>1</v>
      </c>
      <c r="N1018" s="4">
        <v>1</v>
      </c>
      <c r="O1018" s="4">
        <f>IF(Table134[[#This Row],[check]]=1,Table134[[#This Row],[مساحت آدرس]]*Table134[[#This Row],[A0 Inc]],Table134[[#This Row],[A_tree]]*Table134[[#This Row],[اصله مستقل]])</f>
        <v>21600</v>
      </c>
      <c r="P1018" s="11">
        <f>IF(Table134[[#This Row],[check]]=1,Table134[[#This Row],[A0]]/Table134[[#This Row],[اصله مستقل]],Table134[[#This Row],[A_tree]])</f>
        <v>9</v>
      </c>
    </row>
    <row r="1019" spans="2:16" ht="18.600000000000001" x14ac:dyDescent="0.3">
      <c r="B1019" s="4" t="s">
        <v>1529</v>
      </c>
      <c r="C1019" s="4">
        <v>1617</v>
      </c>
      <c r="D1019" s="4">
        <v>1650</v>
      </c>
      <c r="E1019" s="4">
        <v>16000</v>
      </c>
      <c r="F1019" s="4">
        <v>16100</v>
      </c>
      <c r="G1019" s="2" t="s">
        <v>21</v>
      </c>
      <c r="H1019" s="4">
        <v>9</v>
      </c>
      <c r="I1019" s="4">
        <f>Table134[[#This Row],[اصله مستقل]]*Table134[[#This Row],[A_tree]]</f>
        <v>14850</v>
      </c>
      <c r="J1019" s="4">
        <f>IF(Table134[[#This Row],[n * A_tree ]]&gt;Table134[[#This Row],[مساحت آدرس]],1,0)</f>
        <v>0</v>
      </c>
      <c r="K1019" s="8">
        <f>IF(Table134[[#This Row],[check]]=1,1,Table134[[#This Row],[A_tree]]*Table134[[#This Row],[اصله مستقل]]/Table134[[#This Row],[مساحت آدرس]])</f>
        <v>0.92236024844720499</v>
      </c>
      <c r="L1019" s="14">
        <f>IF(Table134[[#This Row],[check]]=1,1,(Table134[[#This Row],[Psh]]+0.15*(1-Table134[[#This Row],[Psh]])))</f>
        <v>0.93400621118012428</v>
      </c>
      <c r="M1019" s="14">
        <f>IF(Table134[[#This Row],[check]]=1,0.65,1)</f>
        <v>1</v>
      </c>
      <c r="N1019" s="4">
        <v>1</v>
      </c>
      <c r="O1019" s="4">
        <f>IF(Table134[[#This Row],[check]]=1,Table134[[#This Row],[مساحت آدرس]]*Table134[[#This Row],[A0 Inc]],Table134[[#This Row],[A_tree]]*Table134[[#This Row],[اصله مستقل]])</f>
        <v>14850</v>
      </c>
      <c r="P1019" s="11">
        <f>IF(Table134[[#This Row],[check]]=1,Table134[[#This Row],[A0]]/Table134[[#This Row],[اصله مستقل]],Table134[[#This Row],[A_tree]])</f>
        <v>9</v>
      </c>
    </row>
    <row r="1020" spans="2:16" ht="18.600000000000001" x14ac:dyDescent="0.3">
      <c r="B1020" s="4" t="s">
        <v>1530</v>
      </c>
      <c r="C1020" s="4">
        <v>314</v>
      </c>
      <c r="D1020" s="4">
        <v>150</v>
      </c>
      <c r="E1020" s="4">
        <v>100</v>
      </c>
      <c r="F1020" s="4">
        <v>5600</v>
      </c>
      <c r="G1020" s="2" t="s">
        <v>62</v>
      </c>
      <c r="H1020" s="4">
        <v>9</v>
      </c>
      <c r="I1020" s="4">
        <f>Table134[[#This Row],[اصله مستقل]]*Table134[[#This Row],[A_tree]]</f>
        <v>1350</v>
      </c>
      <c r="J1020" s="4">
        <f>IF(Table134[[#This Row],[n * A_tree ]]&gt;Table134[[#This Row],[مساحت آدرس]],1,0)</f>
        <v>0</v>
      </c>
      <c r="K1020" s="8">
        <f>IF(Table134[[#This Row],[check]]=1,1,Table134[[#This Row],[A_tree]]*Table134[[#This Row],[اصله مستقل]]/Table134[[#This Row],[مساحت آدرس]])</f>
        <v>0.24107142857142858</v>
      </c>
      <c r="L1020" s="14">
        <f>IF(Table134[[#This Row],[check]]=1,1,(Table134[[#This Row],[Psh]]+0.15*(1-Table134[[#This Row],[Psh]])))</f>
        <v>0.3549107142857143</v>
      </c>
      <c r="M1020" s="14">
        <f>IF(Table134[[#This Row],[check]]=1,0.65,1)</f>
        <v>1</v>
      </c>
      <c r="N1020" s="4">
        <v>1</v>
      </c>
      <c r="O1020" s="4">
        <f>IF(Table134[[#This Row],[check]]=1,Table134[[#This Row],[مساحت آدرس]]*Table134[[#This Row],[A0 Inc]],Table134[[#This Row],[A_tree]]*Table134[[#This Row],[اصله مستقل]])</f>
        <v>1350</v>
      </c>
      <c r="P1020" s="11">
        <f>IF(Table134[[#This Row],[check]]=1,Table134[[#This Row],[A0]]/Table134[[#This Row],[اصله مستقل]],Table134[[#This Row],[A_tree]])</f>
        <v>9</v>
      </c>
    </row>
    <row r="1021" spans="2:16" ht="18.600000000000001" x14ac:dyDescent="0.3">
      <c r="B1021" s="4" t="s">
        <v>1531</v>
      </c>
      <c r="C1021" s="4">
        <v>60</v>
      </c>
      <c r="D1021" s="4">
        <v>60</v>
      </c>
      <c r="E1021" s="4">
        <v>80</v>
      </c>
      <c r="F1021" s="4">
        <v>360</v>
      </c>
      <c r="G1021" s="2" t="s">
        <v>62</v>
      </c>
      <c r="H1021" s="4">
        <v>9</v>
      </c>
      <c r="I1021" s="4">
        <f>Table134[[#This Row],[اصله مستقل]]*Table134[[#This Row],[A_tree]]</f>
        <v>540</v>
      </c>
      <c r="J1021" s="4">
        <f>IF(Table134[[#This Row],[n * A_tree ]]&gt;Table134[[#This Row],[مساحت آدرس]],1,0)</f>
        <v>1</v>
      </c>
      <c r="K1021" s="8">
        <f>IF(Table134[[#This Row],[check]]=1,1,Table134[[#This Row],[A_tree]]*Table134[[#This Row],[اصله مستقل]]/Table134[[#This Row],[مساحت آدرس]])</f>
        <v>1</v>
      </c>
      <c r="L1021" s="14">
        <f>IF(Table134[[#This Row],[check]]=1,1,(Table134[[#This Row],[Psh]]+0.15*(1-Table134[[#This Row],[Psh]])))</f>
        <v>1</v>
      </c>
      <c r="M1021" s="14">
        <f>IF(Table134[[#This Row],[check]]=1,0.65,1)</f>
        <v>0.65</v>
      </c>
      <c r="N1021" s="4">
        <v>1</v>
      </c>
      <c r="O1021" s="4">
        <f>IF(Table134[[#This Row],[check]]=1,Table134[[#This Row],[مساحت آدرس]]*Table134[[#This Row],[A0 Inc]],Table134[[#This Row],[A_tree]]*Table134[[#This Row],[اصله مستقل]])</f>
        <v>360</v>
      </c>
      <c r="P1021" s="11">
        <f>IF(Table134[[#This Row],[check]]=1,Table134[[#This Row],[A0]]/Table134[[#This Row],[اصله مستقل]],Table134[[#This Row],[A_tree]])</f>
        <v>6</v>
      </c>
    </row>
    <row r="1022" spans="2:16" ht="18.600000000000001" x14ac:dyDescent="0.3">
      <c r="B1022" s="4" t="s">
        <v>1532</v>
      </c>
      <c r="C1022" s="4">
        <v>41</v>
      </c>
      <c r="D1022" s="4">
        <v>38</v>
      </c>
      <c r="E1022" s="4">
        <v>38</v>
      </c>
      <c r="F1022" s="4">
        <v>38</v>
      </c>
      <c r="G1022" s="2" t="s">
        <v>21</v>
      </c>
      <c r="H1022" s="4">
        <v>9</v>
      </c>
      <c r="I1022" s="4">
        <f>Table134[[#This Row],[اصله مستقل]]*Table134[[#This Row],[A_tree]]</f>
        <v>342</v>
      </c>
      <c r="J1022" s="4">
        <f>IF(Table134[[#This Row],[n * A_tree ]]&gt;Table134[[#This Row],[مساحت آدرس]],1,0)</f>
        <v>1</v>
      </c>
      <c r="K1022" s="8">
        <f>IF(Table134[[#This Row],[check]]=1,1,Table134[[#This Row],[A_tree]]*Table134[[#This Row],[اصله مستقل]]/Table134[[#This Row],[مساحت آدرس]])</f>
        <v>1</v>
      </c>
      <c r="L1022" s="14">
        <f>IF(Table134[[#This Row],[check]]=1,1,(Table134[[#This Row],[Psh]]+0.15*(1-Table134[[#This Row],[Psh]])))</f>
        <v>1</v>
      </c>
      <c r="M1022" s="14">
        <f>IF(Table134[[#This Row],[check]]=1,0.65,1)</f>
        <v>0.65</v>
      </c>
      <c r="N1022" s="4">
        <v>1</v>
      </c>
      <c r="O1022" s="4">
        <f>IF(Table134[[#This Row],[check]]=1,Table134[[#This Row],[مساحت آدرس]]*Table134[[#This Row],[A0 Inc]],Table134[[#This Row],[A_tree]]*Table134[[#This Row],[اصله مستقل]])</f>
        <v>38</v>
      </c>
      <c r="P1022" s="11">
        <f>IF(Table134[[#This Row],[check]]=1,Table134[[#This Row],[A0]]/Table134[[#This Row],[اصله مستقل]],Table134[[#This Row],[A_tree]])</f>
        <v>1</v>
      </c>
    </row>
    <row r="1023" spans="2:16" ht="18.600000000000001" x14ac:dyDescent="0.3">
      <c r="B1023" s="4" t="s">
        <v>1533</v>
      </c>
      <c r="C1023" s="4">
        <v>826</v>
      </c>
      <c r="D1023" s="4">
        <v>6</v>
      </c>
      <c r="E1023" s="4">
        <v>6</v>
      </c>
      <c r="F1023" s="4">
        <v>2456</v>
      </c>
      <c r="G1023" s="2" t="s">
        <v>21</v>
      </c>
      <c r="H1023" s="4">
        <v>9</v>
      </c>
      <c r="I1023" s="4">
        <f>Table134[[#This Row],[اصله مستقل]]*Table134[[#This Row],[A_tree]]</f>
        <v>54</v>
      </c>
      <c r="J1023" s="4">
        <f>IF(Table134[[#This Row],[n * A_tree ]]&gt;Table134[[#This Row],[مساحت آدرس]],1,0)</f>
        <v>0</v>
      </c>
      <c r="K1023" s="8">
        <f>IF(Table134[[#This Row],[check]]=1,1,Table134[[#This Row],[A_tree]]*Table134[[#This Row],[اصله مستقل]]/Table134[[#This Row],[مساحت آدرس]])</f>
        <v>2.1986970684039087E-2</v>
      </c>
      <c r="L1023" s="14">
        <f>IF(Table134[[#This Row],[check]]=1,1,(Table134[[#This Row],[Psh]]+0.15*(1-Table134[[#This Row],[Psh]])))</f>
        <v>0.16868892508143324</v>
      </c>
      <c r="M1023" s="14">
        <f>IF(Table134[[#This Row],[check]]=1,0.65,1)</f>
        <v>1</v>
      </c>
      <c r="N1023" s="4">
        <v>1</v>
      </c>
      <c r="O1023" s="4">
        <f>IF(Table134[[#This Row],[check]]=1,Table134[[#This Row],[مساحت آدرس]]*Table134[[#This Row],[A0 Inc]],Table134[[#This Row],[A_tree]]*Table134[[#This Row],[اصله مستقل]])</f>
        <v>54</v>
      </c>
      <c r="P1023" s="11">
        <f>IF(Table134[[#This Row],[check]]=1,Table134[[#This Row],[A0]]/Table134[[#This Row],[اصله مستقل]],Table134[[#This Row],[A_tree]])</f>
        <v>9</v>
      </c>
    </row>
    <row r="1024" spans="2:16" ht="18.600000000000001" x14ac:dyDescent="0.3">
      <c r="B1024" s="4" t="s">
        <v>1534</v>
      </c>
      <c r="C1024" s="4">
        <v>466</v>
      </c>
      <c r="D1024" s="4">
        <v>24</v>
      </c>
      <c r="E1024" s="4">
        <v>24</v>
      </c>
      <c r="F1024" s="4">
        <v>1524</v>
      </c>
      <c r="G1024" s="2" t="s">
        <v>21</v>
      </c>
      <c r="H1024" s="4">
        <v>9</v>
      </c>
      <c r="I1024" s="4">
        <f>Table134[[#This Row],[اصله مستقل]]*Table134[[#This Row],[A_tree]]</f>
        <v>216</v>
      </c>
      <c r="J1024" s="4">
        <f>IF(Table134[[#This Row],[n * A_tree ]]&gt;Table134[[#This Row],[مساحت آدرس]],1,0)</f>
        <v>0</v>
      </c>
      <c r="K1024" s="8">
        <f>IF(Table134[[#This Row],[check]]=1,1,Table134[[#This Row],[A_tree]]*Table134[[#This Row],[اصله مستقل]]/Table134[[#This Row],[مساحت آدرس]])</f>
        <v>0.14173228346456693</v>
      </c>
      <c r="L1024" s="14">
        <f>IF(Table134[[#This Row],[check]]=1,1,(Table134[[#This Row],[Psh]]+0.15*(1-Table134[[#This Row],[Psh]])))</f>
        <v>0.27047244094488188</v>
      </c>
      <c r="M1024" s="14">
        <f>IF(Table134[[#This Row],[check]]=1,0.65,1)</f>
        <v>1</v>
      </c>
      <c r="N1024" s="4">
        <v>1</v>
      </c>
      <c r="O1024" s="4">
        <f>IF(Table134[[#This Row],[check]]=1,Table134[[#This Row],[مساحت آدرس]]*Table134[[#This Row],[A0 Inc]],Table134[[#This Row],[A_tree]]*Table134[[#This Row],[اصله مستقل]])</f>
        <v>216</v>
      </c>
      <c r="P1024" s="11">
        <f>IF(Table134[[#This Row],[check]]=1,Table134[[#This Row],[A0]]/Table134[[#This Row],[اصله مستقل]],Table134[[#This Row],[A_tree]])</f>
        <v>9</v>
      </c>
    </row>
    <row r="1025" spans="2:16" ht="18.600000000000001" x14ac:dyDescent="0.3">
      <c r="B1025" s="4" t="s">
        <v>1535</v>
      </c>
      <c r="C1025" s="4">
        <v>512</v>
      </c>
      <c r="D1025" s="4">
        <v>18</v>
      </c>
      <c r="E1025" s="4">
        <v>18</v>
      </c>
      <c r="F1025" s="4">
        <v>2522</v>
      </c>
      <c r="G1025" s="2" t="s">
        <v>21</v>
      </c>
      <c r="H1025" s="4">
        <v>9</v>
      </c>
      <c r="I1025" s="4">
        <f>Table134[[#This Row],[اصله مستقل]]*Table134[[#This Row],[A_tree]]</f>
        <v>162</v>
      </c>
      <c r="J1025" s="4">
        <f>IF(Table134[[#This Row],[n * A_tree ]]&gt;Table134[[#This Row],[مساحت آدرس]],1,0)</f>
        <v>0</v>
      </c>
      <c r="K1025" s="8">
        <f>IF(Table134[[#This Row],[check]]=1,1,Table134[[#This Row],[A_tree]]*Table134[[#This Row],[اصله مستقل]]/Table134[[#This Row],[مساحت آدرس]])</f>
        <v>6.4234734337827115E-2</v>
      </c>
      <c r="L1025" s="14">
        <f>IF(Table134[[#This Row],[check]]=1,1,(Table134[[#This Row],[Psh]]+0.15*(1-Table134[[#This Row],[Psh]])))</f>
        <v>0.20459952418715305</v>
      </c>
      <c r="M1025" s="14">
        <f>IF(Table134[[#This Row],[check]]=1,0.65,1)</f>
        <v>1</v>
      </c>
      <c r="N1025" s="4">
        <v>1</v>
      </c>
      <c r="O1025" s="4">
        <f>IF(Table134[[#This Row],[check]]=1,Table134[[#This Row],[مساحت آدرس]]*Table134[[#This Row],[A0 Inc]],Table134[[#This Row],[A_tree]]*Table134[[#This Row],[اصله مستقل]])</f>
        <v>162</v>
      </c>
      <c r="P1025" s="11">
        <f>IF(Table134[[#This Row],[check]]=1,Table134[[#This Row],[A0]]/Table134[[#This Row],[اصله مستقل]],Table134[[#This Row],[A_tree]])</f>
        <v>9</v>
      </c>
    </row>
    <row r="1026" spans="2:16" ht="18.600000000000001" x14ac:dyDescent="0.3">
      <c r="B1026" s="4" t="s">
        <v>1536</v>
      </c>
      <c r="C1026" s="4">
        <v>158</v>
      </c>
      <c r="D1026" s="4">
        <v>15</v>
      </c>
      <c r="E1026" s="4">
        <v>15</v>
      </c>
      <c r="F1026" s="4">
        <v>1033</v>
      </c>
      <c r="G1026" s="2" t="s">
        <v>21</v>
      </c>
      <c r="H1026" s="4">
        <v>9</v>
      </c>
      <c r="I1026" s="4">
        <f>Table134[[#This Row],[اصله مستقل]]*Table134[[#This Row],[A_tree]]</f>
        <v>135</v>
      </c>
      <c r="J1026" s="4">
        <f>IF(Table134[[#This Row],[n * A_tree ]]&gt;Table134[[#This Row],[مساحت آدرس]],1,0)</f>
        <v>0</v>
      </c>
      <c r="K1026" s="8">
        <f>IF(Table134[[#This Row],[check]]=1,1,Table134[[#This Row],[A_tree]]*Table134[[#This Row],[اصله مستقل]]/Table134[[#This Row],[مساحت آدرس]])</f>
        <v>0.13068731848983542</v>
      </c>
      <c r="L1026" s="14">
        <f>IF(Table134[[#This Row],[check]]=1,1,(Table134[[#This Row],[Psh]]+0.15*(1-Table134[[#This Row],[Psh]])))</f>
        <v>0.26108422071636012</v>
      </c>
      <c r="M1026" s="14">
        <f>IF(Table134[[#This Row],[check]]=1,0.65,1)</f>
        <v>1</v>
      </c>
      <c r="N1026" s="4">
        <v>1</v>
      </c>
      <c r="O1026" s="4">
        <f>IF(Table134[[#This Row],[check]]=1,Table134[[#This Row],[مساحت آدرس]]*Table134[[#This Row],[A0 Inc]],Table134[[#This Row],[A_tree]]*Table134[[#This Row],[اصله مستقل]])</f>
        <v>135</v>
      </c>
      <c r="P1026" s="11">
        <f>IF(Table134[[#This Row],[check]]=1,Table134[[#This Row],[A0]]/Table134[[#This Row],[اصله مستقل]],Table134[[#This Row],[A_tree]])</f>
        <v>9</v>
      </c>
    </row>
    <row r="1027" spans="2:16" ht="18.600000000000001" x14ac:dyDescent="0.3">
      <c r="B1027" s="4" t="s">
        <v>1537</v>
      </c>
      <c r="C1027" s="4">
        <v>389</v>
      </c>
      <c r="D1027" s="4">
        <v>389</v>
      </c>
      <c r="E1027" s="4">
        <v>389</v>
      </c>
      <c r="F1027" s="4">
        <v>745</v>
      </c>
      <c r="G1027" s="2" t="s">
        <v>21</v>
      </c>
      <c r="H1027" s="4">
        <v>9</v>
      </c>
      <c r="I1027" s="4">
        <f>Table134[[#This Row],[اصله مستقل]]*Table134[[#This Row],[A_tree]]</f>
        <v>3501</v>
      </c>
      <c r="J1027" s="4">
        <f>IF(Table134[[#This Row],[n * A_tree ]]&gt;Table134[[#This Row],[مساحت آدرس]],1,0)</f>
        <v>1</v>
      </c>
      <c r="K1027" s="8">
        <f>IF(Table134[[#This Row],[check]]=1,1,Table134[[#This Row],[A_tree]]*Table134[[#This Row],[اصله مستقل]]/Table134[[#This Row],[مساحت آدرس]])</f>
        <v>1</v>
      </c>
      <c r="L1027" s="14">
        <f>IF(Table134[[#This Row],[check]]=1,1,(Table134[[#This Row],[Psh]]+0.15*(1-Table134[[#This Row],[Psh]])))</f>
        <v>1</v>
      </c>
      <c r="M1027" s="14">
        <f>IF(Table134[[#This Row],[check]]=1,0.65,1)</f>
        <v>0.65</v>
      </c>
      <c r="N1027" s="4">
        <v>1</v>
      </c>
      <c r="O1027" s="4">
        <f>IF(Table134[[#This Row],[check]]=1,Table134[[#This Row],[مساحت آدرس]]*Table134[[#This Row],[A0 Inc]],Table134[[#This Row],[A_tree]]*Table134[[#This Row],[اصله مستقل]])</f>
        <v>745</v>
      </c>
      <c r="P1027" s="11">
        <f>IF(Table134[[#This Row],[check]]=1,Table134[[#This Row],[A0]]/Table134[[#This Row],[اصله مستقل]],Table134[[#This Row],[A_tree]])</f>
        <v>1.9151670951156812</v>
      </c>
    </row>
    <row r="1028" spans="2:16" ht="18.600000000000001" x14ac:dyDescent="0.3">
      <c r="B1028" s="4" t="s">
        <v>1538</v>
      </c>
      <c r="C1028" s="4">
        <v>28</v>
      </c>
      <c r="D1028" s="4">
        <v>12</v>
      </c>
      <c r="E1028" s="4">
        <v>12</v>
      </c>
      <c r="F1028" s="4">
        <v>582</v>
      </c>
      <c r="G1028" s="2" t="s">
        <v>62</v>
      </c>
      <c r="H1028" s="4">
        <v>9</v>
      </c>
      <c r="I1028" s="4">
        <f>Table134[[#This Row],[اصله مستقل]]*Table134[[#This Row],[A_tree]]</f>
        <v>108</v>
      </c>
      <c r="J1028" s="4">
        <f>IF(Table134[[#This Row],[n * A_tree ]]&gt;Table134[[#This Row],[مساحت آدرس]],1,0)</f>
        <v>0</v>
      </c>
      <c r="K1028" s="8">
        <f>IF(Table134[[#This Row],[check]]=1,1,Table134[[#This Row],[A_tree]]*Table134[[#This Row],[اصله مستقل]]/Table134[[#This Row],[مساحت آدرس]])</f>
        <v>0.18556701030927836</v>
      </c>
      <c r="L1028" s="14">
        <f>IF(Table134[[#This Row],[check]]=1,1,(Table134[[#This Row],[Psh]]+0.15*(1-Table134[[#This Row],[Psh]])))</f>
        <v>0.30773195876288661</v>
      </c>
      <c r="M1028" s="14">
        <f>IF(Table134[[#This Row],[check]]=1,0.65,1)</f>
        <v>1</v>
      </c>
      <c r="N1028" s="4">
        <v>1</v>
      </c>
      <c r="O1028" s="4">
        <f>IF(Table134[[#This Row],[check]]=1,Table134[[#This Row],[مساحت آدرس]]*Table134[[#This Row],[A0 Inc]],Table134[[#This Row],[A_tree]]*Table134[[#This Row],[اصله مستقل]])</f>
        <v>108</v>
      </c>
      <c r="P1028" s="11">
        <f>IF(Table134[[#This Row],[check]]=1,Table134[[#This Row],[A0]]/Table134[[#This Row],[اصله مستقل]],Table134[[#This Row],[A_tree]])</f>
        <v>9</v>
      </c>
    </row>
    <row r="1029" spans="2:16" ht="18.600000000000001" x14ac:dyDescent="0.3">
      <c r="B1029" s="4" t="s">
        <v>1546</v>
      </c>
      <c r="C1029" s="4">
        <v>237</v>
      </c>
      <c r="D1029" s="4">
        <v>115</v>
      </c>
      <c r="E1029" s="4">
        <v>115</v>
      </c>
      <c r="F1029" s="4">
        <v>702</v>
      </c>
      <c r="G1029" s="2" t="s">
        <v>3</v>
      </c>
      <c r="H1029" s="4">
        <v>9</v>
      </c>
      <c r="I1029" s="4">
        <f>Table134[[#This Row],[اصله مستقل]]*Table134[[#This Row],[A_tree]]</f>
        <v>1035</v>
      </c>
      <c r="J1029" s="4">
        <f>IF(Table134[[#This Row],[n * A_tree ]]&gt;Table134[[#This Row],[مساحت آدرس]],1,0)</f>
        <v>1</v>
      </c>
      <c r="K1029" s="8">
        <f>IF(Table134[[#This Row],[check]]=1,1,Table134[[#This Row],[A_tree]]*Table134[[#This Row],[اصله مستقل]]/Table134[[#This Row],[مساحت آدرس]])</f>
        <v>1</v>
      </c>
      <c r="L1029" s="14">
        <f>IF(Table134[[#This Row],[check]]=1,1,(Table134[[#This Row],[Psh]]+0.15*(1-Table134[[#This Row],[Psh]])))</f>
        <v>1</v>
      </c>
      <c r="M1029" s="14">
        <f>IF(Table134[[#This Row],[check]]=1,0.65,1)</f>
        <v>0.65</v>
      </c>
      <c r="N1029" s="4">
        <v>1</v>
      </c>
      <c r="O1029" s="4">
        <f>IF(Table134[[#This Row],[check]]=1,Table134[[#This Row],[مساحت آدرس]]*Table134[[#This Row],[A0 Inc]],Table134[[#This Row],[A_tree]]*Table134[[#This Row],[اصله مستقل]])</f>
        <v>702</v>
      </c>
      <c r="P1029" s="11">
        <f>IF(Table134[[#This Row],[check]]=1,Table134[[#This Row],[A0]]/Table134[[#This Row],[اصله مستقل]],Table134[[#This Row],[A_tree]])</f>
        <v>6.1043478260869568</v>
      </c>
    </row>
    <row r="1030" spans="2:16" ht="18.600000000000001" x14ac:dyDescent="0.3">
      <c r="B1030" s="4" t="s">
        <v>1547</v>
      </c>
      <c r="C1030" s="4">
        <v>22</v>
      </c>
      <c r="D1030" s="4">
        <v>22</v>
      </c>
      <c r="E1030" s="4">
        <v>22</v>
      </c>
      <c r="F1030" s="4">
        <v>22</v>
      </c>
      <c r="G1030" s="2" t="s">
        <v>21</v>
      </c>
      <c r="H1030" s="4">
        <v>9</v>
      </c>
      <c r="I1030" s="4">
        <f>Table134[[#This Row],[اصله مستقل]]*Table134[[#This Row],[A_tree]]</f>
        <v>198</v>
      </c>
      <c r="J1030" s="4">
        <f>IF(Table134[[#This Row],[n * A_tree ]]&gt;Table134[[#This Row],[مساحت آدرس]],1,0)</f>
        <v>1</v>
      </c>
      <c r="K1030" s="8">
        <f>IF(Table134[[#This Row],[check]]=1,1,Table134[[#This Row],[A_tree]]*Table134[[#This Row],[اصله مستقل]]/Table134[[#This Row],[مساحت آدرس]])</f>
        <v>1</v>
      </c>
      <c r="L1030" s="14">
        <f>IF(Table134[[#This Row],[check]]=1,1,(Table134[[#This Row],[Psh]]+0.15*(1-Table134[[#This Row],[Psh]])))</f>
        <v>1</v>
      </c>
      <c r="M1030" s="14">
        <f>IF(Table134[[#This Row],[check]]=1,0.65,1)</f>
        <v>0.65</v>
      </c>
      <c r="N1030" s="4">
        <v>1</v>
      </c>
      <c r="O1030" s="4">
        <f>IF(Table134[[#This Row],[check]]=1,Table134[[#This Row],[مساحت آدرس]]*Table134[[#This Row],[A0 Inc]],Table134[[#This Row],[A_tree]]*Table134[[#This Row],[اصله مستقل]])</f>
        <v>22</v>
      </c>
      <c r="P1030" s="11">
        <f>IF(Table134[[#This Row],[check]]=1,Table134[[#This Row],[A0]]/Table134[[#This Row],[اصله مستقل]],Table134[[#This Row],[A_tree]])</f>
        <v>1</v>
      </c>
    </row>
    <row r="1031" spans="2:16" ht="18.600000000000001" x14ac:dyDescent="0.3">
      <c r="B1031" s="4" t="s">
        <v>1552</v>
      </c>
      <c r="C1031" s="4">
        <v>355</v>
      </c>
      <c r="D1031" s="4">
        <v>355</v>
      </c>
      <c r="E1031" s="4">
        <v>355</v>
      </c>
      <c r="F1031" s="4">
        <v>588</v>
      </c>
      <c r="G1031" s="2" t="s">
        <v>21</v>
      </c>
      <c r="H1031" s="4">
        <v>9</v>
      </c>
      <c r="I1031" s="4">
        <f>Table134[[#This Row],[اصله مستقل]]*Table134[[#This Row],[A_tree]]</f>
        <v>3195</v>
      </c>
      <c r="J1031" s="4">
        <f>IF(Table134[[#This Row],[n * A_tree ]]&gt;Table134[[#This Row],[مساحت آدرس]],1,0)</f>
        <v>1</v>
      </c>
      <c r="K1031" s="8">
        <f>IF(Table134[[#This Row],[check]]=1,1,Table134[[#This Row],[A_tree]]*Table134[[#This Row],[اصله مستقل]]/Table134[[#This Row],[مساحت آدرس]])</f>
        <v>1</v>
      </c>
      <c r="L1031" s="14">
        <f>IF(Table134[[#This Row],[check]]=1,1,(Table134[[#This Row],[Psh]]+0.15*(1-Table134[[#This Row],[Psh]])))</f>
        <v>1</v>
      </c>
      <c r="M1031" s="14">
        <f>IF(Table134[[#This Row],[check]]=1,0.65,1)</f>
        <v>0.65</v>
      </c>
      <c r="N1031" s="4">
        <v>1</v>
      </c>
      <c r="O1031" s="4">
        <f>IF(Table134[[#This Row],[check]]=1,Table134[[#This Row],[مساحت آدرس]]*Table134[[#This Row],[A0 Inc]],Table134[[#This Row],[A_tree]]*Table134[[#This Row],[اصله مستقل]])</f>
        <v>588</v>
      </c>
      <c r="P1031" s="11">
        <f>IF(Table134[[#This Row],[check]]=1,Table134[[#This Row],[A0]]/Table134[[#This Row],[اصله مستقل]],Table134[[#This Row],[A_tree]])</f>
        <v>1.6563380281690141</v>
      </c>
    </row>
    <row r="1032" spans="2:16" ht="18.600000000000001" x14ac:dyDescent="0.3">
      <c r="B1032" s="4" t="s">
        <v>1553</v>
      </c>
      <c r="C1032" s="4">
        <v>217</v>
      </c>
      <c r="D1032" s="4">
        <v>214</v>
      </c>
      <c r="E1032" s="4">
        <v>217</v>
      </c>
      <c r="F1032" s="4">
        <v>605</v>
      </c>
      <c r="G1032" s="2" t="s">
        <v>21</v>
      </c>
      <c r="H1032" s="4">
        <v>9</v>
      </c>
      <c r="I1032" s="4">
        <f>Table134[[#This Row],[اصله مستقل]]*Table134[[#This Row],[A_tree]]</f>
        <v>1926</v>
      </c>
      <c r="J1032" s="4">
        <f>IF(Table134[[#This Row],[n * A_tree ]]&gt;Table134[[#This Row],[مساحت آدرس]],1,0)</f>
        <v>1</v>
      </c>
      <c r="K1032" s="8">
        <f>IF(Table134[[#This Row],[check]]=1,1,Table134[[#This Row],[A_tree]]*Table134[[#This Row],[اصله مستقل]]/Table134[[#This Row],[مساحت آدرس]])</f>
        <v>1</v>
      </c>
      <c r="L1032" s="14">
        <f>IF(Table134[[#This Row],[check]]=1,1,(Table134[[#This Row],[Psh]]+0.15*(1-Table134[[#This Row],[Psh]])))</f>
        <v>1</v>
      </c>
      <c r="M1032" s="14">
        <f>IF(Table134[[#This Row],[check]]=1,0.65,1)</f>
        <v>0.65</v>
      </c>
      <c r="N1032" s="4">
        <v>1</v>
      </c>
      <c r="O1032" s="4">
        <f>IF(Table134[[#This Row],[check]]=1,Table134[[#This Row],[مساحت آدرس]]*Table134[[#This Row],[A0 Inc]],Table134[[#This Row],[A_tree]]*Table134[[#This Row],[اصله مستقل]])</f>
        <v>605</v>
      </c>
      <c r="P1032" s="11">
        <f>IF(Table134[[#This Row],[check]]=1,Table134[[#This Row],[A0]]/Table134[[#This Row],[اصله مستقل]],Table134[[#This Row],[A_tree]])</f>
        <v>2.8271028037383177</v>
      </c>
    </row>
    <row r="1033" spans="2:16" ht="18.600000000000001" x14ac:dyDescent="0.3">
      <c r="B1033" s="4" t="s">
        <v>1556</v>
      </c>
      <c r="C1033" s="4">
        <v>344</v>
      </c>
      <c r="D1033" s="4">
        <v>122</v>
      </c>
      <c r="E1033" s="4">
        <v>122</v>
      </c>
      <c r="F1033" s="4">
        <v>2910</v>
      </c>
      <c r="G1033" s="2" t="s">
        <v>3</v>
      </c>
      <c r="H1033" s="4">
        <v>9</v>
      </c>
      <c r="I1033" s="4">
        <f>Table134[[#This Row],[اصله مستقل]]*Table134[[#This Row],[A_tree]]</f>
        <v>1098</v>
      </c>
      <c r="J1033" s="4">
        <f>IF(Table134[[#This Row],[n * A_tree ]]&gt;Table134[[#This Row],[مساحت آدرس]],1,0)</f>
        <v>0</v>
      </c>
      <c r="K1033" s="8">
        <f>IF(Table134[[#This Row],[check]]=1,1,Table134[[#This Row],[A_tree]]*Table134[[#This Row],[اصله مستقل]]/Table134[[#This Row],[مساحت آدرس]])</f>
        <v>0.37731958762886597</v>
      </c>
      <c r="L1033" s="14">
        <f>IF(Table134[[#This Row],[check]]=1,1,(Table134[[#This Row],[Psh]]+0.15*(1-Table134[[#This Row],[Psh]])))</f>
        <v>0.4707216494845361</v>
      </c>
      <c r="M1033" s="14">
        <f>IF(Table134[[#This Row],[check]]=1,0.65,1)</f>
        <v>1</v>
      </c>
      <c r="N1033" s="4">
        <v>1</v>
      </c>
      <c r="O1033" s="4">
        <f>IF(Table134[[#This Row],[check]]=1,Table134[[#This Row],[مساحت آدرس]]*Table134[[#This Row],[A0 Inc]],Table134[[#This Row],[A_tree]]*Table134[[#This Row],[اصله مستقل]])</f>
        <v>1098</v>
      </c>
      <c r="P1033" s="11">
        <f>IF(Table134[[#This Row],[check]]=1,Table134[[#This Row],[A0]]/Table134[[#This Row],[اصله مستقل]],Table134[[#This Row],[A_tree]])</f>
        <v>9</v>
      </c>
    </row>
    <row r="1034" spans="2:16" ht="18.600000000000001" x14ac:dyDescent="0.3">
      <c r="B1034" s="4" t="s">
        <v>1561</v>
      </c>
      <c r="C1034" s="4">
        <v>13</v>
      </c>
      <c r="D1034" s="4">
        <v>6</v>
      </c>
      <c r="E1034" s="4">
        <v>6</v>
      </c>
      <c r="F1034" s="4">
        <v>226</v>
      </c>
      <c r="G1034" s="2" t="s">
        <v>62</v>
      </c>
      <c r="H1034" s="4">
        <v>9</v>
      </c>
      <c r="I1034" s="4">
        <f>Table134[[#This Row],[اصله مستقل]]*Table134[[#This Row],[A_tree]]</f>
        <v>54</v>
      </c>
      <c r="J1034" s="4">
        <f>IF(Table134[[#This Row],[n * A_tree ]]&gt;Table134[[#This Row],[مساحت آدرس]],1,0)</f>
        <v>0</v>
      </c>
      <c r="K1034" s="8">
        <f>IF(Table134[[#This Row],[check]]=1,1,Table134[[#This Row],[A_tree]]*Table134[[#This Row],[اصله مستقل]]/Table134[[#This Row],[مساحت آدرس]])</f>
        <v>0.23893805309734514</v>
      </c>
      <c r="L1034" s="14">
        <f>IF(Table134[[#This Row],[check]]=1,1,(Table134[[#This Row],[Psh]]+0.15*(1-Table134[[#This Row],[Psh]])))</f>
        <v>0.35309734513274338</v>
      </c>
      <c r="M1034" s="14">
        <f>IF(Table134[[#This Row],[check]]=1,0.65,1)</f>
        <v>1</v>
      </c>
      <c r="N1034" s="4">
        <v>1</v>
      </c>
      <c r="O1034" s="4">
        <f>IF(Table134[[#This Row],[check]]=1,Table134[[#This Row],[مساحت آدرس]]*Table134[[#This Row],[A0 Inc]],Table134[[#This Row],[A_tree]]*Table134[[#This Row],[اصله مستقل]])</f>
        <v>54</v>
      </c>
      <c r="P1034" s="11">
        <f>IF(Table134[[#This Row],[check]]=1,Table134[[#This Row],[A0]]/Table134[[#This Row],[اصله مستقل]],Table134[[#This Row],[A_tree]])</f>
        <v>9</v>
      </c>
    </row>
    <row r="1035" spans="2:16" ht="18.600000000000001" x14ac:dyDescent="0.3">
      <c r="B1035" s="4" t="s">
        <v>1562</v>
      </c>
      <c r="C1035" s="4">
        <v>190</v>
      </c>
      <c r="D1035" s="4">
        <v>190</v>
      </c>
      <c r="E1035" s="4">
        <v>0</v>
      </c>
      <c r="F1035" s="4">
        <v>1868</v>
      </c>
      <c r="G1035" s="2" t="s">
        <v>66</v>
      </c>
      <c r="H1035" s="4">
        <v>9</v>
      </c>
      <c r="I1035" s="4">
        <f>Table134[[#This Row],[اصله مستقل]]*Table134[[#This Row],[A_tree]]</f>
        <v>1710</v>
      </c>
      <c r="J1035" s="4">
        <f>IF(Table134[[#This Row],[n * A_tree ]]&gt;Table134[[#This Row],[مساحت آدرس]],1,0)</f>
        <v>0</v>
      </c>
      <c r="K1035" s="8">
        <f>IF(Table134[[#This Row],[check]]=1,1,Table134[[#This Row],[A_tree]]*Table134[[#This Row],[اصله مستقل]]/Table134[[#This Row],[مساحت آدرس]])</f>
        <v>0.91541755888650966</v>
      </c>
      <c r="L1035" s="14">
        <f>IF(Table134[[#This Row],[check]]=1,1,(Table134[[#This Row],[Psh]]+0.15*(1-Table134[[#This Row],[Psh]])))</f>
        <v>0.92810492505353326</v>
      </c>
      <c r="M1035" s="14">
        <f>IF(Table134[[#This Row],[check]]=1,0.65,1)</f>
        <v>1</v>
      </c>
      <c r="N1035" s="4">
        <v>1</v>
      </c>
      <c r="O1035" s="4">
        <f>IF(Table134[[#This Row],[check]]=1,Table134[[#This Row],[مساحت آدرس]]*Table134[[#This Row],[A0 Inc]],Table134[[#This Row],[A_tree]]*Table134[[#This Row],[اصله مستقل]])</f>
        <v>1710</v>
      </c>
      <c r="P1035" s="11">
        <f>IF(Table134[[#This Row],[check]]=1,Table134[[#This Row],[A0]]/Table134[[#This Row],[اصله مستقل]],Table134[[#This Row],[A_tree]])</f>
        <v>9</v>
      </c>
    </row>
  </sheetData>
  <phoneticPr fontId="9" type="noConversion"/>
  <pageMargins left="0.75" right="0.75" top="1" bottom="1" header="0.5" footer="0.5"/>
  <ignoredErrors>
    <ignoredError sqref="N3:N1035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پارک ها</vt:lpstr>
      <vt:lpstr>غیر پارک ها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POOYA</cp:lastModifiedBy>
  <dcterms:created xsi:type="dcterms:W3CDTF">2021-02-16T16:53:26Z</dcterms:created>
  <dcterms:modified xsi:type="dcterms:W3CDTF">2021-02-17T07:33:53Z</dcterms:modified>
</cp:coreProperties>
</file>